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19095" windowHeight="10980"/>
  </bookViews>
  <sheets>
    <sheet name="ImportantDisclosures" sheetId="36" r:id="rId1"/>
    <sheet name="CircularReferenceAlert" sheetId="39" r:id="rId2"/>
    <sheet name="Control" sheetId="2" r:id="rId3"/>
    <sheet name="_CIQHiddenCacheSheet" sheetId="19" state="veryHidden" r:id="rId4"/>
    <sheet name="Valuation" sheetId="3" r:id="rId5"/>
    <sheet name="BIDU_IS" sheetId="4" r:id="rId6"/>
    <sheet name="BIDU_BS + CFS" sheetId="5" r:id="rId7"/>
    <sheet name="MW-Cache" sheetId="26" state="veryHidden" r:id="rId8"/>
    <sheet name="IQ_IS" sheetId="20" r:id="rId9"/>
    <sheet name="IQ_BS + CFS" sheetId="21" r:id="rId10"/>
    <sheet name="Operating_Model" sheetId="6" r:id="rId11"/>
    <sheet name="Scenario" sheetId="8" r:id="rId12"/>
    <sheet name="IndexInformation" sheetId="37" r:id="rId13"/>
    <sheet name="ModPubIndex" sheetId="38" r:id="rId14"/>
  </sheets>
  <externalReferences>
    <externalReference r:id="rId15"/>
  </externalReferences>
  <definedNames>
    <definedName name="__FDS_HYPERLINK_TOGGLE_STATE__" hidden="1">"ON"</definedName>
    <definedName name="AdditionalInstructions">IndexInformation!$B$42</definedName>
    <definedName name="Address" localSheetId="0">ImportantDisclosures!$A$2:$A$2</definedName>
    <definedName name="AllTables" localSheetId="6">{4}</definedName>
    <definedName name="AllTables" localSheetId="5">{4}</definedName>
    <definedName name="AllTables" localSheetId="2">{4}</definedName>
    <definedName name="AllTables" localSheetId="9">{4}</definedName>
    <definedName name="AllTables" localSheetId="8">{4}</definedName>
    <definedName name="AllTables" localSheetId="10">{4}</definedName>
    <definedName name="AllTables" localSheetId="11">{4}</definedName>
    <definedName name="AllTables" localSheetId="4">{4}</definedName>
    <definedName name="AllTables">{4}</definedName>
    <definedName name="ANA" localSheetId="13">ModPubIndex!$A$7</definedName>
    <definedName name="Authors" localSheetId="0">ImportantDisclosures!$A$7</definedName>
    <definedName name="Authors" localSheetId="12">IndexInformation!$B$18</definedName>
    <definedName name="BRO" localSheetId="13">ModPubIndex!$A$1</definedName>
    <definedName name="Buttons" localSheetId="1">CircularReferenceAlert!$B$13:$B$15</definedName>
    <definedName name="Case">Control!$C$4</definedName>
    <definedName name="CIQWBGuid" hidden="1">"fb6cee7f-be19-4730-84fd-8fc1a0a58100"</definedName>
    <definedName name="circ">Control!$C$3</definedName>
    <definedName name="CopyrightStamp">ImportantDisclosures!$A$27</definedName>
    <definedName name="COU" localSheetId="13">ModPubIndex!$A$5</definedName>
    <definedName name="CQEnd" localSheetId="12">IndexInformation!$B$31</definedName>
    <definedName name="Currency" localSheetId="12">IndexInformation!$B$24</definedName>
    <definedName name="CurrentStockPrice" localSheetId="12">IndexInformation!$B$23</definedName>
    <definedName name="CurrQtrEPS" localSheetId="12">IndexInformation!$B$29</definedName>
    <definedName name="CurrYearEPS" localSheetId="12">IndexInformation!$B$11</definedName>
    <definedName name="CurrYearTotalRevenue" localSheetId="12">IndexInformation!$B$10</definedName>
    <definedName name="CurrYearTotalRevenueActual" localSheetId="12">IndexInformation!$B$32</definedName>
    <definedName name="CUSIP" localSheetId="12">IndexInformation!$B$20</definedName>
    <definedName name="CYEnd" localSheetId="12">IndexInformation!$B$30</definedName>
    <definedName name="Date" localSheetId="0">ImportantDisclosures!$A$8</definedName>
    <definedName name="Deleted" localSheetId="12">IndexInformation!$B$27</definedName>
    <definedName name="Description" localSheetId="12">IndexInformation!$B$7</definedName>
    <definedName name="Discipline" localSheetId="12">IndexInformation!$B$3</definedName>
    <definedName name="DISCIPLINE" localSheetId="13">ModPubIndex!$A$12</definedName>
    <definedName name="DisclosuresText">ImportantDisclosures!$A$22</definedName>
    <definedName name="Distribution" localSheetId="12">IndexInformation!$B$26</definedName>
    <definedName name="DistTable" localSheetId="0">ImportantDisclosures!#REF!</definedName>
    <definedName name="DistTablePreamble" localSheetId="0">ImportantDisclosures!#REF!</definedName>
    <definedName name="DOCDAT" localSheetId="13">ModPubIndex!$A$2</definedName>
    <definedName name="DOCTIME" localSheetId="13">ModPubIndex!$A$3</definedName>
    <definedName name="DocType" localSheetId="12">IndexInformation!$B$5</definedName>
    <definedName name="EMAIL_ALERT" localSheetId="13">ModPubIndex!$A$10</definedName>
    <definedName name="EmailAlert" localSheetId="12">IndexInformation!$B$28</definedName>
    <definedName name="FiveYearGrowthRate" localSheetId="12">IndexInformation!$B$16</definedName>
    <definedName name="FollowingYearEPS" localSheetId="12">IndexInformation!$B$15</definedName>
    <definedName name="FollowingYearTotalRevenue" localSheetId="12">IndexInformation!$B$14</definedName>
    <definedName name="FollowingYearTotalRevenueActual" localSheetId="12">IndexInformation!$B$34</definedName>
    <definedName name="FX">Control!$C$5</definedName>
    <definedName name="HL" localSheetId="13">ModPubIndex!$A$8</definedName>
    <definedName name="IND" localSheetId="1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DDIN" hidden="1">"AUTO"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>9617001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43087.2144675926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KeepVersions" localSheetId="12">IndexInformation!$B$8</definedName>
    <definedName name="LanguageCode">IndexInformation!$B$38</definedName>
    <definedName name="LastCell" localSheetId="0">ImportantDisclosures!$A$22</definedName>
    <definedName name="Linking_1" localSheetId="6">Valuation!$B$5:$F$13</definedName>
    <definedName name="Linking_1" localSheetId="5">Valuation!$B$5:$F$13</definedName>
    <definedName name="Linking_1" localSheetId="9">Valuation!$B$5:$F$13</definedName>
    <definedName name="Linking_1" localSheetId="8">Valuation!$B$5:$F$13</definedName>
    <definedName name="Linking_1" localSheetId="10">Valuation!$B$5:$F$13</definedName>
    <definedName name="Linking_1" localSheetId="11">Valuation!$B$5:$F$13</definedName>
    <definedName name="Linking_1">#REF!</definedName>
    <definedName name="Linking_2">Valuation!$B$5:$E$13</definedName>
    <definedName name="MacroVersion" localSheetId="12">IndexInformation!$B$1</definedName>
    <definedName name="MaxChange" localSheetId="1">CircularReferenceAlert!$B$9</definedName>
    <definedName name="MAXEVEBITDA">[1]BBG_Output!$B$7</definedName>
    <definedName name="MaxIterations" localSheetId="1">CircularReferenceAlert!$B$8</definedName>
    <definedName name="MAXPE">[1]BBG_Output!$B$6</definedName>
    <definedName name="ModelPrice" localSheetId="0">ImportantDisclosures!$A$14</definedName>
    <definedName name="MscoInputCell1" localSheetId="6" hidden="1">'BIDU_BS + CFS'!$K$8</definedName>
    <definedName name="MscoInputCell1" localSheetId="5" hidden="1">BIDU_IS!$AK$128</definedName>
    <definedName name="MscoInputCell1" localSheetId="2" hidden="1">Control!$C$3</definedName>
    <definedName name="MscoInputCell1" localSheetId="8" hidden="1">IQ_IS!$AK$117</definedName>
    <definedName name="MscoInputCell10" localSheetId="6" hidden="1">'BIDU_BS + CFS'!$L$143</definedName>
    <definedName name="MscoInputCell10" localSheetId="5" hidden="1">BIDU_IS!$G$86</definedName>
    <definedName name="MscoInputCell10" localSheetId="8" hidden="1">IQ_IS!$G$79</definedName>
    <definedName name="MscoInputCell10" localSheetId="10" hidden="1">Operating_Model!$AM$179</definedName>
    <definedName name="MscoInputCell100" localSheetId="6" hidden="1">'BIDU_BS + CFS'!$Y$12</definedName>
    <definedName name="MscoInputCell100" localSheetId="5" hidden="1">BIDU_IS!$G$128</definedName>
    <definedName name="MscoInputCell100" localSheetId="9" hidden="1">'IQ_BS + CFS'!$Y$12</definedName>
    <definedName name="MscoInputCell100" localSheetId="8" hidden="1">IQ_IS!$G$117</definedName>
    <definedName name="MscoInputCell100" localSheetId="10" hidden="1">Operating_Model!$J$76</definedName>
    <definedName name="MscoInputCell101" localSheetId="6" hidden="1">'BIDU_BS + CFS'!$Z$12</definedName>
    <definedName name="MscoInputCell101" localSheetId="5" hidden="1">BIDU_IS!$H$128</definedName>
    <definedName name="MscoInputCell101" localSheetId="9" hidden="1">'IQ_BS + CFS'!$Z$12</definedName>
    <definedName name="MscoInputCell101" localSheetId="8" hidden="1">IQ_IS!$H$117</definedName>
    <definedName name="MscoInputCell101" localSheetId="10" hidden="1">Operating_Model!$E$73</definedName>
    <definedName name="MscoInputCell102" localSheetId="6" hidden="1">'BIDU_BS + CFS'!$AA$12</definedName>
    <definedName name="MscoInputCell102" localSheetId="5" hidden="1">BIDU_IS!$I$128</definedName>
    <definedName name="MscoInputCell102" localSheetId="9" hidden="1">'IQ_BS + CFS'!$AA$12</definedName>
    <definedName name="MscoInputCell102" localSheetId="8" hidden="1">IQ_IS!$I$117</definedName>
    <definedName name="MscoInputCell102" localSheetId="10" hidden="1">Operating_Model!$F$73</definedName>
    <definedName name="MscoInputCell103" localSheetId="6" hidden="1">'BIDU_BS + CFS'!$AB$12</definedName>
    <definedName name="MscoInputCell103" localSheetId="5" hidden="1">BIDU_IS!$F$129</definedName>
    <definedName name="MscoInputCell103" localSheetId="9" hidden="1">'IQ_BS + CFS'!$AB$12</definedName>
    <definedName name="MscoInputCell103" localSheetId="8" hidden="1">IQ_IS!$F$118</definedName>
    <definedName name="MscoInputCell104" localSheetId="6" hidden="1">'BIDU_BS + CFS'!$AC$12</definedName>
    <definedName name="MscoInputCell104" localSheetId="5" hidden="1">BIDU_IS!$G$129</definedName>
    <definedName name="MscoInputCell104" localSheetId="9" hidden="1">'IQ_BS + CFS'!$AC$12</definedName>
    <definedName name="MscoInputCell104" localSheetId="8" hidden="1">IQ_IS!$G$118</definedName>
    <definedName name="MscoInputCell105" localSheetId="6" hidden="1">'BIDU_BS + CFS'!$AD$12</definedName>
    <definedName name="MscoInputCell105" localSheetId="5" hidden="1">BIDU_IS!$H$129</definedName>
    <definedName name="MscoInputCell105" localSheetId="9" hidden="1">'IQ_BS + CFS'!$AD$12</definedName>
    <definedName name="MscoInputCell105" localSheetId="8" hidden="1">IQ_IS!$H$118</definedName>
    <definedName name="MscoInputCell105" localSheetId="10" hidden="1">Operating_Model!$E$289</definedName>
    <definedName name="MscoInputCell106" localSheetId="6" hidden="1">'BIDU_BS + CFS'!$AE$12</definedName>
    <definedName name="MscoInputCell106" localSheetId="5" hidden="1">BIDU_IS!$I$129</definedName>
    <definedName name="MscoInputCell106" localSheetId="9" hidden="1">'IQ_BS + CFS'!$AE$12</definedName>
    <definedName name="MscoInputCell106" localSheetId="8" hidden="1">IQ_IS!$I$118</definedName>
    <definedName name="MscoInputCell106" localSheetId="10" hidden="1">Operating_Model!$F$289</definedName>
    <definedName name="MscoInputCell107" localSheetId="6" hidden="1">'BIDU_BS + CFS'!$AF$12</definedName>
    <definedName name="MscoInputCell107" localSheetId="5" hidden="1">BIDU_IS!$F$132</definedName>
    <definedName name="MscoInputCell107" localSheetId="9" hidden="1">'IQ_BS + CFS'!$AF$12</definedName>
    <definedName name="MscoInputCell107" localSheetId="8" hidden="1">IQ_IS!$F$122</definedName>
    <definedName name="MscoInputCell107" localSheetId="10" hidden="1">Operating_Model!$G$289</definedName>
    <definedName name="MscoInputCell108" localSheetId="6" hidden="1">'BIDU_BS + CFS'!$AG$12</definedName>
    <definedName name="MscoInputCell108" localSheetId="5" hidden="1">BIDU_IS!$G$132</definedName>
    <definedName name="MscoInputCell108" localSheetId="9" hidden="1">'IQ_BS + CFS'!$AG$12</definedName>
    <definedName name="MscoInputCell108" localSheetId="8" hidden="1">IQ_IS!$G$122</definedName>
    <definedName name="MscoInputCell108" localSheetId="10" hidden="1">Operating_Model!$H$289</definedName>
    <definedName name="MscoInputCell109" localSheetId="6" hidden="1">'BIDU_BS + CFS'!$AH$12</definedName>
    <definedName name="MscoInputCell109" localSheetId="5" hidden="1">BIDU_IS!$H$132</definedName>
    <definedName name="MscoInputCell109" localSheetId="9" hidden="1">'IQ_BS + CFS'!$AH$12</definedName>
    <definedName name="MscoInputCell109" localSheetId="8" hidden="1">IQ_IS!$H$122</definedName>
    <definedName name="MscoInputCell109" localSheetId="10" hidden="1">Operating_Model!$I$289</definedName>
    <definedName name="MscoInputCell11" localSheetId="6" hidden="1">'BIDU_BS + CFS'!$M$143</definedName>
    <definedName name="MscoInputCell11" localSheetId="5" hidden="1">BIDU_IS!$H$86</definedName>
    <definedName name="MscoInputCell11" localSheetId="8" hidden="1">IQ_IS!$H$79</definedName>
    <definedName name="MscoInputCell11" localSheetId="10" hidden="1">Operating_Model!$AN$179</definedName>
    <definedName name="MscoInputCell110" localSheetId="6" hidden="1">'BIDU_BS + CFS'!$AI$12</definedName>
    <definedName name="MscoInputCell110" localSheetId="5" hidden="1">BIDU_IS!$I$132</definedName>
    <definedName name="MscoInputCell110" localSheetId="9" hidden="1">'IQ_BS + CFS'!$AI$12</definedName>
    <definedName name="MscoInputCell110" localSheetId="8" hidden="1">IQ_IS!$I$122</definedName>
    <definedName name="MscoInputCell110" localSheetId="10" hidden="1">Operating_Model!$E$292</definedName>
    <definedName name="MscoInputCell111" localSheetId="6" hidden="1">'BIDU_BS + CFS'!$AJ$12</definedName>
    <definedName name="MscoInputCell111" localSheetId="5" hidden="1">BIDU_IS!$F$137</definedName>
    <definedName name="MscoInputCell111" localSheetId="9" hidden="1">'IQ_BS + CFS'!$AJ$12</definedName>
    <definedName name="MscoInputCell111" localSheetId="8" hidden="1">IQ_IS!$F$127</definedName>
    <definedName name="MscoInputCell111" localSheetId="10" hidden="1">Operating_Model!$F$292</definedName>
    <definedName name="MscoInputCell112" localSheetId="6" hidden="1">'BIDU_BS + CFS'!$T$15</definedName>
    <definedName name="MscoInputCell112" localSheetId="5" hidden="1">BIDU_IS!$G$137</definedName>
    <definedName name="MscoInputCell112" localSheetId="8" hidden="1">IQ_IS!$G$127</definedName>
    <definedName name="MscoInputCell112" localSheetId="10" hidden="1">Operating_Model!$G$292</definedName>
    <definedName name="MscoInputCell113" localSheetId="6" hidden="1">'BIDU_BS + CFS'!$U$15</definedName>
    <definedName name="MscoInputCell113" localSheetId="5" hidden="1">BIDU_IS!$H$137</definedName>
    <definedName name="MscoInputCell113" localSheetId="8" hidden="1">IQ_IS!$H$127</definedName>
    <definedName name="MscoInputCell113" localSheetId="10" hidden="1">Operating_Model!$H$292</definedName>
    <definedName name="MscoInputCell114" localSheetId="6" hidden="1">'BIDU_BS + CFS'!$V$15</definedName>
    <definedName name="MscoInputCell114" localSheetId="5" hidden="1">BIDU_IS!$I$137</definedName>
    <definedName name="MscoInputCell114" localSheetId="8" hidden="1">IQ_IS!$I$127</definedName>
    <definedName name="MscoInputCell114" localSheetId="10" hidden="1">Operating_Model!$I$292</definedName>
    <definedName name="MscoInputCell115" localSheetId="6" hidden="1">'BIDU_BS + CFS'!$W$15</definedName>
    <definedName name="MscoInputCell115" localSheetId="5" hidden="1">BIDU_IS!$F$255</definedName>
    <definedName name="MscoInputCell115" localSheetId="8" hidden="1">IQ_IS!$F$162</definedName>
    <definedName name="MscoInputCell115" localSheetId="10" hidden="1">Operating_Model!$E$295</definedName>
    <definedName name="MscoInputCell116" localSheetId="6" hidden="1">'BIDU_BS + CFS'!$X$15</definedName>
    <definedName name="MscoInputCell116" localSheetId="5" hidden="1">BIDU_IS!$G$255</definedName>
    <definedName name="MscoInputCell116" localSheetId="8" hidden="1">IQ_IS!$G$162</definedName>
    <definedName name="MscoInputCell116" localSheetId="10" hidden="1">Operating_Model!$F$295</definedName>
    <definedName name="MscoInputCell117" localSheetId="6" hidden="1">'BIDU_BS + CFS'!$Y$15</definedName>
    <definedName name="MscoInputCell117" localSheetId="5" hidden="1">BIDU_IS!$H$255</definedName>
    <definedName name="MscoInputCell117" localSheetId="8" hidden="1">IQ_IS!$H$162</definedName>
    <definedName name="MscoInputCell117" localSheetId="10" hidden="1">Operating_Model!$G$295</definedName>
    <definedName name="MscoInputCell118" localSheetId="6" hidden="1">'BIDU_BS + CFS'!$Z$15</definedName>
    <definedName name="MscoInputCell118" localSheetId="5" hidden="1">BIDU_IS!$I$255</definedName>
    <definedName name="MscoInputCell118" localSheetId="8" hidden="1">IQ_IS!$I$162</definedName>
    <definedName name="MscoInputCell118" localSheetId="10" hidden="1">Operating_Model!$H$295</definedName>
    <definedName name="MscoInputCell119" localSheetId="6" hidden="1">'BIDU_BS + CFS'!$AA$15</definedName>
    <definedName name="MscoInputCell119" localSheetId="5" hidden="1">BIDU_IS!$J$255</definedName>
    <definedName name="MscoInputCell119" localSheetId="8" hidden="1">IQ_IS!$J$162</definedName>
    <definedName name="MscoInputCell119" localSheetId="10" hidden="1">Operating_Model!$I$295</definedName>
    <definedName name="MscoInputCell12" localSheetId="5" hidden="1">BIDU_IS!$I$86</definedName>
    <definedName name="MscoInputCell12" localSheetId="8" hidden="1">IQ_IS!$I$79</definedName>
    <definedName name="MscoInputCell120" localSheetId="6" hidden="1">'BIDU_BS + CFS'!$AB$15</definedName>
    <definedName name="MscoInputCell120" localSheetId="5" hidden="1">BIDU_IS!$F$256</definedName>
    <definedName name="MscoInputCell120" localSheetId="8" hidden="1">IQ_IS!$F$163</definedName>
    <definedName name="MscoInputCell120" localSheetId="10" hidden="1">Operating_Model!$E$298</definedName>
    <definedName name="MscoInputCell121" localSheetId="6" hidden="1">'BIDU_BS + CFS'!$AC$15</definedName>
    <definedName name="MscoInputCell121" localSheetId="5" hidden="1">BIDU_IS!$G$256</definedName>
    <definedName name="MscoInputCell121" localSheetId="8" hidden="1">IQ_IS!$G$163</definedName>
    <definedName name="MscoInputCell121" localSheetId="10" hidden="1">Operating_Model!$F$298</definedName>
    <definedName name="MscoInputCell122" localSheetId="6" hidden="1">'BIDU_BS + CFS'!$AD$15</definedName>
    <definedName name="MscoInputCell122" localSheetId="5" hidden="1">BIDU_IS!$H$256</definedName>
    <definedName name="MscoInputCell122" localSheetId="8" hidden="1">IQ_IS!$H$163</definedName>
    <definedName name="MscoInputCell122" localSheetId="10" hidden="1">Operating_Model!$G$298</definedName>
    <definedName name="MscoInputCell123" localSheetId="6" hidden="1">'BIDU_BS + CFS'!$AE$15</definedName>
    <definedName name="MscoInputCell123" localSheetId="5" hidden="1">BIDU_IS!$I$256</definedName>
    <definedName name="MscoInputCell123" localSheetId="8" hidden="1">IQ_IS!$I$163</definedName>
    <definedName name="MscoInputCell123" localSheetId="10" hidden="1">Operating_Model!$H$298</definedName>
    <definedName name="MscoInputCell124" localSheetId="6" hidden="1">'BIDU_BS + CFS'!$AF$15</definedName>
    <definedName name="MscoInputCell124" localSheetId="5" hidden="1">BIDU_IS!$J$256</definedName>
    <definedName name="MscoInputCell124" localSheetId="8" hidden="1">IQ_IS!$J$163</definedName>
    <definedName name="MscoInputCell124" localSheetId="10" hidden="1">Operating_Model!$I$298</definedName>
    <definedName name="MscoInputCell125" localSheetId="6" hidden="1">'BIDU_BS + CFS'!$AG$15</definedName>
    <definedName name="MscoInputCell125" localSheetId="5" hidden="1">BIDU_IS!$F$265</definedName>
    <definedName name="MscoInputCell125" localSheetId="8" hidden="1">IQ_IS!$F$172</definedName>
    <definedName name="MscoInputCell125" localSheetId="10" hidden="1">Operating_Model!$E$301</definedName>
    <definedName name="MscoInputCell126" localSheetId="6" hidden="1">'BIDU_BS + CFS'!$AH$15</definedName>
    <definedName name="MscoInputCell126" localSheetId="5" hidden="1">BIDU_IS!$G$265</definedName>
    <definedName name="MscoInputCell126" localSheetId="8" hidden="1">IQ_IS!$G$172</definedName>
    <definedName name="MscoInputCell126" localSheetId="10" hidden="1">Operating_Model!$F$301</definedName>
    <definedName name="MscoInputCell127" localSheetId="6" hidden="1">'BIDU_BS + CFS'!$AI$15</definedName>
    <definedName name="MscoInputCell127" localSheetId="5" hidden="1">BIDU_IS!$H$265</definedName>
    <definedName name="MscoInputCell127" localSheetId="8" hidden="1">IQ_IS!$H$172</definedName>
    <definedName name="MscoInputCell127" localSheetId="10" hidden="1">Operating_Model!$G$301</definedName>
    <definedName name="MscoInputCell128" localSheetId="6" hidden="1">'BIDU_BS + CFS'!$AJ$15</definedName>
    <definedName name="MscoInputCell128" localSheetId="5" hidden="1">BIDU_IS!$I$265</definedName>
    <definedName name="MscoInputCell128" localSheetId="8" hidden="1">IQ_IS!$I$172</definedName>
    <definedName name="MscoInputCell128" localSheetId="10" hidden="1">Operating_Model!$H$301</definedName>
    <definedName name="MscoInputCell129" localSheetId="6" hidden="1">'BIDU_BS + CFS'!$T$18</definedName>
    <definedName name="MscoInputCell129" localSheetId="5" hidden="1">BIDU_IS!$F$266</definedName>
    <definedName name="MscoInputCell129" localSheetId="9" hidden="1">'IQ_BS + CFS'!$T$16</definedName>
    <definedName name="MscoInputCell129" localSheetId="8" hidden="1">IQ_IS!$F$173</definedName>
    <definedName name="MscoInputCell129" localSheetId="10" hidden="1">Operating_Model!$I$301</definedName>
    <definedName name="MscoInputCell13" localSheetId="5" hidden="1">BIDU_IS!$G$87</definedName>
    <definedName name="MscoInputCell13" localSheetId="8" hidden="1">IQ_IS!$G$80</definedName>
    <definedName name="MscoInputCell130" localSheetId="6" hidden="1">'BIDU_BS + CFS'!$U$18</definedName>
    <definedName name="MscoInputCell130" localSheetId="5" hidden="1">BIDU_IS!$G$266</definedName>
    <definedName name="MscoInputCell130" localSheetId="9" hidden="1">'IQ_BS + CFS'!$U$16</definedName>
    <definedName name="MscoInputCell130" localSheetId="8" hidden="1">IQ_IS!$G$173</definedName>
    <definedName name="MscoInputCell130" localSheetId="10" hidden="1">Operating_Model!$E$302</definedName>
    <definedName name="MscoInputCell131" localSheetId="6" hidden="1">'BIDU_BS + CFS'!$V$18</definedName>
    <definedName name="MscoInputCell131" localSheetId="5" hidden="1">BIDU_IS!$H$266</definedName>
    <definedName name="MscoInputCell131" localSheetId="9" hidden="1">'IQ_BS + CFS'!$V$16</definedName>
    <definedName name="MscoInputCell131" localSheetId="8" hidden="1">IQ_IS!$H$173</definedName>
    <definedName name="MscoInputCell131" localSheetId="10" hidden="1">Operating_Model!$F$302</definedName>
    <definedName name="MscoInputCell132" localSheetId="6" hidden="1">'BIDU_BS + CFS'!$W$18</definedName>
    <definedName name="MscoInputCell132" localSheetId="5" hidden="1">BIDU_IS!$I$266</definedName>
    <definedName name="MscoInputCell132" localSheetId="9" hidden="1">'IQ_BS + CFS'!$W$16</definedName>
    <definedName name="MscoInputCell132" localSheetId="8" hidden="1">IQ_IS!$I$173</definedName>
    <definedName name="MscoInputCell132" localSheetId="10" hidden="1">Operating_Model!$G$302</definedName>
    <definedName name="MscoInputCell133" localSheetId="6" hidden="1">'BIDU_BS + CFS'!$X$18</definedName>
    <definedName name="MscoInputCell133" localSheetId="5" hidden="1">BIDU_IS!$F$267</definedName>
    <definedName name="MscoInputCell133" localSheetId="9" hidden="1">'IQ_BS + CFS'!$X$16</definedName>
    <definedName name="MscoInputCell133" localSheetId="8" hidden="1">IQ_IS!$F$174</definedName>
    <definedName name="MscoInputCell133" localSheetId="10" hidden="1">Operating_Model!$H$302</definedName>
    <definedName name="MscoInputCell134" localSheetId="6" hidden="1">'BIDU_BS + CFS'!$Y$18</definedName>
    <definedName name="MscoInputCell134" localSheetId="5" hidden="1">BIDU_IS!$G$267</definedName>
    <definedName name="MscoInputCell134" localSheetId="9" hidden="1">'IQ_BS + CFS'!$Y$16</definedName>
    <definedName name="MscoInputCell134" localSheetId="8" hidden="1">IQ_IS!$G$174</definedName>
    <definedName name="MscoInputCell134" localSheetId="10" hidden="1">Operating_Model!$I$302</definedName>
    <definedName name="MscoInputCell135" localSheetId="6" hidden="1">'BIDU_BS + CFS'!$Z$18</definedName>
    <definedName name="MscoInputCell135" localSheetId="5" hidden="1">BIDU_IS!$H$267</definedName>
    <definedName name="MscoInputCell135" localSheetId="9" hidden="1">'IQ_BS + CFS'!$Z$16</definedName>
    <definedName name="MscoInputCell135" localSheetId="8" hidden="1">IQ_IS!$H$174</definedName>
    <definedName name="MscoInputCell135" localSheetId="10" hidden="1">Operating_Model!$E$299</definedName>
    <definedName name="MscoInputCell136" localSheetId="6" hidden="1">'BIDU_BS + CFS'!$AA$18</definedName>
    <definedName name="MscoInputCell136" localSheetId="5" hidden="1">BIDU_IS!$I$267</definedName>
    <definedName name="MscoInputCell136" localSheetId="9" hidden="1">'IQ_BS + CFS'!$AA$16</definedName>
    <definedName name="MscoInputCell136" localSheetId="8" hidden="1">IQ_IS!$I$174</definedName>
    <definedName name="MscoInputCell136" localSheetId="10" hidden="1">Operating_Model!$F$299</definedName>
    <definedName name="MscoInputCell137" localSheetId="6" hidden="1">'BIDU_BS + CFS'!$AB$18</definedName>
    <definedName name="MscoInputCell137" localSheetId="5" hidden="1">BIDU_IS!$F$280</definedName>
    <definedName name="MscoInputCell137" localSheetId="9" hidden="1">'IQ_BS + CFS'!$AB$16</definedName>
    <definedName name="MscoInputCell137" localSheetId="8" hidden="1">IQ_IS!$F$186</definedName>
    <definedName name="MscoInputCell137" localSheetId="10" hidden="1">Operating_Model!$G$299</definedName>
    <definedName name="MscoInputCell138" localSheetId="6" hidden="1">'BIDU_BS + CFS'!$AC$18</definedName>
    <definedName name="MscoInputCell138" localSheetId="5" hidden="1">BIDU_IS!$G$280</definedName>
    <definedName name="MscoInputCell138" localSheetId="9" hidden="1">'IQ_BS + CFS'!$AC$16</definedName>
    <definedName name="MscoInputCell138" localSheetId="8" hidden="1">IQ_IS!$G$186</definedName>
    <definedName name="MscoInputCell138" localSheetId="10" hidden="1">Operating_Model!$H$299</definedName>
    <definedName name="MscoInputCell139" localSheetId="6" hidden="1">'BIDU_BS + CFS'!$AD$18</definedName>
    <definedName name="MscoInputCell139" localSheetId="5" hidden="1">BIDU_IS!$H$280</definedName>
    <definedName name="MscoInputCell139" localSheetId="9" hidden="1">'IQ_BS + CFS'!$AD$16</definedName>
    <definedName name="MscoInputCell139" localSheetId="8" hidden="1">IQ_IS!$H$186</definedName>
    <definedName name="MscoInputCell139" localSheetId="10" hidden="1">Operating_Model!$I$299</definedName>
    <definedName name="MscoInputCell14" localSheetId="5" hidden="1">BIDU_IS!$H$87</definedName>
    <definedName name="MscoInputCell14" localSheetId="8" hidden="1">IQ_IS!$H$80</definedName>
    <definedName name="MscoInputCell14" localSheetId="10" hidden="1">Operating_Model!$AC$32</definedName>
    <definedName name="MscoInputCell140" localSheetId="6" hidden="1">'BIDU_BS + CFS'!$AE$18</definedName>
    <definedName name="MscoInputCell140" localSheetId="5" hidden="1">BIDU_IS!$I$280</definedName>
    <definedName name="MscoInputCell140" localSheetId="9" hidden="1">'IQ_BS + CFS'!$AE$16</definedName>
    <definedName name="MscoInputCell140" localSheetId="8" hidden="1">IQ_IS!$I$186</definedName>
    <definedName name="MscoInputCell140" localSheetId="10" hidden="1">Operating_Model!$E$296</definedName>
    <definedName name="MscoInputCell141" localSheetId="6" hidden="1">'BIDU_BS + CFS'!$AF$18</definedName>
    <definedName name="MscoInputCell141" localSheetId="5" hidden="1">BIDU_IS!$F$281</definedName>
    <definedName name="MscoInputCell141" localSheetId="9" hidden="1">'IQ_BS + CFS'!$AF$16</definedName>
    <definedName name="MscoInputCell141" localSheetId="8" hidden="1">IQ_IS!$F$190</definedName>
    <definedName name="MscoInputCell141" localSheetId="10" hidden="1">Operating_Model!$F$296</definedName>
    <definedName name="MscoInputCell142" localSheetId="6" hidden="1">'BIDU_BS + CFS'!$AG$18</definedName>
    <definedName name="MscoInputCell142" localSheetId="5" hidden="1">BIDU_IS!$G$281</definedName>
    <definedName name="MscoInputCell142" localSheetId="9" hidden="1">'IQ_BS + CFS'!$AG$16</definedName>
    <definedName name="MscoInputCell142" localSheetId="8" hidden="1">IQ_IS!$G$190</definedName>
    <definedName name="MscoInputCell142" localSheetId="10" hidden="1">Operating_Model!$G$296</definedName>
    <definedName name="MscoInputCell143" localSheetId="6" hidden="1">'BIDU_BS + CFS'!$AH$18</definedName>
    <definedName name="MscoInputCell143" localSheetId="5" hidden="1">BIDU_IS!$H$281</definedName>
    <definedName name="MscoInputCell143" localSheetId="9" hidden="1">'IQ_BS + CFS'!$AH$16</definedName>
    <definedName name="MscoInputCell143" localSheetId="8" hidden="1">IQ_IS!$H$190</definedName>
    <definedName name="MscoInputCell143" localSheetId="10" hidden="1">Operating_Model!$H$296</definedName>
    <definedName name="MscoInputCell144" localSheetId="6" hidden="1">'BIDU_BS + CFS'!$AI$18</definedName>
    <definedName name="MscoInputCell144" localSheetId="5" hidden="1">BIDU_IS!$I$281</definedName>
    <definedName name="MscoInputCell144" localSheetId="9" hidden="1">'IQ_BS + CFS'!$AI$16</definedName>
    <definedName name="MscoInputCell144" localSheetId="8" hidden="1">IQ_IS!$I$190</definedName>
    <definedName name="MscoInputCell144" localSheetId="10" hidden="1">Operating_Model!$I$296</definedName>
    <definedName name="MscoInputCell145" localSheetId="6" hidden="1">'BIDU_BS + CFS'!$AJ$18</definedName>
    <definedName name="MscoInputCell145" localSheetId="5" hidden="1">BIDU_IS!$F$292</definedName>
    <definedName name="MscoInputCell145" localSheetId="9" hidden="1">'IQ_BS + CFS'!$AJ$16</definedName>
    <definedName name="MscoInputCell145" localSheetId="8" hidden="1">IQ_IS!$F$204</definedName>
    <definedName name="MscoInputCell145" localSheetId="10" hidden="1">Operating_Model!$E$293</definedName>
    <definedName name="MscoInputCell146" localSheetId="6" hidden="1">'BIDU_BS + CFS'!$T$19</definedName>
    <definedName name="MscoInputCell146" localSheetId="5" hidden="1">BIDU_IS!$G$292</definedName>
    <definedName name="MscoInputCell146" localSheetId="9" hidden="1">'IQ_BS + CFS'!$T$17</definedName>
    <definedName name="MscoInputCell146" localSheetId="8" hidden="1">IQ_IS!$G$204</definedName>
    <definedName name="MscoInputCell146" localSheetId="10" hidden="1">Operating_Model!$F$293</definedName>
    <definedName name="MscoInputCell147" localSheetId="6" hidden="1">'BIDU_BS + CFS'!$U$19</definedName>
    <definedName name="MscoInputCell147" localSheetId="5" hidden="1">BIDU_IS!$H$292</definedName>
    <definedName name="MscoInputCell147" localSheetId="9" hidden="1">'IQ_BS + CFS'!$U$17</definedName>
    <definedName name="MscoInputCell147" localSheetId="8" hidden="1">IQ_IS!$H$204</definedName>
    <definedName name="MscoInputCell147" localSheetId="10" hidden="1">Operating_Model!$G$293</definedName>
    <definedName name="MscoInputCell148" localSheetId="6" hidden="1">'BIDU_BS + CFS'!$V$19</definedName>
    <definedName name="MscoInputCell148" localSheetId="5" hidden="1">BIDU_IS!$I$292</definedName>
    <definedName name="MscoInputCell148" localSheetId="9" hidden="1">'IQ_BS + CFS'!$V$17</definedName>
    <definedName name="MscoInputCell148" localSheetId="8" hidden="1">IQ_IS!$I$204</definedName>
    <definedName name="MscoInputCell148" localSheetId="10" hidden="1">Operating_Model!$H$293</definedName>
    <definedName name="MscoInputCell149" localSheetId="6" hidden="1">'BIDU_BS + CFS'!$W$19</definedName>
    <definedName name="MscoInputCell149" localSheetId="9" hidden="1">'IQ_BS + CFS'!$W$17</definedName>
    <definedName name="MscoInputCell149" localSheetId="10" hidden="1">Operating_Model!$I$293</definedName>
    <definedName name="MscoInputCell15" localSheetId="5" hidden="1">BIDU_IS!$I$87</definedName>
    <definedName name="MscoInputCell15" localSheetId="8" hidden="1">IQ_IS!$I$80</definedName>
    <definedName name="MscoInputCell15" localSheetId="10" hidden="1">Operating_Model!$AD$32</definedName>
    <definedName name="MscoInputCell150" localSheetId="6" hidden="1">'BIDU_BS + CFS'!$X$19</definedName>
    <definedName name="MscoInputCell150" localSheetId="9" hidden="1">'IQ_BS + CFS'!$X$17</definedName>
    <definedName name="MscoInputCell150" localSheetId="10" hidden="1">Operating_Model!$E$290</definedName>
    <definedName name="MscoInputCell151" localSheetId="6" hidden="1">'BIDU_BS + CFS'!$Y$19</definedName>
    <definedName name="MscoInputCell151" localSheetId="9" hidden="1">'IQ_BS + CFS'!$Y$17</definedName>
    <definedName name="MscoInputCell151" localSheetId="10" hidden="1">Operating_Model!$F$290</definedName>
    <definedName name="MscoInputCell152" localSheetId="6" hidden="1">'BIDU_BS + CFS'!$Z$19</definedName>
    <definedName name="MscoInputCell152" localSheetId="9" hidden="1">'IQ_BS + CFS'!$Z$17</definedName>
    <definedName name="MscoInputCell152" localSheetId="10" hidden="1">Operating_Model!$G$290</definedName>
    <definedName name="MscoInputCell153" localSheetId="6" hidden="1">'BIDU_BS + CFS'!$AA$19</definedName>
    <definedName name="MscoInputCell153" localSheetId="9" hidden="1">'IQ_BS + CFS'!$AA$17</definedName>
    <definedName name="MscoInputCell153" localSheetId="10" hidden="1">Operating_Model!$H$290</definedName>
    <definedName name="MscoInputCell154" localSheetId="6" hidden="1">'BIDU_BS + CFS'!$AB$19</definedName>
    <definedName name="MscoInputCell154" localSheetId="9" hidden="1">'IQ_BS + CFS'!$AB$17</definedName>
    <definedName name="MscoInputCell154" localSheetId="10" hidden="1">Operating_Model!$I$290</definedName>
    <definedName name="MscoInputCell155" localSheetId="6" hidden="1">'BIDU_BS + CFS'!$AC$19</definedName>
    <definedName name="MscoInputCell155" localSheetId="9" hidden="1">'IQ_BS + CFS'!$AC$17</definedName>
    <definedName name="MscoInputCell155" localSheetId="10" hidden="1">Operating_Model!$E$139</definedName>
    <definedName name="MscoInputCell156" localSheetId="6" hidden="1">'BIDU_BS + CFS'!$AD$19</definedName>
    <definedName name="MscoInputCell156" localSheetId="9" hidden="1">'IQ_BS + CFS'!$AD$17</definedName>
    <definedName name="MscoInputCell156" localSheetId="10" hidden="1">Operating_Model!$E$141</definedName>
    <definedName name="MscoInputCell157" localSheetId="6" hidden="1">'BIDU_BS + CFS'!$AE$19</definedName>
    <definedName name="MscoInputCell157" localSheetId="9" hidden="1">'IQ_BS + CFS'!$AE$17</definedName>
    <definedName name="MscoInputCell157" localSheetId="10" hidden="1">'BIDU_BS + CFS'!$F$198</definedName>
    <definedName name="MscoInputCell158" localSheetId="6" hidden="1">'BIDU_BS + CFS'!$AF$19</definedName>
    <definedName name="MscoInputCell158" localSheetId="9" hidden="1">'IQ_BS + CFS'!$AF$17</definedName>
    <definedName name="MscoInputCell158" localSheetId="10" hidden="1">'BIDU_BS + CFS'!$G$198</definedName>
    <definedName name="MscoInputCell159" localSheetId="6" hidden="1">'BIDU_BS + CFS'!$AG$19</definedName>
    <definedName name="MscoInputCell159" localSheetId="9" hidden="1">'IQ_BS + CFS'!$AG$17</definedName>
    <definedName name="MscoInputCell159" localSheetId="10" hidden="1">'BIDU_BS + CFS'!$H$198</definedName>
    <definedName name="MscoInputCell16" localSheetId="5" hidden="1">BIDU_IS!$J$85</definedName>
    <definedName name="MscoInputCell16" localSheetId="8" hidden="1">IQ_IS!$J$78</definedName>
    <definedName name="MscoInputCell16" localSheetId="10" hidden="1">Operating_Model!$AE$32</definedName>
    <definedName name="MscoInputCell160" localSheetId="6" hidden="1">'BIDU_BS + CFS'!$AH$19</definedName>
    <definedName name="MscoInputCell160" localSheetId="9" hidden="1">'IQ_BS + CFS'!$AH$17</definedName>
    <definedName name="MscoInputCell160" localSheetId="10" hidden="1">'BIDU_BS + CFS'!$E$203</definedName>
    <definedName name="MscoInputCell161" localSheetId="6" hidden="1">'BIDU_BS + CFS'!$AI$19</definedName>
    <definedName name="MscoInputCell161" localSheetId="5" hidden="1">BIDU_IS!$G$324</definedName>
    <definedName name="MscoInputCell161" localSheetId="9" hidden="1">'IQ_BS + CFS'!$AI$17</definedName>
    <definedName name="MscoInputCell161" localSheetId="10" hidden="1">'BIDU_BS + CFS'!$F$203</definedName>
    <definedName name="MscoInputCell162" localSheetId="6" hidden="1">'BIDU_BS + CFS'!$AJ$19</definedName>
    <definedName name="MscoInputCell162" localSheetId="5" hidden="1">BIDU_IS!$H$324</definedName>
    <definedName name="MscoInputCell162" localSheetId="9" hidden="1">'IQ_BS + CFS'!$AJ$17</definedName>
    <definedName name="MscoInputCell162" localSheetId="10" hidden="1">'BIDU_BS + CFS'!$G$203</definedName>
    <definedName name="MscoInputCell163" localSheetId="6" hidden="1">'BIDU_BS + CFS'!$T$20</definedName>
    <definedName name="MscoInputCell163" localSheetId="5" hidden="1">BIDU_IS!$I$324</definedName>
    <definedName name="MscoInputCell163" localSheetId="9" hidden="1">'IQ_BS + CFS'!$T$18</definedName>
    <definedName name="MscoInputCell163" localSheetId="10" hidden="1">'BIDU_BS + CFS'!$H$203</definedName>
    <definedName name="MscoInputCell164" localSheetId="6" hidden="1">'BIDU_BS + CFS'!$U$20</definedName>
    <definedName name="MscoInputCell164" localSheetId="5" hidden="1">BIDU_IS!$Q$98</definedName>
    <definedName name="MscoInputCell164" localSheetId="9" hidden="1">'IQ_BS + CFS'!$U$18</definedName>
    <definedName name="MscoInputCell164" localSheetId="8" hidden="1">IQ_IS!$Q$91</definedName>
    <definedName name="MscoInputCell164" localSheetId="10" hidden="1">'BIDU_BS + CFS'!$I$203</definedName>
    <definedName name="MscoInputCell165" localSheetId="6" hidden="1">'BIDU_BS + CFS'!$V$20</definedName>
    <definedName name="MscoInputCell165" localSheetId="5" hidden="1">BIDU_IS!$R$98</definedName>
    <definedName name="MscoInputCell165" localSheetId="9" hidden="1">'IQ_BS + CFS'!$V$18</definedName>
    <definedName name="MscoInputCell165" localSheetId="8" hidden="1">IQ_IS!$R$91</definedName>
    <definedName name="MscoInputCell165" localSheetId="10" hidden="1">'BIDU_BS + CFS'!$J$203</definedName>
    <definedName name="MscoInputCell166" localSheetId="6" hidden="1">'BIDU_BS + CFS'!$W$20</definedName>
    <definedName name="MscoInputCell166" localSheetId="5" hidden="1">BIDU_IS!$S$98</definedName>
    <definedName name="MscoInputCell166" localSheetId="9" hidden="1">'IQ_BS + CFS'!$W$18</definedName>
    <definedName name="MscoInputCell166" localSheetId="8" hidden="1">IQ_IS!$S$91</definedName>
    <definedName name="MscoInputCell166" localSheetId="10" hidden="1">'BIDU_BS + CFS'!$F$213</definedName>
    <definedName name="MscoInputCell167" localSheetId="6" hidden="1">'BIDU_BS + CFS'!$X$20</definedName>
    <definedName name="MscoInputCell167" localSheetId="5" hidden="1">BIDU_IS!$T$98</definedName>
    <definedName name="MscoInputCell167" localSheetId="9" hidden="1">'IQ_BS + CFS'!$X$18</definedName>
    <definedName name="MscoInputCell167" localSheetId="8" hidden="1">IQ_IS!$T$91</definedName>
    <definedName name="MscoInputCell167" localSheetId="10" hidden="1">'BIDU_BS + CFS'!$G$213</definedName>
    <definedName name="MscoInputCell168" localSheetId="6" hidden="1">'BIDU_BS + CFS'!$Y$20</definedName>
    <definedName name="MscoInputCell168" localSheetId="5" hidden="1">BIDU_IS!$U$98</definedName>
    <definedName name="MscoInputCell168" localSheetId="9" hidden="1">'IQ_BS + CFS'!$Y$18</definedName>
    <definedName name="MscoInputCell168" localSheetId="8" hidden="1">IQ_IS!$U$91</definedName>
    <definedName name="MscoInputCell168" localSheetId="10" hidden="1">'BIDU_BS + CFS'!$H$213</definedName>
    <definedName name="MscoInputCell169" localSheetId="6" hidden="1">'BIDU_BS + CFS'!$Z$20</definedName>
    <definedName name="MscoInputCell169" localSheetId="5" hidden="1">BIDU_IS!$V$98</definedName>
    <definedName name="MscoInputCell169" localSheetId="9" hidden="1">'IQ_BS + CFS'!$Z$18</definedName>
    <definedName name="MscoInputCell169" localSheetId="8" hidden="1">IQ_IS!$V$91</definedName>
    <definedName name="MscoInputCell169" localSheetId="10" hidden="1">'BIDU_BS + CFS'!$I$213</definedName>
    <definedName name="MscoInputCell17" localSheetId="5" hidden="1">BIDU_IS!$J$86</definedName>
    <definedName name="MscoInputCell17" localSheetId="8" hidden="1">IQ_IS!$J$79</definedName>
    <definedName name="MscoInputCell17" localSheetId="10" hidden="1">Operating_Model!$AF$32</definedName>
    <definedName name="MscoInputCell170" localSheetId="6" hidden="1">'BIDU_BS + CFS'!$AA$20</definedName>
    <definedName name="MscoInputCell170" localSheetId="5" hidden="1">BIDU_IS!$W$98</definedName>
    <definedName name="MscoInputCell170" localSheetId="9" hidden="1">'IQ_BS + CFS'!$AA$18</definedName>
    <definedName name="MscoInputCell170" localSheetId="8" hidden="1">IQ_IS!$W$91</definedName>
    <definedName name="MscoInputCell170" localSheetId="10" hidden="1">'BIDU_BS + CFS'!$F$214</definedName>
    <definedName name="MscoInputCell171" localSheetId="6" hidden="1">'BIDU_BS + CFS'!$AB$20</definedName>
    <definedName name="MscoInputCell171" localSheetId="5" hidden="1">BIDU_IS!$X$98</definedName>
    <definedName name="MscoInputCell171" localSheetId="9" hidden="1">'IQ_BS + CFS'!$AB$18</definedName>
    <definedName name="MscoInputCell171" localSheetId="8" hidden="1">IQ_IS!$X$91</definedName>
    <definedName name="MscoInputCell171" localSheetId="10" hidden="1">'BIDU_BS + CFS'!$G$214</definedName>
    <definedName name="MscoInputCell172" localSheetId="6" hidden="1">'BIDU_BS + CFS'!$AC$20</definedName>
    <definedName name="MscoInputCell172" localSheetId="5" hidden="1">BIDU_IS!$Y$98</definedName>
    <definedName name="MscoInputCell172" localSheetId="9" hidden="1">'IQ_BS + CFS'!$AC$18</definedName>
    <definedName name="MscoInputCell172" localSheetId="8" hidden="1">IQ_IS!$Y$91</definedName>
    <definedName name="MscoInputCell172" localSheetId="10" hidden="1">'BIDU_BS + CFS'!$H$214</definedName>
    <definedName name="MscoInputCell173" localSheetId="6" hidden="1">'BIDU_BS + CFS'!$AD$20</definedName>
    <definedName name="MscoInputCell173" localSheetId="5" hidden="1">BIDU_IS!$Z$98</definedName>
    <definedName name="MscoInputCell173" localSheetId="9" hidden="1">'IQ_BS + CFS'!$AD$18</definedName>
    <definedName name="MscoInputCell173" localSheetId="8" hidden="1">IQ_IS!$Z$91</definedName>
    <definedName name="MscoInputCell173" localSheetId="10" hidden="1">'BIDU_BS + CFS'!$I$214</definedName>
    <definedName name="MscoInputCell174" localSheetId="6" hidden="1">'BIDU_BS + CFS'!$AE$20</definedName>
    <definedName name="MscoInputCell174" localSheetId="5" hidden="1">BIDU_IS!$AA$98</definedName>
    <definedName name="MscoInputCell174" localSheetId="9" hidden="1">'IQ_BS + CFS'!$AE$18</definedName>
    <definedName name="MscoInputCell174" localSheetId="8" hidden="1">IQ_IS!$AA$91</definedName>
    <definedName name="MscoInputCell174" localSheetId="10" hidden="1">'BIDU_BS + CFS'!$E$216</definedName>
    <definedName name="MscoInputCell175" localSheetId="6" hidden="1">'BIDU_BS + CFS'!$AF$20</definedName>
    <definedName name="MscoInputCell175" localSheetId="5" hidden="1">BIDU_IS!$AB$98</definedName>
    <definedName name="MscoInputCell175" localSheetId="9" hidden="1">'IQ_BS + CFS'!$AF$18</definedName>
    <definedName name="MscoInputCell175" localSheetId="8" hidden="1">IQ_IS!$AB$91</definedName>
    <definedName name="MscoInputCell175" localSheetId="10" hidden="1">'BIDU_BS + CFS'!$F$216</definedName>
    <definedName name="MscoInputCell176" localSheetId="6" hidden="1">'BIDU_BS + CFS'!$AG$20</definedName>
    <definedName name="MscoInputCell176" localSheetId="5" hidden="1">BIDU_IS!$AC$98</definedName>
    <definedName name="MscoInputCell176" localSheetId="9" hidden="1">'IQ_BS + CFS'!$AG$18</definedName>
    <definedName name="MscoInputCell176" localSheetId="8" hidden="1">IQ_IS!$AC$91</definedName>
    <definedName name="MscoInputCell176" localSheetId="10" hidden="1">'BIDU_BS + CFS'!$G$216</definedName>
    <definedName name="MscoInputCell177" localSheetId="6" hidden="1">'BIDU_BS + CFS'!$AH$20</definedName>
    <definedName name="MscoInputCell177" localSheetId="5" hidden="1">BIDU_IS!$AD$98</definedName>
    <definedName name="MscoInputCell177" localSheetId="9" hidden="1">'IQ_BS + CFS'!$AH$18</definedName>
    <definedName name="MscoInputCell177" localSheetId="8" hidden="1">IQ_IS!$AD$91</definedName>
    <definedName name="MscoInputCell177" localSheetId="10" hidden="1">'BIDU_BS + CFS'!$H$216</definedName>
    <definedName name="MscoInputCell178" localSheetId="6" hidden="1">'BIDU_BS + CFS'!$AI$20</definedName>
    <definedName name="MscoInputCell178" localSheetId="5" hidden="1">BIDU_IS!$AE$98</definedName>
    <definedName name="MscoInputCell178" localSheetId="9" hidden="1">'IQ_BS + CFS'!$AI$18</definedName>
    <definedName name="MscoInputCell178" localSheetId="8" hidden="1">IQ_IS!$AE$91</definedName>
    <definedName name="MscoInputCell178" localSheetId="10" hidden="1">'BIDU_BS + CFS'!$I$216</definedName>
    <definedName name="MscoInputCell179" localSheetId="6" hidden="1">'BIDU_BS + CFS'!$AJ$20</definedName>
    <definedName name="MscoInputCell179" localSheetId="5" hidden="1">BIDU_IS!$AF$98</definedName>
    <definedName name="MscoInputCell179" localSheetId="9" hidden="1">'IQ_BS + CFS'!$AJ$18</definedName>
    <definedName name="MscoInputCell179" localSheetId="8" hidden="1">IQ_IS!$AF$91</definedName>
    <definedName name="MscoInputCell179" localSheetId="10" hidden="1">'BIDU_BS + CFS'!$J$216</definedName>
    <definedName name="MscoInputCell18" localSheetId="5" hidden="1">BIDU_IS!$J$87</definedName>
    <definedName name="MscoInputCell18" localSheetId="8" hidden="1">IQ_IS!$J$80</definedName>
    <definedName name="MscoInputCell18" localSheetId="10" hidden="1">Operating_Model!$Y$25</definedName>
    <definedName name="MscoInputCell180" localSheetId="6" hidden="1">'BIDU_BS + CFS'!$T$22</definedName>
    <definedName name="MscoInputCell180" localSheetId="5" hidden="1">BIDU_IS!$AG$98</definedName>
    <definedName name="MscoInputCell180" localSheetId="9" hidden="1">'IQ_BS + CFS'!$T$20</definedName>
    <definedName name="MscoInputCell180" localSheetId="8" hidden="1">IQ_IS!$AG$91</definedName>
    <definedName name="MscoInputCell180" localSheetId="10" hidden="1">Operating_Model!$Q$8</definedName>
    <definedName name="MscoInputCell181" localSheetId="6" hidden="1">'BIDU_BS + CFS'!$U$22</definedName>
    <definedName name="MscoInputCell181" localSheetId="5" hidden="1">BIDU_IS!$AH$98</definedName>
    <definedName name="MscoInputCell181" localSheetId="9" hidden="1">'IQ_BS + CFS'!$U$20</definedName>
    <definedName name="MscoInputCell181" localSheetId="8" hidden="1">IQ_IS!$AH$91</definedName>
    <definedName name="MscoInputCell181" localSheetId="10" hidden="1">Operating_Model!$R$8</definedName>
    <definedName name="MscoInputCell182" localSheetId="6" hidden="1">'BIDU_BS + CFS'!$V$22</definedName>
    <definedName name="MscoInputCell182" localSheetId="5" hidden="1">BIDU_IS!$AI$98</definedName>
    <definedName name="MscoInputCell182" localSheetId="9" hidden="1">'IQ_BS + CFS'!$V$20</definedName>
    <definedName name="MscoInputCell182" localSheetId="8" hidden="1">IQ_IS!$AI$91</definedName>
    <definedName name="MscoInputCell182" localSheetId="10" hidden="1">Operating_Model!$S$8</definedName>
    <definedName name="MscoInputCell183" localSheetId="6" hidden="1">'BIDU_BS + CFS'!$W$22</definedName>
    <definedName name="MscoInputCell183" localSheetId="5" hidden="1">BIDU_IS!$AJ$98</definedName>
    <definedName name="MscoInputCell183" localSheetId="9" hidden="1">'IQ_BS + CFS'!$W$20</definedName>
    <definedName name="MscoInputCell183" localSheetId="8" hidden="1">IQ_IS!$AJ$91</definedName>
    <definedName name="MscoInputCell183" localSheetId="10" hidden="1">Operating_Model!$T$8</definedName>
    <definedName name="MscoInputCell184" localSheetId="6" hidden="1">'BIDU_BS + CFS'!$X$22</definedName>
    <definedName name="MscoInputCell184" localSheetId="5" hidden="1">BIDU_IS!$Q$101</definedName>
    <definedName name="MscoInputCell184" localSheetId="9" hidden="1">'IQ_BS + CFS'!$X$20</definedName>
    <definedName name="MscoInputCell184" localSheetId="10" hidden="1">Operating_Model!$U$8</definedName>
    <definedName name="MscoInputCell185" localSheetId="6" hidden="1">'BIDU_BS + CFS'!$Y$22</definedName>
    <definedName name="MscoInputCell185" localSheetId="5" hidden="1">BIDU_IS!$R$101</definedName>
    <definedName name="MscoInputCell185" localSheetId="9" hidden="1">'IQ_BS + CFS'!$Y$20</definedName>
    <definedName name="MscoInputCell185" localSheetId="10" hidden="1">Operating_Model!$V$8</definedName>
    <definedName name="MscoInputCell186" localSheetId="6" hidden="1">'BIDU_BS + CFS'!$Z$22</definedName>
    <definedName name="MscoInputCell186" localSheetId="5" hidden="1">BIDU_IS!$S$101</definedName>
    <definedName name="MscoInputCell186" localSheetId="9" hidden="1">'IQ_BS + CFS'!$Z$20</definedName>
    <definedName name="MscoInputCell186" localSheetId="10" hidden="1">Operating_Model!$W$8</definedName>
    <definedName name="MscoInputCell187" localSheetId="6" hidden="1">'BIDU_BS + CFS'!$AA$22</definedName>
    <definedName name="MscoInputCell187" localSheetId="5" hidden="1">BIDU_IS!$T$101</definedName>
    <definedName name="MscoInputCell187" localSheetId="9" hidden="1">'IQ_BS + CFS'!$AA$20</definedName>
    <definedName name="MscoInputCell187" localSheetId="10" hidden="1">Operating_Model!$X$8</definedName>
    <definedName name="MscoInputCell188" localSheetId="6" hidden="1">'BIDU_BS + CFS'!$AB$22</definedName>
    <definedName name="MscoInputCell188" localSheetId="5" hidden="1">BIDU_IS!$U$101</definedName>
    <definedName name="MscoInputCell188" localSheetId="9" hidden="1">'IQ_BS + CFS'!$AB$20</definedName>
    <definedName name="MscoInputCell188" localSheetId="10" hidden="1">Operating_Model!$Y$8</definedName>
    <definedName name="MscoInputCell189" localSheetId="6" hidden="1">'BIDU_BS + CFS'!$AC$22</definedName>
    <definedName name="MscoInputCell189" localSheetId="5" hidden="1">BIDU_IS!$V$101</definedName>
    <definedName name="MscoInputCell189" localSheetId="9" hidden="1">'IQ_BS + CFS'!$AC$20</definedName>
    <definedName name="MscoInputCell189" localSheetId="10" hidden="1">Operating_Model!$Z$8</definedName>
    <definedName name="MscoInputCell19" localSheetId="5" hidden="1">BIDU_IS!$F$80</definedName>
    <definedName name="MscoInputCell19" localSheetId="8" hidden="1">IQ_IS!$F$73</definedName>
    <definedName name="MscoInputCell19" localSheetId="10" hidden="1">Operating_Model!$Z$25</definedName>
    <definedName name="MscoInputCell190" localSheetId="6" hidden="1">'BIDU_BS + CFS'!$AD$22</definedName>
    <definedName name="MscoInputCell190" localSheetId="5" hidden="1">BIDU_IS!$W$101</definedName>
    <definedName name="MscoInputCell190" localSheetId="9" hidden="1">'IQ_BS + CFS'!$AD$20</definedName>
    <definedName name="MscoInputCell190" localSheetId="10" hidden="1">Operating_Model!$AA$8</definedName>
    <definedName name="MscoInputCell191" localSheetId="6" hidden="1">'BIDU_BS + CFS'!$AE$22</definedName>
    <definedName name="MscoInputCell191" localSheetId="5" hidden="1">BIDU_IS!$X$101</definedName>
    <definedName name="MscoInputCell191" localSheetId="9" hidden="1">'IQ_BS + CFS'!$AE$20</definedName>
    <definedName name="MscoInputCell191" localSheetId="10" hidden="1">Operating_Model!$AB$8</definedName>
    <definedName name="MscoInputCell192" localSheetId="6" hidden="1">'BIDU_BS + CFS'!$AF$22</definedName>
    <definedName name="MscoInputCell192" localSheetId="5" hidden="1">BIDU_IS!$Y$101</definedName>
    <definedName name="MscoInputCell192" localSheetId="9" hidden="1">'IQ_BS + CFS'!$AF$20</definedName>
    <definedName name="MscoInputCell192" localSheetId="10" hidden="1">Operating_Model!$AC$8</definedName>
    <definedName name="MscoInputCell193" localSheetId="6" hidden="1">'BIDU_BS + CFS'!$AG$22</definedName>
    <definedName name="MscoInputCell193" localSheetId="5" hidden="1">BIDU_IS!$Z$101</definedName>
    <definedName name="MscoInputCell193" localSheetId="9" hidden="1">'IQ_BS + CFS'!$AG$20</definedName>
    <definedName name="MscoInputCell193" localSheetId="10" hidden="1">Operating_Model!$AD$8</definedName>
    <definedName name="MscoInputCell194" localSheetId="6" hidden="1">'BIDU_BS + CFS'!$AH$22</definedName>
    <definedName name="MscoInputCell194" localSheetId="5" hidden="1">BIDU_IS!$AA$101</definedName>
    <definedName name="MscoInputCell194" localSheetId="9" hidden="1">'IQ_BS + CFS'!$AH$20</definedName>
    <definedName name="MscoInputCell194" localSheetId="10" hidden="1">Operating_Model!$AE$8</definedName>
    <definedName name="MscoInputCell195" localSheetId="6" hidden="1">'BIDU_BS + CFS'!$AI$22</definedName>
    <definedName name="MscoInputCell195" localSheetId="5" hidden="1">BIDU_IS!$AB$101</definedName>
    <definedName name="MscoInputCell195" localSheetId="9" hidden="1">'IQ_BS + CFS'!$AI$20</definedName>
    <definedName name="MscoInputCell195" localSheetId="10" hidden="1">Operating_Model!$AF$8</definedName>
    <definedName name="MscoInputCell196" localSheetId="6" hidden="1">'BIDU_BS + CFS'!$AJ$22</definedName>
    <definedName name="MscoInputCell196" localSheetId="5" hidden="1">BIDU_IS!$AC$101</definedName>
    <definedName name="MscoInputCell196" localSheetId="9" hidden="1">'IQ_BS + CFS'!$AJ$20</definedName>
    <definedName name="MscoInputCell196" localSheetId="10" hidden="1">Operating_Model!$AG$8</definedName>
    <definedName name="MscoInputCell197" localSheetId="6" hidden="1">'BIDU_BS + CFS'!$T$25</definedName>
    <definedName name="MscoInputCell197" localSheetId="5" hidden="1">BIDU_IS!$AD$101</definedName>
    <definedName name="MscoInputCell197" localSheetId="9" hidden="1">'IQ_BS + CFS'!$T$23</definedName>
    <definedName name="MscoInputCell197" localSheetId="10" hidden="1">Operating_Model!$AH$8</definedName>
    <definedName name="MscoInputCell198" localSheetId="6" hidden="1">'BIDU_BS + CFS'!$U$25</definedName>
    <definedName name="MscoInputCell198" localSheetId="5" hidden="1">BIDU_IS!$AE$101</definedName>
    <definedName name="MscoInputCell198" localSheetId="9" hidden="1">'IQ_BS + CFS'!$U$23</definedName>
    <definedName name="MscoInputCell198" localSheetId="10" hidden="1">Operating_Model!$AI$8</definedName>
    <definedName name="MscoInputCell199" localSheetId="6" hidden="1">'BIDU_BS + CFS'!$V$25</definedName>
    <definedName name="MscoInputCell199" localSheetId="5" hidden="1">BIDU_IS!$AF$101</definedName>
    <definedName name="MscoInputCell199" localSheetId="9" hidden="1">'IQ_BS + CFS'!$V$23</definedName>
    <definedName name="MscoInputCell199" localSheetId="10" hidden="1">Operating_Model!$AJ$8</definedName>
    <definedName name="MscoInputCell2" localSheetId="6" hidden="1">'BIDU_BS + CFS'!$L$8</definedName>
    <definedName name="MscoInputCell2" localSheetId="5" hidden="1">BIDU_IS!$AK$128</definedName>
    <definedName name="MscoInputCell2" localSheetId="2" hidden="1">Control!$C$4</definedName>
    <definedName name="MscoInputCell2" localSheetId="8" hidden="1">IQ_IS!$AK$117</definedName>
    <definedName name="MscoInputCell20" localSheetId="5" hidden="1">BIDU_IS!$G$80</definedName>
    <definedName name="MscoInputCell20" localSheetId="8" hidden="1">IQ_IS!$G$73</definedName>
    <definedName name="MscoInputCell20" localSheetId="10" hidden="1">Operating_Model!$AA$25</definedName>
    <definedName name="MscoInputCell200" localSheetId="6" hidden="1">'BIDU_BS + CFS'!$W$25</definedName>
    <definedName name="MscoInputCell200" localSheetId="5" hidden="1">BIDU_IS!$AG$101</definedName>
    <definedName name="MscoInputCell200" localSheetId="9" hidden="1">'IQ_BS + CFS'!$W$23</definedName>
    <definedName name="MscoInputCell200" localSheetId="10" hidden="1">Operating_Model!$AC$12</definedName>
    <definedName name="MscoInputCell201" localSheetId="6" hidden="1">'BIDU_BS + CFS'!$X$25</definedName>
    <definedName name="MscoInputCell201" localSheetId="5" hidden="1">BIDU_IS!$AH$101</definedName>
    <definedName name="MscoInputCell201" localSheetId="9" hidden="1">'IQ_BS + CFS'!$X$23</definedName>
    <definedName name="MscoInputCell201" localSheetId="10" hidden="1">Operating_Model!$AD$12</definedName>
    <definedName name="MscoInputCell202" localSheetId="6" hidden="1">'BIDU_BS + CFS'!$Y$25</definedName>
    <definedName name="MscoInputCell202" localSheetId="5" hidden="1">BIDU_IS!$AI$101</definedName>
    <definedName name="MscoInputCell202" localSheetId="9" hidden="1">'IQ_BS + CFS'!$Y$23</definedName>
    <definedName name="MscoInputCell202" localSheetId="10" hidden="1">Operating_Model!$AE$12</definedName>
    <definedName name="MscoInputCell203" localSheetId="6" hidden="1">'BIDU_BS + CFS'!$Z$25</definedName>
    <definedName name="MscoInputCell203" localSheetId="5" hidden="1">BIDU_IS!$AJ$101</definedName>
    <definedName name="MscoInputCell203" localSheetId="9" hidden="1">'IQ_BS + CFS'!$Z$23</definedName>
    <definedName name="MscoInputCell203" localSheetId="10" hidden="1">Operating_Model!$AF$12</definedName>
    <definedName name="MscoInputCell204" localSheetId="6" hidden="1">'BIDU_BS + CFS'!$AA$25</definedName>
    <definedName name="MscoInputCell204" localSheetId="5" hidden="1">BIDU_IS!$Q$102</definedName>
    <definedName name="MscoInputCell204" localSheetId="9" hidden="1">'IQ_BS + CFS'!$AA$23</definedName>
    <definedName name="MscoInputCell204" localSheetId="8" hidden="1">IQ_IS!$Q$94</definedName>
    <definedName name="MscoInputCell204" localSheetId="10" hidden="1">Operating_Model!$U$19</definedName>
    <definedName name="MscoInputCell205" localSheetId="6" hidden="1">'BIDU_BS + CFS'!$AB$25</definedName>
    <definedName name="MscoInputCell205" localSheetId="5" hidden="1">BIDU_IS!$R$102</definedName>
    <definedName name="MscoInputCell205" localSheetId="9" hidden="1">'IQ_BS + CFS'!$AB$23</definedName>
    <definedName name="MscoInputCell205" localSheetId="8" hidden="1">IQ_IS!$R$94</definedName>
    <definedName name="MscoInputCell205" localSheetId="10" hidden="1">Operating_Model!$V$19</definedName>
    <definedName name="MscoInputCell206" localSheetId="6" hidden="1">'BIDU_BS + CFS'!$AC$25</definedName>
    <definedName name="MscoInputCell206" localSheetId="5" hidden="1">BIDU_IS!$S$102</definedName>
    <definedName name="MscoInputCell206" localSheetId="9" hidden="1">'IQ_BS + CFS'!$AC$23</definedName>
    <definedName name="MscoInputCell206" localSheetId="8" hidden="1">IQ_IS!$S$94</definedName>
    <definedName name="MscoInputCell206" localSheetId="10" hidden="1">Operating_Model!$W$19</definedName>
    <definedName name="MscoInputCell207" localSheetId="6" hidden="1">'BIDU_BS + CFS'!$AD$25</definedName>
    <definedName name="MscoInputCell207" localSheetId="5" hidden="1">BIDU_IS!$T$102</definedName>
    <definedName name="MscoInputCell207" localSheetId="9" hidden="1">'IQ_BS + CFS'!$AD$23</definedName>
    <definedName name="MscoInputCell207" localSheetId="8" hidden="1">IQ_IS!$T$94</definedName>
    <definedName name="MscoInputCell207" localSheetId="10" hidden="1">Operating_Model!$X$19</definedName>
    <definedName name="MscoInputCell208" localSheetId="6" hidden="1">'BIDU_BS + CFS'!$AE$25</definedName>
    <definedName name="MscoInputCell208" localSheetId="5" hidden="1">BIDU_IS!$U$102</definedName>
    <definedName name="MscoInputCell208" localSheetId="9" hidden="1">'IQ_BS + CFS'!$AE$23</definedName>
    <definedName name="MscoInputCell208" localSheetId="8" hidden="1">IQ_IS!$U$94</definedName>
    <definedName name="MscoInputCell208" localSheetId="10" hidden="1">Operating_Model!$Y$19</definedName>
    <definedName name="MscoInputCell209" localSheetId="6" hidden="1">'BIDU_BS + CFS'!$AF$25</definedName>
    <definedName name="MscoInputCell209" localSheetId="5" hidden="1">BIDU_IS!$V$102</definedName>
    <definedName name="MscoInputCell209" localSheetId="9" hidden="1">'IQ_BS + CFS'!$AF$23</definedName>
    <definedName name="MscoInputCell209" localSheetId="8" hidden="1">IQ_IS!$V$94</definedName>
    <definedName name="MscoInputCell209" localSheetId="10" hidden="1">Operating_Model!$Z$19</definedName>
    <definedName name="MscoInputCell21" localSheetId="5" hidden="1">BIDU_IS!$H$80</definedName>
    <definedName name="MscoInputCell21" localSheetId="8" hidden="1">IQ_IS!$H$73</definedName>
    <definedName name="MscoInputCell21" localSheetId="10" hidden="1">Operating_Model!$AB$25</definedName>
    <definedName name="MscoInputCell210" localSheetId="6" hidden="1">'BIDU_BS + CFS'!$AG$25</definedName>
    <definedName name="MscoInputCell210" localSheetId="5" hidden="1">BIDU_IS!$W$102</definedName>
    <definedName name="MscoInputCell210" localSheetId="9" hidden="1">'IQ_BS + CFS'!$AG$23</definedName>
    <definedName name="MscoInputCell210" localSheetId="8" hidden="1">IQ_IS!$W$94</definedName>
    <definedName name="MscoInputCell210" localSheetId="10" hidden="1">Operating_Model!$AA$19</definedName>
    <definedName name="MscoInputCell211" localSheetId="6" hidden="1">'BIDU_BS + CFS'!$AH$25</definedName>
    <definedName name="MscoInputCell211" localSheetId="5" hidden="1">BIDU_IS!$X$102</definedName>
    <definedName name="MscoInputCell211" localSheetId="9" hidden="1">'IQ_BS + CFS'!$AH$23</definedName>
    <definedName name="MscoInputCell211" localSheetId="8" hidden="1">IQ_IS!$X$94</definedName>
    <definedName name="MscoInputCell211" localSheetId="10" hidden="1">Operating_Model!$AB$19</definedName>
    <definedName name="MscoInputCell212" localSheetId="6" hidden="1">'BIDU_BS + CFS'!$AI$25</definedName>
    <definedName name="MscoInputCell212" localSheetId="5" hidden="1">BIDU_IS!$Y$102</definedName>
    <definedName name="MscoInputCell212" localSheetId="9" hidden="1">'IQ_BS + CFS'!$AI$23</definedName>
    <definedName name="MscoInputCell212" localSheetId="8" hidden="1">IQ_IS!$Y$94</definedName>
    <definedName name="MscoInputCell212" localSheetId="10" hidden="1">Operating_Model!$AC$19</definedName>
    <definedName name="MscoInputCell213" localSheetId="6" hidden="1">'BIDU_BS + CFS'!$AJ$25</definedName>
    <definedName name="MscoInputCell213" localSheetId="5" hidden="1">BIDU_IS!$Z$102</definedName>
    <definedName name="MscoInputCell213" localSheetId="9" hidden="1">'IQ_BS + CFS'!$AJ$23</definedName>
    <definedName name="MscoInputCell213" localSheetId="8" hidden="1">IQ_IS!$Z$94</definedName>
    <definedName name="MscoInputCell213" localSheetId="10" hidden="1">Operating_Model!$AD$19</definedName>
    <definedName name="MscoInputCell214" localSheetId="6" hidden="1">'BIDU_BS + CFS'!$T$31</definedName>
    <definedName name="MscoInputCell214" localSheetId="5" hidden="1">BIDU_IS!$AA$102</definedName>
    <definedName name="MscoInputCell214" localSheetId="9" hidden="1">'IQ_BS + CFS'!$T$29</definedName>
    <definedName name="MscoInputCell214" localSheetId="8" hidden="1">IQ_IS!$AA$94</definedName>
    <definedName name="MscoInputCell214" localSheetId="10" hidden="1">Operating_Model!$AE$19</definedName>
    <definedName name="MscoInputCell215" localSheetId="6" hidden="1">'BIDU_BS + CFS'!$U$31</definedName>
    <definedName name="MscoInputCell215" localSheetId="5" hidden="1">BIDU_IS!$AB$102</definedName>
    <definedName name="MscoInputCell215" localSheetId="9" hidden="1">'IQ_BS + CFS'!$U$29</definedName>
    <definedName name="MscoInputCell215" localSheetId="8" hidden="1">IQ_IS!$AB$94</definedName>
    <definedName name="MscoInputCell215" localSheetId="10" hidden="1">Operating_Model!$AF$19</definedName>
    <definedName name="MscoInputCell216" localSheetId="6" hidden="1">'BIDU_BS + CFS'!$V$31</definedName>
    <definedName name="MscoInputCell216" localSheetId="5" hidden="1">BIDU_IS!$AC$102</definedName>
    <definedName name="MscoInputCell216" localSheetId="9" hidden="1">'IQ_BS + CFS'!$V$29</definedName>
    <definedName name="MscoInputCell216" localSheetId="8" hidden="1">IQ_IS!$AC$94</definedName>
    <definedName name="MscoInputCell216" localSheetId="10" hidden="1">Operating_Model!$AG$19</definedName>
    <definedName name="MscoInputCell217" localSheetId="6" hidden="1">'BIDU_BS + CFS'!$W$31</definedName>
    <definedName name="MscoInputCell217" localSheetId="5" hidden="1">BIDU_IS!$AD$102</definedName>
    <definedName name="MscoInputCell217" localSheetId="9" hidden="1">'IQ_BS + CFS'!$W$29</definedName>
    <definedName name="MscoInputCell217" localSheetId="8" hidden="1">IQ_IS!$AD$94</definedName>
    <definedName name="MscoInputCell217" localSheetId="10" hidden="1">Operating_Model!$AH$19</definedName>
    <definedName name="MscoInputCell218" localSheetId="6" hidden="1">'BIDU_BS + CFS'!$X$31</definedName>
    <definedName name="MscoInputCell218" localSheetId="5" hidden="1">BIDU_IS!$AE$102</definedName>
    <definedName name="MscoInputCell218" localSheetId="9" hidden="1">'IQ_BS + CFS'!$X$29</definedName>
    <definedName name="MscoInputCell218" localSheetId="8" hidden="1">IQ_IS!$AE$94</definedName>
    <definedName name="MscoInputCell218" localSheetId="10" hidden="1">Operating_Model!$AI$19</definedName>
    <definedName name="MscoInputCell219" localSheetId="6" hidden="1">'BIDU_BS + CFS'!$Y$31</definedName>
    <definedName name="MscoInputCell219" localSheetId="5" hidden="1">BIDU_IS!$AF$102</definedName>
    <definedName name="MscoInputCell219" localSheetId="9" hidden="1">'IQ_BS + CFS'!$Y$29</definedName>
    <definedName name="MscoInputCell219" localSheetId="8" hidden="1">IQ_IS!$AF$94</definedName>
    <definedName name="MscoInputCell219" localSheetId="10" hidden="1">Operating_Model!$AJ$19</definedName>
    <definedName name="MscoInputCell22" localSheetId="5" hidden="1">BIDU_IS!$I$80</definedName>
    <definedName name="MscoInputCell22" localSheetId="8" hidden="1">IQ_IS!$I$73</definedName>
    <definedName name="MscoInputCell22" localSheetId="10" hidden="1">Operating_Model!$AC$25</definedName>
    <definedName name="MscoInputCell220" localSheetId="6" hidden="1">'BIDU_BS + CFS'!$Z$31</definedName>
    <definedName name="MscoInputCell220" localSheetId="5" hidden="1">BIDU_IS!$AG$102</definedName>
    <definedName name="MscoInputCell220" localSheetId="9" hidden="1">'IQ_BS + CFS'!$Z$29</definedName>
    <definedName name="MscoInputCell220" localSheetId="8" hidden="1">IQ_IS!$AG$94</definedName>
    <definedName name="MscoInputCell220" localSheetId="10" hidden="1">Operating_Model!$AH$27</definedName>
    <definedName name="MscoInputCell221" localSheetId="6" hidden="1">'BIDU_BS + CFS'!$AA$31</definedName>
    <definedName name="MscoInputCell221" localSheetId="5" hidden="1">BIDU_IS!$AH$102</definedName>
    <definedName name="MscoInputCell221" localSheetId="9" hidden="1">'IQ_BS + CFS'!$AA$29</definedName>
    <definedName name="MscoInputCell221" localSheetId="8" hidden="1">IQ_IS!$AH$94</definedName>
    <definedName name="MscoInputCell221" localSheetId="10" hidden="1">Operating_Model!$AC$31</definedName>
    <definedName name="MscoInputCell222" localSheetId="6" hidden="1">'BIDU_BS + CFS'!$AB$31</definedName>
    <definedName name="MscoInputCell222" localSheetId="5" hidden="1">BIDU_IS!$AI$102</definedName>
    <definedName name="MscoInputCell222" localSheetId="9" hidden="1">'IQ_BS + CFS'!$AB$29</definedName>
    <definedName name="MscoInputCell222" localSheetId="8" hidden="1">IQ_IS!$AI$94</definedName>
    <definedName name="MscoInputCell222" localSheetId="10" hidden="1">Operating_Model!$AD$31</definedName>
    <definedName name="MscoInputCell223" localSheetId="6" hidden="1">'BIDU_BS + CFS'!$AC$31</definedName>
    <definedName name="MscoInputCell223" localSheetId="5" hidden="1">BIDU_IS!$AJ$102</definedName>
    <definedName name="MscoInputCell223" localSheetId="9" hidden="1">'IQ_BS + CFS'!$AC$29</definedName>
    <definedName name="MscoInputCell223" localSheetId="8" hidden="1">IQ_IS!$AJ$94</definedName>
    <definedName name="MscoInputCell223" localSheetId="10" hidden="1">Operating_Model!$AE$31</definedName>
    <definedName name="MscoInputCell224" localSheetId="6" hidden="1">'BIDU_BS + CFS'!$AD$31</definedName>
    <definedName name="MscoInputCell224" localSheetId="5" hidden="1">BIDU_IS!$Q$103</definedName>
    <definedName name="MscoInputCell224" localSheetId="9" hidden="1">'IQ_BS + CFS'!$AD$29</definedName>
    <definedName name="MscoInputCell224" localSheetId="10" hidden="1">Operating_Model!$AF$31</definedName>
    <definedName name="MscoInputCell225" localSheetId="6" hidden="1">'BIDU_BS + CFS'!$AE$31</definedName>
    <definedName name="MscoInputCell225" localSheetId="5" hidden="1">BIDU_IS!$R$103</definedName>
    <definedName name="MscoInputCell225" localSheetId="9" hidden="1">'IQ_BS + CFS'!$AE$29</definedName>
    <definedName name="MscoInputCell225" localSheetId="10" hidden="1">Operating_Model!$AG$31</definedName>
    <definedName name="MscoInputCell226" localSheetId="6" hidden="1">'BIDU_BS + CFS'!$AF$31</definedName>
    <definedName name="MscoInputCell226" localSheetId="5" hidden="1">BIDU_IS!$S$103</definedName>
    <definedName name="MscoInputCell226" localSheetId="9" hidden="1">'IQ_BS + CFS'!$AF$29</definedName>
    <definedName name="MscoInputCell226" localSheetId="10" hidden="1">Operating_Model!$AH$31</definedName>
    <definedName name="MscoInputCell227" localSheetId="6" hidden="1">'BIDU_BS + CFS'!$AG$31</definedName>
    <definedName name="MscoInputCell227" localSheetId="5" hidden="1">BIDU_IS!$T$103</definedName>
    <definedName name="MscoInputCell227" localSheetId="9" hidden="1">'IQ_BS + CFS'!$AG$29</definedName>
    <definedName name="MscoInputCell227" localSheetId="10" hidden="1">Operating_Model!$AI$31</definedName>
    <definedName name="MscoInputCell228" localSheetId="6" hidden="1">'BIDU_BS + CFS'!$AH$31</definedName>
    <definedName name="MscoInputCell228" localSheetId="5" hidden="1">BIDU_IS!$U$103</definedName>
    <definedName name="MscoInputCell228" localSheetId="9" hidden="1">'IQ_BS + CFS'!$AH$29</definedName>
    <definedName name="MscoInputCell228" localSheetId="10" hidden="1">Operating_Model!$AJ$31</definedName>
    <definedName name="MscoInputCell229" localSheetId="6" hidden="1">'BIDU_BS + CFS'!$AI$31</definedName>
    <definedName name="MscoInputCell229" localSheetId="5" hidden="1">BIDU_IS!$V$103</definedName>
    <definedName name="MscoInputCell229" localSheetId="9" hidden="1">'IQ_BS + CFS'!$AI$29</definedName>
    <definedName name="MscoInputCell229" localSheetId="10" hidden="1">Operating_Model!$AD$33</definedName>
    <definedName name="MscoInputCell23" localSheetId="5" hidden="1">BIDU_IS!$F$81</definedName>
    <definedName name="MscoInputCell23" localSheetId="8" hidden="1">IQ_IS!$F$74</definedName>
    <definedName name="MscoInputCell23" localSheetId="10" hidden="1">Operating_Model!$AD$25</definedName>
    <definedName name="MscoInputCell230" localSheetId="6" hidden="1">'BIDU_BS + CFS'!$AJ$31</definedName>
    <definedName name="MscoInputCell230" localSheetId="5" hidden="1">BIDU_IS!$W$103</definedName>
    <definedName name="MscoInputCell230" localSheetId="9" hidden="1">'IQ_BS + CFS'!$AJ$29</definedName>
    <definedName name="MscoInputCell230" localSheetId="10" hidden="1">Operating_Model!$AE$33</definedName>
    <definedName name="MscoInputCell231" localSheetId="6" hidden="1">'BIDU_BS + CFS'!$T$33</definedName>
    <definedName name="MscoInputCell231" localSheetId="5" hidden="1">BIDU_IS!$X$103</definedName>
    <definedName name="MscoInputCell231" localSheetId="9" hidden="1">'IQ_BS + CFS'!$T$30</definedName>
    <definedName name="MscoInputCell231" localSheetId="10" hidden="1">Operating_Model!$AF$33</definedName>
    <definedName name="MscoInputCell232" localSheetId="6" hidden="1">'BIDU_BS + CFS'!$U$33</definedName>
    <definedName name="MscoInputCell232" localSheetId="5" hidden="1">BIDU_IS!$Y$103</definedName>
    <definedName name="MscoInputCell232" localSheetId="9" hidden="1">'IQ_BS + CFS'!$U$30</definedName>
    <definedName name="MscoInputCell232" localSheetId="10" hidden="1">Operating_Model!$AG$33</definedName>
    <definedName name="MscoInputCell233" localSheetId="6" hidden="1">'BIDU_BS + CFS'!$V$33</definedName>
    <definedName name="MscoInputCell233" localSheetId="5" hidden="1">BIDU_IS!$Z$103</definedName>
    <definedName name="MscoInputCell233" localSheetId="9" hidden="1">'IQ_BS + CFS'!$V$30</definedName>
    <definedName name="MscoInputCell233" localSheetId="10" hidden="1">Operating_Model!$AH$33</definedName>
    <definedName name="MscoInputCell234" localSheetId="6" hidden="1">'BIDU_BS + CFS'!$W$33</definedName>
    <definedName name="MscoInputCell234" localSheetId="5" hidden="1">BIDU_IS!$AA$103</definedName>
    <definedName name="MscoInputCell234" localSheetId="9" hidden="1">'IQ_BS + CFS'!$W$30</definedName>
    <definedName name="MscoInputCell234" localSheetId="10" hidden="1">Operating_Model!$AI$33</definedName>
    <definedName name="MscoInputCell235" localSheetId="6" hidden="1">'BIDU_BS + CFS'!$X$33</definedName>
    <definedName name="MscoInputCell235" localSheetId="5" hidden="1">BIDU_IS!$AB$103</definedName>
    <definedName name="MscoInputCell235" localSheetId="9" hidden="1">'IQ_BS + CFS'!$X$30</definedName>
    <definedName name="MscoInputCell235" localSheetId="10" hidden="1">Operating_Model!$AJ$33</definedName>
    <definedName name="MscoInputCell236" localSheetId="6" hidden="1">'BIDU_BS + CFS'!$Y$33</definedName>
    <definedName name="MscoInputCell236" localSheetId="5" hidden="1">BIDU_IS!$AC$103</definedName>
    <definedName name="MscoInputCell236" localSheetId="9" hidden="1">'IQ_BS + CFS'!$Y$30</definedName>
    <definedName name="MscoInputCell236" localSheetId="10" hidden="1">Operating_Model!$Z$76</definedName>
    <definedName name="MscoInputCell237" localSheetId="6" hidden="1">'BIDU_BS + CFS'!$Z$33</definedName>
    <definedName name="MscoInputCell237" localSheetId="5" hidden="1">BIDU_IS!$AD$103</definedName>
    <definedName name="MscoInputCell237" localSheetId="9" hidden="1">'IQ_BS + CFS'!$Z$30</definedName>
    <definedName name="MscoInputCell237" localSheetId="10" hidden="1">Operating_Model!$AA$76</definedName>
    <definedName name="MscoInputCell238" localSheetId="6" hidden="1">'BIDU_BS + CFS'!$AA$33</definedName>
    <definedName name="MscoInputCell238" localSheetId="5" hidden="1">BIDU_IS!$AE$103</definedName>
    <definedName name="MscoInputCell238" localSheetId="9" hidden="1">'IQ_BS + CFS'!$AA$30</definedName>
    <definedName name="MscoInputCell238" localSheetId="10" hidden="1">Operating_Model!$AB$76</definedName>
    <definedName name="MscoInputCell239" localSheetId="6" hidden="1">'BIDU_BS + CFS'!$AB$33</definedName>
    <definedName name="MscoInputCell239" localSheetId="5" hidden="1">BIDU_IS!$AF$103</definedName>
    <definedName name="MscoInputCell239" localSheetId="9" hidden="1">'IQ_BS + CFS'!$AB$30</definedName>
    <definedName name="MscoInputCell239" localSheetId="10" hidden="1">Operating_Model!$AD$76</definedName>
    <definedName name="MscoInputCell24" localSheetId="6" hidden="1">'BIDU_BS + CFS'!$L$157</definedName>
    <definedName name="MscoInputCell24" localSheetId="5" hidden="1">BIDU_IS!$G$81</definedName>
    <definedName name="MscoInputCell24" localSheetId="8" hidden="1">IQ_IS!$G$74</definedName>
    <definedName name="MscoInputCell24" localSheetId="10" hidden="1">Operating_Model!$AE$25</definedName>
    <definedName name="MscoInputCell240" localSheetId="6" hidden="1">'BIDU_BS + CFS'!$AC$33</definedName>
    <definedName name="MscoInputCell240" localSheetId="5" hidden="1">BIDU_IS!$AG$103</definedName>
    <definedName name="MscoInputCell240" localSheetId="9" hidden="1">'IQ_BS + CFS'!$AC$30</definedName>
    <definedName name="MscoInputCell240" localSheetId="10" hidden="1">Operating_Model!$AE$76</definedName>
    <definedName name="MscoInputCell241" localSheetId="6" hidden="1">'BIDU_BS + CFS'!$AD$33</definedName>
    <definedName name="MscoInputCell241" localSheetId="5" hidden="1">BIDU_IS!$AH$103</definedName>
    <definedName name="MscoInputCell241" localSheetId="9" hidden="1">'IQ_BS + CFS'!$AD$30</definedName>
    <definedName name="MscoInputCell241" localSheetId="10" hidden="1">Operating_Model!$AF$76</definedName>
    <definedName name="MscoInputCell242" localSheetId="6" hidden="1">'BIDU_BS + CFS'!$AE$33</definedName>
    <definedName name="MscoInputCell242" localSheetId="5" hidden="1">BIDU_IS!$AI$103</definedName>
    <definedName name="MscoInputCell242" localSheetId="9" hidden="1">'IQ_BS + CFS'!$AE$30</definedName>
    <definedName name="MscoInputCell242" localSheetId="10" hidden="1">Operating_Model!$AG$76</definedName>
    <definedName name="MscoInputCell243" localSheetId="6" hidden="1">'BIDU_BS + CFS'!$AF$33</definedName>
    <definedName name="MscoInputCell243" localSheetId="5" hidden="1">BIDU_IS!$AJ$103</definedName>
    <definedName name="MscoInputCell243" localSheetId="9" hidden="1">'IQ_BS + CFS'!$AF$30</definedName>
    <definedName name="MscoInputCell243" localSheetId="10" hidden="1">Operating_Model!$AH$76</definedName>
    <definedName name="MscoInputCell244" localSheetId="6" hidden="1">'BIDU_BS + CFS'!$AG$33</definedName>
    <definedName name="MscoInputCell244" localSheetId="5" hidden="1">BIDU_IS!$Q$104</definedName>
    <definedName name="MscoInputCell244" localSheetId="9" hidden="1">'IQ_BS + CFS'!$AG$30</definedName>
    <definedName name="MscoInputCell244" localSheetId="8" hidden="1">IQ_IS!$Q$96</definedName>
    <definedName name="MscoInputCell244" localSheetId="10" hidden="1">Operating_Model!$AI$76</definedName>
    <definedName name="MscoInputCell245" localSheetId="6" hidden="1">'BIDU_BS + CFS'!$AH$33</definedName>
    <definedName name="MscoInputCell245" localSheetId="5" hidden="1">BIDU_IS!$R$104</definedName>
    <definedName name="MscoInputCell245" localSheetId="9" hidden="1">'IQ_BS + CFS'!$AH$30</definedName>
    <definedName name="MscoInputCell245" localSheetId="8" hidden="1">IQ_IS!$R$96</definedName>
    <definedName name="MscoInputCell245" localSheetId="10" hidden="1">Operating_Model!$AJ$76</definedName>
    <definedName name="MscoInputCell246" localSheetId="6" hidden="1">'BIDU_BS + CFS'!$AI$33</definedName>
    <definedName name="MscoInputCell246" localSheetId="5" hidden="1">BIDU_IS!$S$104</definedName>
    <definedName name="MscoInputCell246" localSheetId="9" hidden="1">'IQ_BS + CFS'!$AI$30</definedName>
    <definedName name="MscoInputCell246" localSheetId="8" hidden="1">IQ_IS!$S$96</definedName>
    <definedName name="MscoInputCell246" localSheetId="10" hidden="1">Operating_Model!$AE$189</definedName>
    <definedName name="MscoInputCell247" localSheetId="6" hidden="1">'BIDU_BS + CFS'!$AJ$33</definedName>
    <definedName name="MscoInputCell247" localSheetId="5" hidden="1">BIDU_IS!$T$104</definedName>
    <definedName name="MscoInputCell247" localSheetId="9" hidden="1">'IQ_BS + CFS'!$AJ$30</definedName>
    <definedName name="MscoInputCell247" localSheetId="8" hidden="1">IQ_IS!$T$96</definedName>
    <definedName name="MscoInputCell247" localSheetId="10" hidden="1">Operating_Model!$AF$189</definedName>
    <definedName name="MscoInputCell248" localSheetId="5" hidden="1">BIDU_IS!$U$104</definedName>
    <definedName name="MscoInputCell248" localSheetId="8" hidden="1">IQ_IS!$U$96</definedName>
    <definedName name="MscoInputCell248" localSheetId="10" hidden="1">Operating_Model!$AG$189</definedName>
    <definedName name="MscoInputCell249" localSheetId="5" hidden="1">BIDU_IS!$V$104</definedName>
    <definedName name="MscoInputCell249" localSheetId="8" hidden="1">IQ_IS!$V$96</definedName>
    <definedName name="MscoInputCell249" localSheetId="10" hidden="1">Operating_Model!$AH$189</definedName>
    <definedName name="MscoInputCell25" localSheetId="6" hidden="1">'BIDU_BS + CFS'!$M$157</definedName>
    <definedName name="MscoInputCell25" localSheetId="5" hidden="1">BIDU_IS!$H$81</definedName>
    <definedName name="MscoInputCell25" localSheetId="8" hidden="1">IQ_IS!$H$74</definedName>
    <definedName name="MscoInputCell25" localSheetId="10" hidden="1">Operating_Model!$AF$25</definedName>
    <definedName name="MscoInputCell250" localSheetId="5" hidden="1">BIDU_IS!$W$104</definedName>
    <definedName name="MscoInputCell250" localSheetId="8" hidden="1">IQ_IS!$W$96</definedName>
    <definedName name="MscoInputCell250" localSheetId="10" hidden="1">Operating_Model!$AI$189</definedName>
    <definedName name="MscoInputCell251" localSheetId="5" hidden="1">BIDU_IS!$X$104</definedName>
    <definedName name="MscoInputCell251" localSheetId="8" hidden="1">IQ_IS!$X$96</definedName>
    <definedName name="MscoInputCell251" localSheetId="10" hidden="1">Operating_Model!$AJ$189</definedName>
    <definedName name="MscoInputCell252" localSheetId="5" hidden="1">BIDU_IS!$Y$104</definedName>
    <definedName name="MscoInputCell252" localSheetId="8" hidden="1">IQ_IS!$Y$96</definedName>
    <definedName name="MscoInputCell252" localSheetId="10" hidden="1">Operating_Model!$AE$199</definedName>
    <definedName name="MscoInputCell253" localSheetId="5" hidden="1">BIDU_IS!$Z$104</definedName>
    <definedName name="MscoInputCell253" localSheetId="8" hidden="1">IQ_IS!$Z$96</definedName>
    <definedName name="MscoInputCell253" localSheetId="10" hidden="1">Operating_Model!$AE$202</definedName>
    <definedName name="MscoInputCell254" localSheetId="5" hidden="1">BIDU_IS!$AA$104</definedName>
    <definedName name="MscoInputCell254" localSheetId="8" hidden="1">IQ_IS!$AA$96</definedName>
    <definedName name="MscoInputCell254" localSheetId="10" hidden="1">Operating_Model!$AE$203</definedName>
    <definedName name="MscoInputCell255" localSheetId="5" hidden="1">BIDU_IS!$AB$104</definedName>
    <definedName name="MscoInputCell255" localSheetId="8" hidden="1">IQ_IS!$AB$96</definedName>
    <definedName name="MscoInputCell255" localSheetId="10" hidden="1">Operating_Model!$AE$204</definedName>
    <definedName name="MscoInputCell256" localSheetId="5" hidden="1">BIDU_IS!$AC$104</definedName>
    <definedName name="MscoInputCell256" localSheetId="8" hidden="1">IQ_IS!$AC$96</definedName>
    <definedName name="MscoInputCell257" localSheetId="5" hidden="1">BIDU_IS!$AD$104</definedName>
    <definedName name="MscoInputCell257" localSheetId="8" hidden="1">IQ_IS!$AD$96</definedName>
    <definedName name="MscoInputCell258" localSheetId="5" hidden="1">BIDU_IS!$AE$104</definedName>
    <definedName name="MscoInputCell258" localSheetId="8" hidden="1">IQ_IS!$AE$96</definedName>
    <definedName name="MscoInputCell259" localSheetId="5" hidden="1">BIDU_IS!$AF$104</definedName>
    <definedName name="MscoInputCell259" localSheetId="8" hidden="1">IQ_IS!$AF$96</definedName>
    <definedName name="MscoInputCell26" localSheetId="6" hidden="1">'BIDU_BS + CFS'!$M$158</definedName>
    <definedName name="MscoInputCell26" localSheetId="5" hidden="1">BIDU_IS!$I$81</definedName>
    <definedName name="MscoInputCell26" localSheetId="8" hidden="1">IQ_IS!$I$74</definedName>
    <definedName name="MscoInputCell26" localSheetId="10" hidden="1">Operating_Model!$AG$25</definedName>
    <definedName name="MscoInputCell260" localSheetId="5" hidden="1">BIDU_IS!$AG$104</definedName>
    <definedName name="MscoInputCell260" localSheetId="8" hidden="1">IQ_IS!$AG$96</definedName>
    <definedName name="MscoInputCell261" localSheetId="5" hidden="1">BIDU_IS!$AH$104</definedName>
    <definedName name="MscoInputCell261" localSheetId="8" hidden="1">IQ_IS!$AH$96</definedName>
    <definedName name="MscoInputCell262" localSheetId="5" hidden="1">BIDU_IS!$AI$104</definedName>
    <definedName name="MscoInputCell262" localSheetId="8" hidden="1">IQ_IS!$AI$96</definedName>
    <definedName name="MscoInputCell263" localSheetId="5" hidden="1">BIDU_IS!$AJ$104</definedName>
    <definedName name="MscoInputCell263" localSheetId="8" hidden="1">IQ_IS!$AJ$96</definedName>
    <definedName name="MscoInputCell264" localSheetId="5" hidden="1">BIDU_IS!$Q$105</definedName>
    <definedName name="MscoInputCell264" localSheetId="8" hidden="1">IQ_IS!$Q$95</definedName>
    <definedName name="MscoInputCell265" localSheetId="6" hidden="1">'BIDU_BS + CFS'!$T$35</definedName>
    <definedName name="MscoInputCell265" localSheetId="5" hidden="1">BIDU_IS!$R$105</definedName>
    <definedName name="MscoInputCell265" localSheetId="9" hidden="1">'IQ_BS + CFS'!$T$31</definedName>
    <definedName name="MscoInputCell265" localSheetId="8" hidden="1">IQ_IS!$R$95</definedName>
    <definedName name="MscoInputCell266" localSheetId="6" hidden="1">'BIDU_BS + CFS'!$U$35</definedName>
    <definedName name="MscoInputCell266" localSheetId="5" hidden="1">BIDU_IS!$S$105</definedName>
    <definedName name="MscoInputCell266" localSheetId="9" hidden="1">'IQ_BS + CFS'!$U$31</definedName>
    <definedName name="MscoInputCell266" localSheetId="8" hidden="1">IQ_IS!$S$95</definedName>
    <definedName name="MscoInputCell267" localSheetId="6" hidden="1">'BIDU_BS + CFS'!$V$35</definedName>
    <definedName name="MscoInputCell267" localSheetId="5" hidden="1">BIDU_IS!$T$105</definedName>
    <definedName name="MscoInputCell267" localSheetId="9" hidden="1">'IQ_BS + CFS'!$V$31</definedName>
    <definedName name="MscoInputCell267" localSheetId="8" hidden="1">IQ_IS!$T$95</definedName>
    <definedName name="MscoInputCell268" localSheetId="6" hidden="1">'BIDU_BS + CFS'!$W$35</definedName>
    <definedName name="MscoInputCell268" localSheetId="5" hidden="1">BIDU_IS!$U$105</definedName>
    <definedName name="MscoInputCell268" localSheetId="9" hidden="1">'IQ_BS + CFS'!$W$31</definedName>
    <definedName name="MscoInputCell268" localSheetId="8" hidden="1">IQ_IS!$U$95</definedName>
    <definedName name="MscoInputCell268" localSheetId="10" hidden="1">Operating_Model!$U$95</definedName>
    <definedName name="MscoInputCell269" localSheetId="6" hidden="1">'BIDU_BS + CFS'!$X$35</definedName>
    <definedName name="MscoInputCell269" localSheetId="5" hidden="1">BIDU_IS!$V$105</definedName>
    <definedName name="MscoInputCell269" localSheetId="9" hidden="1">'IQ_BS + CFS'!$X$31</definedName>
    <definedName name="MscoInputCell269" localSheetId="8" hidden="1">IQ_IS!$V$95</definedName>
    <definedName name="MscoInputCell269" localSheetId="10" hidden="1">Operating_Model!$V$95</definedName>
    <definedName name="MscoInputCell27" localSheetId="6" hidden="1">'BIDU_BS + CFS'!$T$7</definedName>
    <definedName name="MscoInputCell27" localSheetId="5" hidden="1">BIDU_IS!$Q$80</definedName>
    <definedName name="MscoInputCell27" localSheetId="9" hidden="1">'IQ_BS + CFS'!$T$7</definedName>
    <definedName name="MscoInputCell27" localSheetId="8" hidden="1">IQ_IS!$Q$73</definedName>
    <definedName name="MscoInputCell27" localSheetId="10" hidden="1">Operating_Model!$AH$25</definedName>
    <definedName name="MscoInputCell270" localSheetId="6" hidden="1">'BIDU_BS + CFS'!$Y$35</definedName>
    <definedName name="MscoInputCell270" localSheetId="5" hidden="1">BIDU_IS!$W$105</definedName>
    <definedName name="MscoInputCell270" localSheetId="9" hidden="1">'IQ_BS + CFS'!$Y$31</definedName>
    <definedName name="MscoInputCell270" localSheetId="8" hidden="1">IQ_IS!$W$95</definedName>
    <definedName name="MscoInputCell270" localSheetId="10" hidden="1">Operating_Model!$W$95</definedName>
    <definedName name="MscoInputCell271" localSheetId="6" hidden="1">'BIDU_BS + CFS'!$Z$35</definedName>
    <definedName name="MscoInputCell271" localSheetId="5" hidden="1">BIDU_IS!$X$105</definedName>
    <definedName name="MscoInputCell271" localSheetId="9" hidden="1">'IQ_BS + CFS'!$Z$31</definedName>
    <definedName name="MscoInputCell271" localSheetId="8" hidden="1">IQ_IS!$X$95</definedName>
    <definedName name="MscoInputCell271" localSheetId="10" hidden="1">Operating_Model!$X$95</definedName>
    <definedName name="MscoInputCell272" localSheetId="6" hidden="1">'BIDU_BS + CFS'!$AA$35</definedName>
    <definedName name="MscoInputCell272" localSheetId="5" hidden="1">BIDU_IS!$Y$105</definedName>
    <definedName name="MscoInputCell272" localSheetId="9" hidden="1">'IQ_BS + CFS'!$AA$31</definedName>
    <definedName name="MscoInputCell272" localSheetId="8" hidden="1">IQ_IS!$Y$95</definedName>
    <definedName name="MscoInputCell272" localSheetId="10" hidden="1">Operating_Model!$Y$95</definedName>
    <definedName name="MscoInputCell273" localSheetId="6" hidden="1">'BIDU_BS + CFS'!$AB$35</definedName>
    <definedName name="MscoInputCell273" localSheetId="5" hidden="1">BIDU_IS!$Z$105</definedName>
    <definedName name="MscoInputCell273" localSheetId="9" hidden="1">'IQ_BS + CFS'!$AB$31</definedName>
    <definedName name="MscoInputCell273" localSheetId="8" hidden="1">IQ_IS!$Z$95</definedName>
    <definedName name="MscoInputCell273" localSheetId="10" hidden="1">Operating_Model!$Z$95</definedName>
    <definedName name="MscoInputCell274" localSheetId="6" hidden="1">'BIDU_BS + CFS'!$AC$35</definedName>
    <definedName name="MscoInputCell274" localSheetId="5" hidden="1">BIDU_IS!$AA$105</definedName>
    <definedName name="MscoInputCell274" localSheetId="9" hidden="1">'IQ_BS + CFS'!$AC$31</definedName>
    <definedName name="MscoInputCell274" localSheetId="8" hidden="1">IQ_IS!$AA$95</definedName>
    <definedName name="MscoInputCell274" localSheetId="10" hidden="1">Operating_Model!$AA$95</definedName>
    <definedName name="MscoInputCell275" localSheetId="6" hidden="1">'BIDU_BS + CFS'!$AD$35</definedName>
    <definedName name="MscoInputCell275" localSheetId="5" hidden="1">BIDU_IS!$AB$105</definedName>
    <definedName name="MscoInputCell275" localSheetId="9" hidden="1">'IQ_BS + CFS'!$AD$31</definedName>
    <definedName name="MscoInputCell275" localSheetId="8" hidden="1">IQ_IS!$AB$95</definedName>
    <definedName name="MscoInputCell275" localSheetId="10" hidden="1">Operating_Model!$AB$95</definedName>
    <definedName name="MscoInputCell276" localSheetId="6" hidden="1">'BIDU_BS + CFS'!$AE$35</definedName>
    <definedName name="MscoInputCell276" localSheetId="5" hidden="1">BIDU_IS!$AC$105</definedName>
    <definedName name="MscoInputCell276" localSheetId="9" hidden="1">'IQ_BS + CFS'!$AE$31</definedName>
    <definedName name="MscoInputCell276" localSheetId="8" hidden="1">IQ_IS!$AC$95</definedName>
    <definedName name="MscoInputCell276" localSheetId="10" hidden="1">Operating_Model!$AC$95</definedName>
    <definedName name="MscoInputCell277" localSheetId="6" hidden="1">'BIDU_BS + CFS'!$AF$35</definedName>
    <definedName name="MscoInputCell277" localSheetId="5" hidden="1">BIDU_IS!$AD$105</definedName>
    <definedName name="MscoInputCell277" localSheetId="9" hidden="1">'IQ_BS + CFS'!$AF$31</definedName>
    <definedName name="MscoInputCell277" localSheetId="8" hidden="1">IQ_IS!$AD$95</definedName>
    <definedName name="MscoInputCell277" localSheetId="10" hidden="1">Operating_Model!$AD$95</definedName>
    <definedName name="MscoInputCell278" localSheetId="6" hidden="1">'BIDU_BS + CFS'!$AG$35</definedName>
    <definedName name="MscoInputCell278" localSheetId="5" hidden="1">BIDU_IS!$AE$105</definedName>
    <definedName name="MscoInputCell278" localSheetId="9" hidden="1">'IQ_BS + CFS'!$AG$31</definedName>
    <definedName name="MscoInputCell278" localSheetId="8" hidden="1">IQ_IS!$AE$95</definedName>
    <definedName name="MscoInputCell278" localSheetId="10" hidden="1">Operating_Model!$AE$95</definedName>
    <definedName name="MscoInputCell279" localSheetId="6" hidden="1">'BIDU_BS + CFS'!$AH$35</definedName>
    <definedName name="MscoInputCell279" localSheetId="5" hidden="1">BIDU_IS!$AF$105</definedName>
    <definedName name="MscoInputCell279" localSheetId="9" hidden="1">'IQ_BS + CFS'!$AH$31</definedName>
    <definedName name="MscoInputCell279" localSheetId="8" hidden="1">IQ_IS!$AF$95</definedName>
    <definedName name="MscoInputCell279" localSheetId="10" hidden="1">Operating_Model!$AF$95</definedName>
    <definedName name="MscoInputCell28" localSheetId="6" hidden="1">'BIDU_BS + CFS'!$U$7</definedName>
    <definedName name="MscoInputCell28" localSheetId="5" hidden="1">BIDU_IS!$R$80</definedName>
    <definedName name="MscoInputCell28" localSheetId="9" hidden="1">'IQ_BS + CFS'!$U$7</definedName>
    <definedName name="MscoInputCell28" localSheetId="8" hidden="1">IQ_IS!$R$73</definedName>
    <definedName name="MscoInputCell28" localSheetId="10" hidden="1">Operating_Model!$AI$25</definedName>
    <definedName name="MscoInputCell280" localSheetId="6" hidden="1">'BIDU_BS + CFS'!$AI$35</definedName>
    <definedName name="MscoInputCell280" localSheetId="5" hidden="1">BIDU_IS!$AG$105</definedName>
    <definedName name="MscoInputCell280" localSheetId="9" hidden="1">'IQ_BS + CFS'!$AI$31</definedName>
    <definedName name="MscoInputCell280" localSheetId="8" hidden="1">IQ_IS!$AG$95</definedName>
    <definedName name="MscoInputCell281" localSheetId="6" hidden="1">'BIDU_BS + CFS'!$AJ$35</definedName>
    <definedName name="MscoInputCell281" localSheetId="5" hidden="1">BIDU_IS!$AH$105</definedName>
    <definedName name="MscoInputCell281" localSheetId="9" hidden="1">'IQ_BS + CFS'!$AJ$31</definedName>
    <definedName name="MscoInputCell281" localSheetId="8" hidden="1">IQ_IS!$AH$95</definedName>
    <definedName name="MscoInputCell282" localSheetId="6" hidden="1">'BIDU_BS + CFS'!$T$37</definedName>
    <definedName name="MscoInputCell282" localSheetId="5" hidden="1">BIDU_IS!$AI$105</definedName>
    <definedName name="MscoInputCell282" localSheetId="9" hidden="1">'IQ_BS + CFS'!$T$35</definedName>
    <definedName name="MscoInputCell282" localSheetId="8" hidden="1">IQ_IS!$AI$95</definedName>
    <definedName name="MscoInputCell283" localSheetId="6" hidden="1">'BIDU_BS + CFS'!$U$37</definedName>
    <definedName name="MscoInputCell283" localSheetId="5" hidden="1">BIDU_IS!$AJ$105</definedName>
    <definedName name="MscoInputCell283" localSheetId="9" hidden="1">'IQ_BS + CFS'!$U$35</definedName>
    <definedName name="MscoInputCell283" localSheetId="8" hidden="1">IQ_IS!$AJ$95</definedName>
    <definedName name="MscoInputCell284" localSheetId="6" hidden="1">'BIDU_BS + CFS'!$V$37</definedName>
    <definedName name="MscoInputCell284" localSheetId="5" hidden="1">BIDU_IS!$Q$108</definedName>
    <definedName name="MscoInputCell284" localSheetId="9" hidden="1">'IQ_BS + CFS'!$V$35</definedName>
    <definedName name="MscoInputCell284" localSheetId="8" hidden="1">IQ_IS!$Q$97</definedName>
    <definedName name="MscoInputCell285" localSheetId="6" hidden="1">'BIDU_BS + CFS'!$W$37</definedName>
    <definedName name="MscoInputCell285" localSheetId="5" hidden="1">BIDU_IS!$R$108</definedName>
    <definedName name="MscoInputCell285" localSheetId="9" hidden="1">'IQ_BS + CFS'!$W$35</definedName>
    <definedName name="MscoInputCell285" localSheetId="8" hidden="1">IQ_IS!$R$97</definedName>
    <definedName name="MscoInputCell286" localSheetId="6" hidden="1">'BIDU_BS + CFS'!$X$37</definedName>
    <definedName name="MscoInputCell286" localSheetId="5" hidden="1">BIDU_IS!$S$108</definedName>
    <definedName name="MscoInputCell286" localSheetId="9" hidden="1">'IQ_BS + CFS'!$X$35</definedName>
    <definedName name="MscoInputCell286" localSheetId="8" hidden="1">IQ_IS!$S$97</definedName>
    <definedName name="MscoInputCell287" localSheetId="6" hidden="1">'BIDU_BS + CFS'!$Y$37</definedName>
    <definedName name="MscoInputCell287" localSheetId="5" hidden="1">BIDU_IS!$T$108</definedName>
    <definedName name="MscoInputCell287" localSheetId="9" hidden="1">'IQ_BS + CFS'!$Y$35</definedName>
    <definedName name="MscoInputCell287" localSheetId="8" hidden="1">IQ_IS!$T$97</definedName>
    <definedName name="MscoInputCell288" localSheetId="6" hidden="1">'BIDU_BS + CFS'!$Z$37</definedName>
    <definedName name="MscoInputCell288" localSheetId="5" hidden="1">BIDU_IS!$U$108</definedName>
    <definedName name="MscoInputCell288" localSheetId="9" hidden="1">'IQ_BS + CFS'!$Z$35</definedName>
    <definedName name="MscoInputCell288" localSheetId="8" hidden="1">IQ_IS!$U$97</definedName>
    <definedName name="MscoInputCell289" localSheetId="6" hidden="1">'BIDU_BS + CFS'!$AA$37</definedName>
    <definedName name="MscoInputCell289" localSheetId="5" hidden="1">BIDU_IS!$V$108</definedName>
    <definedName name="MscoInputCell289" localSheetId="9" hidden="1">'IQ_BS + CFS'!$AA$35</definedName>
    <definedName name="MscoInputCell289" localSheetId="8" hidden="1">IQ_IS!$V$97</definedName>
    <definedName name="MscoInputCell29" localSheetId="6" hidden="1">'BIDU_BS + CFS'!$V$7</definedName>
    <definedName name="MscoInputCell29" localSheetId="5" hidden="1">BIDU_IS!$S$80</definedName>
    <definedName name="MscoInputCell29" localSheetId="9" hidden="1">'IQ_BS + CFS'!$V$7</definedName>
    <definedName name="MscoInputCell29" localSheetId="8" hidden="1">IQ_IS!$S$73</definedName>
    <definedName name="MscoInputCell29" localSheetId="10" hidden="1">Operating_Model!$AJ$25</definedName>
    <definedName name="MscoInputCell290" localSheetId="6" hidden="1">'BIDU_BS + CFS'!$AB$37</definedName>
    <definedName name="MscoInputCell290" localSheetId="5" hidden="1">BIDU_IS!$W$108</definedName>
    <definedName name="MscoInputCell290" localSheetId="9" hidden="1">'IQ_BS + CFS'!$AB$35</definedName>
    <definedName name="MscoInputCell290" localSheetId="8" hidden="1">IQ_IS!$W$97</definedName>
    <definedName name="MscoInputCell291" localSheetId="6" hidden="1">'BIDU_BS + CFS'!$AC$37</definedName>
    <definedName name="MscoInputCell291" localSheetId="5" hidden="1">BIDU_IS!$X$108</definedName>
    <definedName name="MscoInputCell291" localSheetId="9" hidden="1">'IQ_BS + CFS'!$AC$35</definedName>
    <definedName name="MscoInputCell291" localSheetId="8" hidden="1">IQ_IS!$X$97</definedName>
    <definedName name="MscoInputCell292" localSheetId="6" hidden="1">'BIDU_BS + CFS'!$AD$37</definedName>
    <definedName name="MscoInputCell292" localSheetId="5" hidden="1">BIDU_IS!$Y$108</definedName>
    <definedName name="MscoInputCell292" localSheetId="9" hidden="1">'IQ_BS + CFS'!$AD$35</definedName>
    <definedName name="MscoInputCell292" localSheetId="8" hidden="1">IQ_IS!$Y$97</definedName>
    <definedName name="MscoInputCell293" localSheetId="6" hidden="1">'BIDU_BS + CFS'!$AE$37</definedName>
    <definedName name="MscoInputCell293" localSheetId="5" hidden="1">BIDU_IS!$Z$108</definedName>
    <definedName name="MscoInputCell293" localSheetId="9" hidden="1">'IQ_BS + CFS'!$AE$35</definedName>
    <definedName name="MscoInputCell293" localSheetId="8" hidden="1">IQ_IS!$Z$97</definedName>
    <definedName name="MscoInputCell294" localSheetId="6" hidden="1">'BIDU_BS + CFS'!$AF$37</definedName>
    <definedName name="MscoInputCell294" localSheetId="5" hidden="1">BIDU_IS!$AA$108</definedName>
    <definedName name="MscoInputCell294" localSheetId="9" hidden="1">'IQ_BS + CFS'!$AF$35</definedName>
    <definedName name="MscoInputCell294" localSheetId="8" hidden="1">IQ_IS!$AA$97</definedName>
    <definedName name="MscoInputCell295" localSheetId="6" hidden="1">'BIDU_BS + CFS'!$AG$37</definedName>
    <definedName name="MscoInputCell295" localSheetId="5" hidden="1">BIDU_IS!$AB$108</definedName>
    <definedName name="MscoInputCell295" localSheetId="9" hidden="1">'IQ_BS + CFS'!$AG$35</definedName>
    <definedName name="MscoInputCell295" localSheetId="8" hidden="1">IQ_IS!$AB$97</definedName>
    <definedName name="MscoInputCell296" localSheetId="6" hidden="1">'BIDU_BS + CFS'!$AH$37</definedName>
    <definedName name="MscoInputCell296" localSheetId="5" hidden="1">BIDU_IS!$AC$108</definedName>
    <definedName name="MscoInputCell296" localSheetId="9" hidden="1">'IQ_BS + CFS'!$AH$35</definedName>
    <definedName name="MscoInputCell296" localSheetId="8" hidden="1">IQ_IS!$AC$97</definedName>
    <definedName name="MscoInputCell297" localSheetId="6" hidden="1">'BIDU_BS + CFS'!$AI$37</definedName>
    <definedName name="MscoInputCell297" localSheetId="5" hidden="1">BIDU_IS!$AD$108</definedName>
    <definedName name="MscoInputCell297" localSheetId="9" hidden="1">'IQ_BS + CFS'!$AI$35</definedName>
    <definedName name="MscoInputCell297" localSheetId="8" hidden="1">IQ_IS!$AD$97</definedName>
    <definedName name="MscoInputCell298" localSheetId="6" hidden="1">'BIDU_BS + CFS'!$AJ$37</definedName>
    <definedName name="MscoInputCell298" localSheetId="5" hidden="1">BIDU_IS!$AE$108</definedName>
    <definedName name="MscoInputCell298" localSheetId="9" hidden="1">'IQ_BS + CFS'!$AJ$35</definedName>
    <definedName name="MscoInputCell298" localSheetId="8" hidden="1">IQ_IS!$AE$97</definedName>
    <definedName name="MscoInputCell299" localSheetId="6" hidden="1">'BIDU_BS + CFS'!$T$38</definedName>
    <definedName name="MscoInputCell299" localSheetId="5" hidden="1">BIDU_IS!$AF$108</definedName>
    <definedName name="MscoInputCell299" localSheetId="8" hidden="1">IQ_IS!$AF$97</definedName>
    <definedName name="MscoInputCell3" localSheetId="6" hidden="1">'BIDU_BS + CFS'!$M$8</definedName>
    <definedName name="MscoInputCell3" localSheetId="5" hidden="1">BIDU_IS!$AK$137</definedName>
    <definedName name="MscoInputCell3" localSheetId="2" hidden="1">Control!$C$5</definedName>
    <definedName name="MscoInputCell3" localSheetId="8" hidden="1">IQ_IS!$AK$127</definedName>
    <definedName name="MscoInputCell30" localSheetId="6" hidden="1">'BIDU_BS + CFS'!$W$7</definedName>
    <definedName name="MscoInputCell30" localSheetId="5" hidden="1">BIDU_IS!$T$80</definedName>
    <definedName name="MscoInputCell30" localSheetId="9" hidden="1">'IQ_BS + CFS'!$W$7</definedName>
    <definedName name="MscoInputCell30" localSheetId="8" hidden="1">IQ_IS!$T$73</definedName>
    <definedName name="MscoInputCell300" localSheetId="6" hidden="1">'BIDU_BS + CFS'!$U$38</definedName>
    <definedName name="MscoInputCell300" localSheetId="5" hidden="1">BIDU_IS!$AG$108</definedName>
    <definedName name="MscoInputCell300" localSheetId="8" hidden="1">IQ_IS!$AG$97</definedName>
    <definedName name="MscoInputCell301" localSheetId="6" hidden="1">'BIDU_BS + CFS'!$V$38</definedName>
    <definedName name="MscoInputCell301" localSheetId="5" hidden="1">BIDU_IS!$AH$108</definedName>
    <definedName name="MscoInputCell301" localSheetId="8" hidden="1">IQ_IS!$AH$97</definedName>
    <definedName name="MscoInputCell302" localSheetId="6" hidden="1">'BIDU_BS + CFS'!$W$38</definedName>
    <definedName name="MscoInputCell302" localSheetId="5" hidden="1">BIDU_IS!$AI$108</definedName>
    <definedName name="MscoInputCell302" localSheetId="8" hidden="1">IQ_IS!$AI$97</definedName>
    <definedName name="MscoInputCell303" localSheetId="6" hidden="1">'BIDU_BS + CFS'!$X$38</definedName>
    <definedName name="MscoInputCell303" localSheetId="5" hidden="1">BIDU_IS!$AJ$108</definedName>
    <definedName name="MscoInputCell303" localSheetId="8" hidden="1">IQ_IS!$AJ$97</definedName>
    <definedName name="MscoInputCell304" localSheetId="6" hidden="1">'BIDU_BS + CFS'!$Y$38</definedName>
    <definedName name="MscoInputCell304" localSheetId="5" hidden="1">BIDU_IS!$Q$126</definedName>
    <definedName name="MscoInputCell304" localSheetId="8" hidden="1">IQ_IS!$Q$115</definedName>
    <definedName name="MscoInputCell305" localSheetId="6" hidden="1">'BIDU_BS + CFS'!$Z$38</definedName>
    <definedName name="MscoInputCell305" localSheetId="5" hidden="1">BIDU_IS!$R$126</definedName>
    <definedName name="MscoInputCell305" localSheetId="8" hidden="1">IQ_IS!$R$115</definedName>
    <definedName name="MscoInputCell306" localSheetId="6" hidden="1">'BIDU_BS + CFS'!$AA$38</definedName>
    <definedName name="MscoInputCell306" localSheetId="5" hidden="1">BIDU_IS!$S$126</definedName>
    <definedName name="MscoInputCell306" localSheetId="8" hidden="1">IQ_IS!$S$115</definedName>
    <definedName name="MscoInputCell307" localSheetId="6" hidden="1">'BIDU_BS + CFS'!$AB$38</definedName>
    <definedName name="MscoInputCell307" localSheetId="5" hidden="1">BIDU_IS!$T$126</definedName>
    <definedName name="MscoInputCell307" localSheetId="8" hidden="1">IQ_IS!$T$115</definedName>
    <definedName name="MscoInputCell308" localSheetId="6" hidden="1">'BIDU_BS + CFS'!$AC$38</definedName>
    <definedName name="MscoInputCell308" localSheetId="5" hidden="1">BIDU_IS!$U$126</definedName>
    <definedName name="MscoInputCell308" localSheetId="8" hidden="1">IQ_IS!$U$115</definedName>
    <definedName name="MscoInputCell309" localSheetId="6" hidden="1">'BIDU_BS + CFS'!$AD$38</definedName>
    <definedName name="MscoInputCell309" localSheetId="5" hidden="1">BIDU_IS!$V$126</definedName>
    <definedName name="MscoInputCell309" localSheetId="8" hidden="1">IQ_IS!$V$115</definedName>
    <definedName name="MscoInputCell31" localSheetId="6" hidden="1">'BIDU_BS + CFS'!$X$7</definedName>
    <definedName name="MscoInputCell31" localSheetId="5" hidden="1">BIDU_IS!$U$80</definedName>
    <definedName name="MscoInputCell31" localSheetId="9" hidden="1">'IQ_BS + CFS'!$X$7</definedName>
    <definedName name="MscoInputCell31" localSheetId="8" hidden="1">IQ_IS!$U$73</definedName>
    <definedName name="MscoInputCell310" localSheetId="6" hidden="1">'BIDU_BS + CFS'!$AE$38</definedName>
    <definedName name="MscoInputCell310" localSheetId="5" hidden="1">BIDU_IS!$W$126</definedName>
    <definedName name="MscoInputCell310" localSheetId="8" hidden="1">IQ_IS!$W$115</definedName>
    <definedName name="MscoInputCell311" localSheetId="6" hidden="1">'BIDU_BS + CFS'!$AF$38</definedName>
    <definedName name="MscoInputCell311" localSheetId="5" hidden="1">BIDU_IS!$X$126</definedName>
    <definedName name="MscoInputCell311" localSheetId="8" hidden="1">IQ_IS!$X$115</definedName>
    <definedName name="MscoInputCell312" localSheetId="6" hidden="1">'BIDU_BS + CFS'!$AG$38</definedName>
    <definedName name="MscoInputCell312" localSheetId="5" hidden="1">BIDU_IS!$Y$126</definedName>
    <definedName name="MscoInputCell312" localSheetId="8" hidden="1">IQ_IS!$Y$115</definedName>
    <definedName name="MscoInputCell313" localSheetId="6" hidden="1">'BIDU_BS + CFS'!$AH$38</definedName>
    <definedName name="MscoInputCell313" localSheetId="5" hidden="1">BIDU_IS!$Z$126</definedName>
    <definedName name="MscoInputCell313" localSheetId="8" hidden="1">IQ_IS!$Z$115</definedName>
    <definedName name="MscoInputCell314" localSheetId="6" hidden="1">'BIDU_BS + CFS'!$AI$38</definedName>
    <definedName name="MscoInputCell314" localSheetId="5" hidden="1">BIDU_IS!$AA$126</definedName>
    <definedName name="MscoInputCell314" localSheetId="8" hidden="1">IQ_IS!$AA$115</definedName>
    <definedName name="MscoInputCell315" localSheetId="6" hidden="1">'BIDU_BS + CFS'!$AJ$38</definedName>
    <definedName name="MscoInputCell315" localSheetId="5" hidden="1">BIDU_IS!$AB$126</definedName>
    <definedName name="MscoInputCell315" localSheetId="8" hidden="1">IQ_IS!$AB$115</definedName>
    <definedName name="MscoInputCell316" localSheetId="6" hidden="1">'BIDU_BS + CFS'!$T$39</definedName>
    <definedName name="MscoInputCell316" localSheetId="5" hidden="1">BIDU_IS!$AC$126</definedName>
    <definedName name="MscoInputCell316" localSheetId="9" hidden="1">'IQ_BS + CFS'!$T$36</definedName>
    <definedName name="MscoInputCell316" localSheetId="8" hidden="1">IQ_IS!$AC$115</definedName>
    <definedName name="MscoInputCell317" localSheetId="6" hidden="1">'BIDU_BS + CFS'!$U$39</definedName>
    <definedName name="MscoInputCell317" localSheetId="5" hidden="1">BIDU_IS!$AD$126</definedName>
    <definedName name="MscoInputCell317" localSheetId="9" hidden="1">'IQ_BS + CFS'!$U$36</definedName>
    <definedName name="MscoInputCell317" localSheetId="8" hidden="1">IQ_IS!$AD$115</definedName>
    <definedName name="MscoInputCell318" localSheetId="6" hidden="1">'BIDU_BS + CFS'!$V$39</definedName>
    <definedName name="MscoInputCell318" localSheetId="5" hidden="1">BIDU_IS!$AE$126</definedName>
    <definedName name="MscoInputCell318" localSheetId="9" hidden="1">'IQ_BS + CFS'!$V$36</definedName>
    <definedName name="MscoInputCell318" localSheetId="8" hidden="1">IQ_IS!$AE$115</definedName>
    <definedName name="MscoInputCell319" localSheetId="6" hidden="1">'BIDU_BS + CFS'!$W$39</definedName>
    <definedName name="MscoInputCell319" localSheetId="5" hidden="1">BIDU_IS!$AF$126</definedName>
    <definedName name="MscoInputCell319" localSheetId="9" hidden="1">'IQ_BS + CFS'!$W$36</definedName>
    <definedName name="MscoInputCell319" localSheetId="8" hidden="1">IQ_IS!$AF$115</definedName>
    <definedName name="MscoInputCell32" localSheetId="6" hidden="1">'BIDU_BS + CFS'!$Y$7</definedName>
    <definedName name="MscoInputCell32" localSheetId="5" hidden="1">BIDU_IS!$V$80</definedName>
    <definedName name="MscoInputCell32" localSheetId="9" hidden="1">'IQ_BS + CFS'!$Y$7</definedName>
    <definedName name="MscoInputCell32" localSheetId="8" hidden="1">IQ_IS!$V$73</definedName>
    <definedName name="MscoInputCell320" localSheetId="6" hidden="1">'BIDU_BS + CFS'!$X$39</definedName>
    <definedName name="MscoInputCell320" localSheetId="5" hidden="1">BIDU_IS!$AG$126</definedName>
    <definedName name="MscoInputCell320" localSheetId="9" hidden="1">'IQ_BS + CFS'!$X$36</definedName>
    <definedName name="MscoInputCell320" localSheetId="8" hidden="1">IQ_IS!$AG$115</definedName>
    <definedName name="MscoInputCell321" localSheetId="6" hidden="1">'BIDU_BS + CFS'!$Y$39</definedName>
    <definedName name="MscoInputCell321" localSheetId="5" hidden="1">BIDU_IS!$AH$126</definedName>
    <definedName name="MscoInputCell321" localSheetId="9" hidden="1">'IQ_BS + CFS'!$Y$36</definedName>
    <definedName name="MscoInputCell321" localSheetId="8" hidden="1">IQ_IS!$AH$115</definedName>
    <definedName name="MscoInputCell322" localSheetId="6" hidden="1">'BIDU_BS + CFS'!$Z$39</definedName>
    <definedName name="MscoInputCell322" localSheetId="5" hidden="1">BIDU_IS!$AI$126</definedName>
    <definedName name="MscoInputCell322" localSheetId="9" hidden="1">'IQ_BS + CFS'!$Z$36</definedName>
    <definedName name="MscoInputCell322" localSheetId="8" hidden="1">IQ_IS!$AI$115</definedName>
    <definedName name="MscoInputCell323" localSheetId="6" hidden="1">'BIDU_BS + CFS'!$AA$39</definedName>
    <definedName name="MscoInputCell323" localSheetId="5" hidden="1">BIDU_IS!$AJ$126</definedName>
    <definedName name="MscoInputCell323" localSheetId="9" hidden="1">'IQ_BS + CFS'!$AA$36</definedName>
    <definedName name="MscoInputCell323" localSheetId="8" hidden="1">IQ_IS!$AJ$115</definedName>
    <definedName name="MscoInputCell324" localSheetId="6" hidden="1">'BIDU_BS + CFS'!$AB$39</definedName>
    <definedName name="MscoInputCell324" localSheetId="5" hidden="1">BIDU_IS!$Q$127</definedName>
    <definedName name="MscoInputCell324" localSheetId="9" hidden="1">'IQ_BS + CFS'!$AB$36</definedName>
    <definedName name="MscoInputCell324" localSheetId="8" hidden="1">IQ_IS!$Q$116</definedName>
    <definedName name="MscoInputCell325" localSheetId="6" hidden="1">'BIDU_BS + CFS'!$AC$39</definedName>
    <definedName name="MscoInputCell325" localSheetId="5" hidden="1">BIDU_IS!$R$127</definedName>
    <definedName name="MscoInputCell325" localSheetId="9" hidden="1">'IQ_BS + CFS'!$AC$36</definedName>
    <definedName name="MscoInputCell325" localSheetId="8" hidden="1">IQ_IS!$R$116</definedName>
    <definedName name="MscoInputCell326" localSheetId="6" hidden="1">'BIDU_BS + CFS'!$AD$39</definedName>
    <definedName name="MscoInputCell326" localSheetId="5" hidden="1">BIDU_IS!$S$127</definedName>
    <definedName name="MscoInputCell326" localSheetId="9" hidden="1">'IQ_BS + CFS'!$AD$36</definedName>
    <definedName name="MscoInputCell326" localSheetId="8" hidden="1">IQ_IS!$S$116</definedName>
    <definedName name="MscoInputCell327" localSheetId="6" hidden="1">'BIDU_BS + CFS'!$AE$39</definedName>
    <definedName name="MscoInputCell327" localSheetId="5" hidden="1">BIDU_IS!$T$127</definedName>
    <definedName name="MscoInputCell327" localSheetId="9" hidden="1">'IQ_BS + CFS'!$AE$36</definedName>
    <definedName name="MscoInputCell327" localSheetId="8" hidden="1">IQ_IS!$T$116</definedName>
    <definedName name="MscoInputCell328" localSheetId="6" hidden="1">'BIDU_BS + CFS'!$AF$39</definedName>
    <definedName name="MscoInputCell328" localSheetId="5" hidden="1">BIDU_IS!$U$127</definedName>
    <definedName name="MscoInputCell328" localSheetId="9" hidden="1">'IQ_BS + CFS'!$AF$36</definedName>
    <definedName name="MscoInputCell328" localSheetId="8" hidden="1">IQ_IS!$U$116</definedName>
    <definedName name="MscoInputCell329" localSheetId="6" hidden="1">'BIDU_BS + CFS'!$AG$39</definedName>
    <definedName name="MscoInputCell329" localSheetId="5" hidden="1">BIDU_IS!$V$127</definedName>
    <definedName name="MscoInputCell329" localSheetId="9" hidden="1">'IQ_BS + CFS'!$AG$36</definedName>
    <definedName name="MscoInputCell329" localSheetId="8" hidden="1">IQ_IS!$V$116</definedName>
    <definedName name="MscoInputCell33" localSheetId="6" hidden="1">'BIDU_BS + CFS'!$Z$7</definedName>
    <definedName name="MscoInputCell33" localSheetId="5" hidden="1">BIDU_IS!$W$80</definedName>
    <definedName name="MscoInputCell33" localSheetId="9" hidden="1">'IQ_BS + CFS'!$Z$7</definedName>
    <definedName name="MscoInputCell33" localSheetId="8" hidden="1">IQ_IS!$W$73</definedName>
    <definedName name="MscoInputCell330" localSheetId="6" hidden="1">'BIDU_BS + CFS'!$AH$39</definedName>
    <definedName name="MscoInputCell330" localSheetId="5" hidden="1">BIDU_IS!$W$127</definedName>
    <definedName name="MscoInputCell330" localSheetId="9" hidden="1">'IQ_BS + CFS'!$AH$36</definedName>
    <definedName name="MscoInputCell330" localSheetId="8" hidden="1">IQ_IS!$W$116</definedName>
    <definedName name="MscoInputCell331" localSheetId="6" hidden="1">'BIDU_BS + CFS'!$AI$39</definedName>
    <definedName name="MscoInputCell331" localSheetId="5" hidden="1">BIDU_IS!$X$127</definedName>
    <definedName name="MscoInputCell331" localSheetId="9" hidden="1">'IQ_BS + CFS'!$AI$36</definedName>
    <definedName name="MscoInputCell331" localSheetId="8" hidden="1">IQ_IS!$X$116</definedName>
    <definedName name="MscoInputCell332" localSheetId="6" hidden="1">'BIDU_BS + CFS'!$AJ$39</definedName>
    <definedName name="MscoInputCell332" localSheetId="5" hidden="1">BIDU_IS!$Y$127</definedName>
    <definedName name="MscoInputCell332" localSheetId="9" hidden="1">'IQ_BS + CFS'!$AJ$36</definedName>
    <definedName name="MscoInputCell332" localSheetId="8" hidden="1">IQ_IS!$Y$116</definedName>
    <definedName name="MscoInputCell333" localSheetId="6" hidden="1">'BIDU_BS + CFS'!$T$42</definedName>
    <definedName name="MscoInputCell333" localSheetId="5" hidden="1">BIDU_IS!$Z$127</definedName>
    <definedName name="MscoInputCell333" localSheetId="9" hidden="1">'IQ_BS + CFS'!$T$39</definedName>
    <definedName name="MscoInputCell333" localSheetId="8" hidden="1">IQ_IS!$Z$116</definedName>
    <definedName name="MscoInputCell334" localSheetId="6" hidden="1">'BIDU_BS + CFS'!$U$42</definedName>
    <definedName name="MscoInputCell334" localSheetId="5" hidden="1">BIDU_IS!$AA$127</definedName>
    <definedName name="MscoInputCell334" localSheetId="9" hidden="1">'IQ_BS + CFS'!$U$39</definedName>
    <definedName name="MscoInputCell334" localSheetId="8" hidden="1">IQ_IS!$AA$116</definedName>
    <definedName name="MscoInputCell335" localSheetId="6" hidden="1">'BIDU_BS + CFS'!$V$42</definedName>
    <definedName name="MscoInputCell335" localSheetId="5" hidden="1">BIDU_IS!$AB$127</definedName>
    <definedName name="MscoInputCell335" localSheetId="9" hidden="1">'IQ_BS + CFS'!$V$39</definedName>
    <definedName name="MscoInputCell335" localSheetId="8" hidden="1">IQ_IS!$AB$116</definedName>
    <definedName name="MscoInputCell336" localSheetId="6" hidden="1">'BIDU_BS + CFS'!$W$42</definedName>
    <definedName name="MscoInputCell336" localSheetId="5" hidden="1">BIDU_IS!$AC$127</definedName>
    <definedName name="MscoInputCell336" localSheetId="9" hidden="1">'IQ_BS + CFS'!$W$39</definedName>
    <definedName name="MscoInputCell336" localSheetId="8" hidden="1">IQ_IS!$AC$116</definedName>
    <definedName name="MscoInputCell337" localSheetId="6" hidden="1">'BIDU_BS + CFS'!$X$42</definedName>
    <definedName name="MscoInputCell337" localSheetId="5" hidden="1">BIDU_IS!$AD$127</definedName>
    <definedName name="MscoInputCell337" localSheetId="9" hidden="1">'IQ_BS + CFS'!$X$39</definedName>
    <definedName name="MscoInputCell337" localSheetId="8" hidden="1">IQ_IS!$AD$116</definedName>
    <definedName name="MscoInputCell338" localSheetId="6" hidden="1">'BIDU_BS + CFS'!$Y$42</definedName>
    <definedName name="MscoInputCell338" localSheetId="5" hidden="1">BIDU_IS!$AE$127</definedName>
    <definedName name="MscoInputCell338" localSheetId="9" hidden="1">'IQ_BS + CFS'!$Y$39</definedName>
    <definedName name="MscoInputCell338" localSheetId="8" hidden="1">IQ_IS!$AE$116</definedName>
    <definedName name="MscoInputCell339" localSheetId="6" hidden="1">'BIDU_BS + CFS'!$Z$42</definedName>
    <definedName name="MscoInputCell339" localSheetId="5" hidden="1">BIDU_IS!$AF$127</definedName>
    <definedName name="MscoInputCell339" localSheetId="9" hidden="1">'IQ_BS + CFS'!$Z$39</definedName>
    <definedName name="MscoInputCell339" localSheetId="8" hidden="1">IQ_IS!$AF$116</definedName>
    <definedName name="MscoInputCell34" localSheetId="6" hidden="1">'BIDU_BS + CFS'!$AA$7</definedName>
    <definedName name="MscoInputCell34" localSheetId="5" hidden="1">BIDU_IS!$X$80</definedName>
    <definedName name="MscoInputCell34" localSheetId="9" hidden="1">'IQ_BS + CFS'!$AA$7</definedName>
    <definedName name="MscoInputCell34" localSheetId="8" hidden="1">IQ_IS!$X$73</definedName>
    <definedName name="MscoInputCell340" localSheetId="6" hidden="1">'BIDU_BS + CFS'!$AA$42</definedName>
    <definedName name="MscoInputCell340" localSheetId="5" hidden="1">BIDU_IS!$AG$127</definedName>
    <definedName name="MscoInputCell340" localSheetId="9" hidden="1">'IQ_BS + CFS'!$AA$39</definedName>
    <definedName name="MscoInputCell340" localSheetId="8" hidden="1">IQ_IS!$AG$116</definedName>
    <definedName name="MscoInputCell341" localSheetId="6" hidden="1">'BIDU_BS + CFS'!$AB$42</definedName>
    <definedName name="MscoInputCell341" localSheetId="5" hidden="1">BIDU_IS!$AH$127</definedName>
    <definedName name="MscoInputCell341" localSheetId="9" hidden="1">'IQ_BS + CFS'!$AB$39</definedName>
    <definedName name="MscoInputCell341" localSheetId="8" hidden="1">IQ_IS!$AH$116</definedName>
    <definedName name="MscoInputCell342" localSheetId="6" hidden="1">'BIDU_BS + CFS'!$AC$42</definedName>
    <definedName name="MscoInputCell342" localSheetId="5" hidden="1">BIDU_IS!$AI$127</definedName>
    <definedName name="MscoInputCell342" localSheetId="9" hidden="1">'IQ_BS + CFS'!$AC$39</definedName>
    <definedName name="MscoInputCell342" localSheetId="8" hidden="1">IQ_IS!$AI$116</definedName>
    <definedName name="MscoInputCell343" localSheetId="6" hidden="1">'BIDU_BS + CFS'!$AD$42</definedName>
    <definedName name="MscoInputCell343" localSheetId="5" hidden="1">BIDU_IS!$AJ$127</definedName>
    <definedName name="MscoInputCell343" localSheetId="9" hidden="1">'IQ_BS + CFS'!$AD$39</definedName>
    <definedName name="MscoInputCell343" localSheetId="8" hidden="1">IQ_IS!$AJ$116</definedName>
    <definedName name="MscoInputCell344" localSheetId="6" hidden="1">'BIDU_BS + CFS'!$AE$42</definedName>
    <definedName name="MscoInputCell344" localSheetId="5" hidden="1">BIDU_IS!$Q$128</definedName>
    <definedName name="MscoInputCell344" localSheetId="9" hidden="1">'IQ_BS + CFS'!$AE$39</definedName>
    <definedName name="MscoInputCell344" localSheetId="8" hidden="1">IQ_IS!$Q$117</definedName>
    <definedName name="MscoInputCell344" localSheetId="10" hidden="1">'BIDU_BS + CFS'!$Q$197</definedName>
    <definedName name="MscoInputCell345" localSheetId="6" hidden="1">'BIDU_BS + CFS'!$AF$42</definedName>
    <definedName name="MscoInputCell345" localSheetId="5" hidden="1">BIDU_IS!$R$128</definedName>
    <definedName name="MscoInputCell345" localSheetId="9" hidden="1">'IQ_BS + CFS'!$AF$39</definedName>
    <definedName name="MscoInputCell345" localSheetId="8" hidden="1">IQ_IS!$R$117</definedName>
    <definedName name="MscoInputCell345" localSheetId="10" hidden="1">'BIDU_BS + CFS'!$Q$203</definedName>
    <definedName name="MscoInputCell346" localSheetId="6" hidden="1">'BIDU_BS + CFS'!$AG$42</definedName>
    <definedName name="MscoInputCell346" localSheetId="5" hidden="1">BIDU_IS!$S$128</definedName>
    <definedName name="MscoInputCell346" localSheetId="9" hidden="1">'IQ_BS + CFS'!$AG$39</definedName>
    <definedName name="MscoInputCell346" localSheetId="8" hidden="1">IQ_IS!$S$117</definedName>
    <definedName name="MscoInputCell346" localSheetId="10" hidden="1">'BIDU_BS + CFS'!$R$203</definedName>
    <definedName name="MscoInputCell347" localSheetId="6" hidden="1">'BIDU_BS + CFS'!$AH$42</definedName>
    <definedName name="MscoInputCell347" localSheetId="5" hidden="1">BIDU_IS!$T$128</definedName>
    <definedName name="MscoInputCell347" localSheetId="9" hidden="1">'IQ_BS + CFS'!$AH$39</definedName>
    <definedName name="MscoInputCell347" localSheetId="8" hidden="1">IQ_IS!$T$117</definedName>
    <definedName name="MscoInputCell347" localSheetId="10" hidden="1">'BIDU_BS + CFS'!$S$203</definedName>
    <definedName name="MscoInputCell348" localSheetId="6" hidden="1">'BIDU_BS + CFS'!$AI$42</definedName>
    <definedName name="MscoInputCell348" localSheetId="5" hidden="1">BIDU_IS!$U$128</definedName>
    <definedName name="MscoInputCell348" localSheetId="9" hidden="1">'IQ_BS + CFS'!$AI$39</definedName>
    <definedName name="MscoInputCell348" localSheetId="8" hidden="1">IQ_IS!$U$117</definedName>
    <definedName name="MscoInputCell348" localSheetId="10" hidden="1">'BIDU_BS + CFS'!$T$203</definedName>
    <definedName name="MscoInputCell349" localSheetId="6" hidden="1">'BIDU_BS + CFS'!$AJ$42</definedName>
    <definedName name="MscoInputCell349" localSheetId="5" hidden="1">BIDU_IS!$V$128</definedName>
    <definedName name="MscoInputCell349" localSheetId="9" hidden="1">'IQ_BS + CFS'!$AJ$39</definedName>
    <definedName name="MscoInputCell349" localSheetId="8" hidden="1">IQ_IS!$V$117</definedName>
    <definedName name="MscoInputCell349" localSheetId="10" hidden="1">'BIDU_BS + CFS'!$U$203</definedName>
    <definedName name="MscoInputCell35" localSheetId="6" hidden="1">'BIDU_BS + CFS'!$AB$7</definedName>
    <definedName name="MscoInputCell35" localSheetId="5" hidden="1">BIDU_IS!$Y$80</definedName>
    <definedName name="MscoInputCell35" localSheetId="9" hidden="1">'IQ_BS + CFS'!$AB$7</definedName>
    <definedName name="MscoInputCell35" localSheetId="8" hidden="1">IQ_IS!$Y$73</definedName>
    <definedName name="MscoInputCell350" localSheetId="6" hidden="1">'BIDU_BS + CFS'!$T$43</definedName>
    <definedName name="MscoInputCell350" localSheetId="5" hidden="1">BIDU_IS!$W$128</definedName>
    <definedName name="MscoInputCell350" localSheetId="8" hidden="1">IQ_IS!$W$117</definedName>
    <definedName name="MscoInputCell350" localSheetId="10" hidden="1">'BIDU_BS + CFS'!$V$203</definedName>
    <definedName name="MscoInputCell351" localSheetId="6" hidden="1">'BIDU_BS + CFS'!$U$43</definedName>
    <definedName name="MscoInputCell351" localSheetId="5" hidden="1">BIDU_IS!$X$128</definedName>
    <definedName name="MscoInputCell351" localSheetId="8" hidden="1">IQ_IS!$X$117</definedName>
    <definedName name="MscoInputCell351" localSheetId="10" hidden="1">'BIDU_BS + CFS'!$W$203</definedName>
    <definedName name="MscoInputCell352" localSheetId="6" hidden="1">'BIDU_BS + CFS'!$V$43</definedName>
    <definedName name="MscoInputCell352" localSheetId="5" hidden="1">BIDU_IS!$Y$128</definedName>
    <definedName name="MscoInputCell352" localSheetId="8" hidden="1">IQ_IS!$Y$117</definedName>
    <definedName name="MscoInputCell352" localSheetId="10" hidden="1">'BIDU_BS + CFS'!$X$203</definedName>
    <definedName name="MscoInputCell353" localSheetId="6" hidden="1">'BIDU_BS + CFS'!$W$43</definedName>
    <definedName name="MscoInputCell353" localSheetId="5" hidden="1">BIDU_IS!$Z$128</definedName>
    <definedName name="MscoInputCell353" localSheetId="8" hidden="1">IQ_IS!$Z$117</definedName>
    <definedName name="MscoInputCell353" localSheetId="10" hidden="1">'BIDU_BS + CFS'!$Y$203</definedName>
    <definedName name="MscoInputCell354" localSheetId="6" hidden="1">'BIDU_BS + CFS'!$X$43</definedName>
    <definedName name="MscoInputCell354" localSheetId="5" hidden="1">BIDU_IS!$AA$128</definedName>
    <definedName name="MscoInputCell354" localSheetId="8" hidden="1">IQ_IS!$AA$117</definedName>
    <definedName name="MscoInputCell354" localSheetId="10" hidden="1">'BIDU_BS + CFS'!$Z$203</definedName>
    <definedName name="MscoInputCell355" localSheetId="6" hidden="1">'BIDU_BS + CFS'!$Y$43</definedName>
    <definedName name="MscoInputCell355" localSheetId="5" hidden="1">BIDU_IS!$AB$128</definedName>
    <definedName name="MscoInputCell355" localSheetId="8" hidden="1">IQ_IS!$AB$117</definedName>
    <definedName name="MscoInputCell355" localSheetId="10" hidden="1">'BIDU_BS + CFS'!$AA$203</definedName>
    <definedName name="MscoInputCell356" localSheetId="6" hidden="1">'BIDU_BS + CFS'!$Z$43</definedName>
    <definedName name="MscoInputCell356" localSheetId="5" hidden="1">BIDU_IS!$AC$128</definedName>
    <definedName name="MscoInputCell356" localSheetId="8" hidden="1">IQ_IS!$AC$117</definedName>
    <definedName name="MscoInputCell356" localSheetId="10" hidden="1">'BIDU_BS + CFS'!$AB$203</definedName>
    <definedName name="MscoInputCell357" localSheetId="6" hidden="1">'BIDU_BS + CFS'!$AA$43</definedName>
    <definedName name="MscoInputCell357" localSheetId="5" hidden="1">BIDU_IS!$AD$128</definedName>
    <definedName name="MscoInputCell357" localSheetId="8" hidden="1">IQ_IS!$AD$117</definedName>
    <definedName name="MscoInputCell357" localSheetId="10" hidden="1">'BIDU_BS + CFS'!$AC$203</definedName>
    <definedName name="MscoInputCell358" localSheetId="6" hidden="1">'BIDU_BS + CFS'!$AB$43</definedName>
    <definedName name="MscoInputCell358" localSheetId="5" hidden="1">BIDU_IS!$AE$128</definedName>
    <definedName name="MscoInputCell358" localSheetId="8" hidden="1">IQ_IS!$AE$117</definedName>
    <definedName name="MscoInputCell358" localSheetId="10" hidden="1">'BIDU_BS + CFS'!$AD$203</definedName>
    <definedName name="MscoInputCell359" localSheetId="6" hidden="1">'BIDU_BS + CFS'!$AC$43</definedName>
    <definedName name="MscoInputCell359" localSheetId="5" hidden="1">BIDU_IS!$AF$128</definedName>
    <definedName name="MscoInputCell359" localSheetId="8" hidden="1">IQ_IS!$AF$117</definedName>
    <definedName name="MscoInputCell359" localSheetId="10" hidden="1">'BIDU_BS + CFS'!$AE$203</definedName>
    <definedName name="MscoInputCell36" localSheetId="6" hidden="1">'BIDU_BS + CFS'!$AC$7</definedName>
    <definedName name="MscoInputCell36" localSheetId="5" hidden="1">BIDU_IS!$Z$80</definedName>
    <definedName name="MscoInputCell36" localSheetId="9" hidden="1">'IQ_BS + CFS'!$AC$7</definedName>
    <definedName name="MscoInputCell36" localSheetId="8" hidden="1">IQ_IS!$Z$73</definedName>
    <definedName name="MscoInputCell360" localSheetId="6" hidden="1">'BIDU_BS + CFS'!$AD$43</definedName>
    <definedName name="MscoInputCell360" localSheetId="5" hidden="1">BIDU_IS!$AG$128</definedName>
    <definedName name="MscoInputCell360" localSheetId="8" hidden="1">IQ_IS!$AG$117</definedName>
    <definedName name="MscoInputCell360" localSheetId="10" hidden="1">'BIDU_BS + CFS'!$AF$203</definedName>
    <definedName name="MscoInputCell361" localSheetId="6" hidden="1">'BIDU_BS + CFS'!$AE$43</definedName>
    <definedName name="MscoInputCell361" localSheetId="5" hidden="1">BIDU_IS!$AH$128</definedName>
    <definedName name="MscoInputCell361" localSheetId="8" hidden="1">IQ_IS!$AH$117</definedName>
    <definedName name="MscoInputCell361" localSheetId="10" hidden="1">'BIDU_BS + CFS'!$AG$203</definedName>
    <definedName name="MscoInputCell362" localSheetId="6" hidden="1">'BIDU_BS + CFS'!$AF$43</definedName>
    <definedName name="MscoInputCell362" localSheetId="5" hidden="1">BIDU_IS!$AI$128</definedName>
    <definedName name="MscoInputCell362" localSheetId="8" hidden="1">IQ_IS!$AI$117</definedName>
    <definedName name="MscoInputCell362" localSheetId="10" hidden="1">'BIDU_BS + CFS'!$AH$203</definedName>
    <definedName name="MscoInputCell363" localSheetId="6" hidden="1">'BIDU_BS + CFS'!$AG$43</definedName>
    <definedName name="MscoInputCell363" localSheetId="5" hidden="1">BIDU_IS!$AJ$128</definedName>
    <definedName name="MscoInputCell363" localSheetId="8" hidden="1">IQ_IS!$AJ$117</definedName>
    <definedName name="MscoInputCell363" localSheetId="10" hidden="1">'BIDU_BS + CFS'!$AI$203</definedName>
    <definedName name="MscoInputCell364" localSheetId="6" hidden="1">'BIDU_BS + CFS'!$AH$43</definedName>
    <definedName name="MscoInputCell364" localSheetId="5" hidden="1">BIDU_IS!$Q$129</definedName>
    <definedName name="MscoInputCell364" localSheetId="8" hidden="1">IQ_IS!$Q$118</definedName>
    <definedName name="MscoInputCell364" localSheetId="10" hidden="1">'BIDU_BS + CFS'!$AJ$203</definedName>
    <definedName name="MscoInputCell365" localSheetId="6" hidden="1">'BIDU_BS + CFS'!$AI$43</definedName>
    <definedName name="MscoInputCell365" localSheetId="5" hidden="1">BIDU_IS!$R$129</definedName>
    <definedName name="MscoInputCell365" localSheetId="8" hidden="1">IQ_IS!$R$118</definedName>
    <definedName name="MscoInputCell365" localSheetId="10" hidden="1">'BIDU_BS + CFS'!$AC$198</definedName>
    <definedName name="MscoInputCell366" localSheetId="6" hidden="1">'BIDU_BS + CFS'!$AJ$43</definedName>
    <definedName name="MscoInputCell366" localSheetId="5" hidden="1">BIDU_IS!$S$129</definedName>
    <definedName name="MscoInputCell366" localSheetId="8" hidden="1">IQ_IS!$S$118</definedName>
    <definedName name="MscoInputCell366" localSheetId="10" hidden="1">'BIDU_BS + CFS'!$AD$198</definedName>
    <definedName name="MscoInputCell367" localSheetId="6" hidden="1">'BIDU_BS + CFS'!$T$44</definedName>
    <definedName name="MscoInputCell367" localSheetId="5" hidden="1">BIDU_IS!$T$129</definedName>
    <definedName name="MscoInputCell367" localSheetId="8" hidden="1">IQ_IS!$T$118</definedName>
    <definedName name="MscoInputCell367" localSheetId="10" hidden="1">'BIDU_BS + CFS'!$AE$198</definedName>
    <definedName name="MscoInputCell368" localSheetId="6" hidden="1">'BIDU_BS + CFS'!$U$44</definedName>
    <definedName name="MscoInputCell368" localSheetId="5" hidden="1">BIDU_IS!$U$129</definedName>
    <definedName name="MscoInputCell368" localSheetId="8" hidden="1">IQ_IS!$U$118</definedName>
    <definedName name="MscoInputCell368" localSheetId="10" hidden="1">'BIDU_BS + CFS'!$AF$198</definedName>
    <definedName name="MscoInputCell369" localSheetId="6" hidden="1">'BIDU_BS + CFS'!$V$44</definedName>
    <definedName name="MscoInputCell369" localSheetId="5" hidden="1">BIDU_IS!$V$129</definedName>
    <definedName name="MscoInputCell369" localSheetId="8" hidden="1">IQ_IS!$V$118</definedName>
    <definedName name="MscoInputCell369" localSheetId="10" hidden="1">'BIDU_BS + CFS'!$AG$198</definedName>
    <definedName name="MscoInputCell37" localSheetId="6" hidden="1">'BIDU_BS + CFS'!$AD$7</definedName>
    <definedName name="MscoInputCell37" localSheetId="5" hidden="1">BIDU_IS!$AA$80</definedName>
    <definedName name="MscoInputCell37" localSheetId="9" hidden="1">'IQ_BS + CFS'!$AD$7</definedName>
    <definedName name="MscoInputCell37" localSheetId="8" hidden="1">IQ_IS!$AA$73</definedName>
    <definedName name="MscoInputCell370" localSheetId="6" hidden="1">'BIDU_BS + CFS'!$W$44</definedName>
    <definedName name="MscoInputCell370" localSheetId="5" hidden="1">BIDU_IS!$W$129</definedName>
    <definedName name="MscoInputCell370" localSheetId="8" hidden="1">IQ_IS!$W$118</definedName>
    <definedName name="MscoInputCell370" localSheetId="10" hidden="1">'BIDU_BS + CFS'!$AH$198</definedName>
    <definedName name="MscoInputCell371" localSheetId="6" hidden="1">'BIDU_BS + CFS'!$X$44</definedName>
    <definedName name="MscoInputCell371" localSheetId="5" hidden="1">BIDU_IS!$X$129</definedName>
    <definedName name="MscoInputCell371" localSheetId="8" hidden="1">IQ_IS!$X$118</definedName>
    <definedName name="MscoInputCell371" localSheetId="10" hidden="1">'BIDU_BS + CFS'!$AI$198</definedName>
    <definedName name="MscoInputCell372" localSheetId="6" hidden="1">'BIDU_BS + CFS'!$Y$44</definedName>
    <definedName name="MscoInputCell372" localSheetId="5" hidden="1">BIDU_IS!$Y$129</definedName>
    <definedName name="MscoInputCell372" localSheetId="8" hidden="1">IQ_IS!$Y$118</definedName>
    <definedName name="MscoInputCell372" localSheetId="10" hidden="1">'BIDU_BS + CFS'!$AJ$198</definedName>
    <definedName name="MscoInputCell373" localSheetId="6" hidden="1">'BIDU_BS + CFS'!$Z$44</definedName>
    <definedName name="MscoInputCell373" localSheetId="5" hidden="1">BIDU_IS!$Z$129</definedName>
    <definedName name="MscoInputCell373" localSheetId="8" hidden="1">IQ_IS!$Z$118</definedName>
    <definedName name="MscoInputCell373" localSheetId="10" hidden="1">'BIDU_BS + CFS'!$AC$201</definedName>
    <definedName name="MscoInputCell374" localSheetId="6" hidden="1">'BIDU_BS + CFS'!$AA$44</definedName>
    <definedName name="MscoInputCell374" localSheetId="5" hidden="1">BIDU_IS!$AA$129</definedName>
    <definedName name="MscoInputCell374" localSheetId="8" hidden="1">IQ_IS!$AA$118</definedName>
    <definedName name="MscoInputCell374" localSheetId="10" hidden="1">'BIDU_BS + CFS'!$AD$201</definedName>
    <definedName name="MscoInputCell375" localSheetId="6" hidden="1">'BIDU_BS + CFS'!$AB$44</definedName>
    <definedName name="MscoInputCell375" localSheetId="5" hidden="1">BIDU_IS!$AB$129</definedName>
    <definedName name="MscoInputCell375" localSheetId="8" hidden="1">IQ_IS!$AB$118</definedName>
    <definedName name="MscoInputCell375" localSheetId="10" hidden="1">'BIDU_BS + CFS'!$AE$201</definedName>
    <definedName name="MscoInputCell376" localSheetId="6" hidden="1">'BIDU_BS + CFS'!$AC$44</definedName>
    <definedName name="MscoInputCell376" localSheetId="5" hidden="1">BIDU_IS!$AC$129</definedName>
    <definedName name="MscoInputCell376" localSheetId="8" hidden="1">IQ_IS!$AC$118</definedName>
    <definedName name="MscoInputCell376" localSheetId="10" hidden="1">'BIDU_BS + CFS'!$AF$201</definedName>
    <definedName name="MscoInputCell377" localSheetId="6" hidden="1">'BIDU_BS + CFS'!$AD$44</definedName>
    <definedName name="MscoInputCell377" localSheetId="5" hidden="1">BIDU_IS!$AD$129</definedName>
    <definedName name="MscoInputCell377" localSheetId="8" hidden="1">IQ_IS!$AD$118</definedName>
    <definedName name="MscoInputCell377" localSheetId="10" hidden="1">'BIDU_BS + CFS'!$AG$201</definedName>
    <definedName name="MscoInputCell378" localSheetId="6" hidden="1">'BIDU_BS + CFS'!$AE$44</definedName>
    <definedName name="MscoInputCell378" localSheetId="5" hidden="1">BIDU_IS!$AE$129</definedName>
    <definedName name="MscoInputCell378" localSheetId="8" hidden="1">IQ_IS!$AE$118</definedName>
    <definedName name="MscoInputCell378" localSheetId="10" hidden="1">'BIDU_BS + CFS'!$AH$201</definedName>
    <definedName name="MscoInputCell379" localSheetId="6" hidden="1">'BIDU_BS + CFS'!$AF$44</definedName>
    <definedName name="MscoInputCell379" localSheetId="5" hidden="1">BIDU_IS!$AF$129</definedName>
    <definedName name="MscoInputCell379" localSheetId="8" hidden="1">IQ_IS!$AF$118</definedName>
    <definedName name="MscoInputCell379" localSheetId="10" hidden="1">'BIDU_BS + CFS'!$AI$201</definedName>
    <definedName name="MscoInputCell38" localSheetId="6" hidden="1">'BIDU_BS + CFS'!$AE$7</definedName>
    <definedName name="MscoInputCell38" localSheetId="5" hidden="1">BIDU_IS!$AB$80</definedName>
    <definedName name="MscoInputCell38" localSheetId="9" hidden="1">'IQ_BS + CFS'!$AE$7</definedName>
    <definedName name="MscoInputCell38" localSheetId="8" hidden="1">IQ_IS!$AB$73</definedName>
    <definedName name="MscoInputCell380" localSheetId="6" hidden="1">'BIDU_BS + CFS'!$AG$44</definedName>
    <definedName name="MscoInputCell380" localSheetId="5" hidden="1">BIDU_IS!$AG$129</definedName>
    <definedName name="MscoInputCell380" localSheetId="8" hidden="1">IQ_IS!$AG$118</definedName>
    <definedName name="MscoInputCell380" localSheetId="10" hidden="1">'BIDU_BS + CFS'!$AJ$201</definedName>
    <definedName name="MscoInputCell381" localSheetId="6" hidden="1">'BIDU_BS + CFS'!$AH$44</definedName>
    <definedName name="MscoInputCell381" localSheetId="5" hidden="1">BIDU_IS!$AH$129</definedName>
    <definedName name="MscoInputCell381" localSheetId="8" hidden="1">IQ_IS!$AH$118</definedName>
    <definedName name="MscoInputCell381" localSheetId="10" hidden="1">'BIDU_BS + CFS'!$Q$211</definedName>
    <definedName name="MscoInputCell382" localSheetId="6" hidden="1">'BIDU_BS + CFS'!$AI$44</definedName>
    <definedName name="MscoInputCell382" localSheetId="5" hidden="1">BIDU_IS!$AI$129</definedName>
    <definedName name="MscoInputCell382" localSheetId="8" hidden="1">IQ_IS!$AI$118</definedName>
    <definedName name="MscoInputCell382" localSheetId="10" hidden="1">'BIDU_BS + CFS'!$AC$212</definedName>
    <definedName name="MscoInputCell383" localSheetId="6" hidden="1">'BIDU_BS + CFS'!$AJ$44</definedName>
    <definedName name="MscoInputCell383" localSheetId="5" hidden="1">BIDU_IS!$AJ$129</definedName>
    <definedName name="MscoInputCell383" localSheetId="8" hidden="1">IQ_IS!$AJ$118</definedName>
    <definedName name="MscoInputCell383" localSheetId="10" hidden="1">'BIDU_BS + CFS'!$AD$212</definedName>
    <definedName name="MscoInputCell384" localSheetId="6" hidden="1">'BIDU_BS + CFS'!$T$48</definedName>
    <definedName name="MscoInputCell384" localSheetId="5" hidden="1">BIDU_IS!$Q$137</definedName>
    <definedName name="MscoInputCell384" localSheetId="8" hidden="1">IQ_IS!$Q$127</definedName>
    <definedName name="MscoInputCell384" localSheetId="10" hidden="1">'BIDU_BS + CFS'!$AE$212</definedName>
    <definedName name="MscoInputCell385" localSheetId="6" hidden="1">'BIDU_BS + CFS'!$U$48</definedName>
    <definedName name="MscoInputCell385" localSheetId="5" hidden="1">BIDU_IS!$R$137</definedName>
    <definedName name="MscoInputCell385" localSheetId="8" hidden="1">IQ_IS!$R$127</definedName>
    <definedName name="MscoInputCell385" localSheetId="10" hidden="1">'BIDU_BS + CFS'!$AF$212</definedName>
    <definedName name="MscoInputCell386" localSheetId="6" hidden="1">'BIDU_BS + CFS'!$V$48</definedName>
    <definedName name="MscoInputCell386" localSheetId="5" hidden="1">BIDU_IS!$S$137</definedName>
    <definedName name="MscoInputCell386" localSheetId="8" hidden="1">IQ_IS!$S$127</definedName>
    <definedName name="MscoInputCell386" localSheetId="10" hidden="1">'BIDU_BS + CFS'!$AG$212</definedName>
    <definedName name="MscoInputCell387" localSheetId="6" hidden="1">'BIDU_BS + CFS'!$W$48</definedName>
    <definedName name="MscoInputCell387" localSheetId="5" hidden="1">BIDU_IS!$T$137</definedName>
    <definedName name="MscoInputCell387" localSheetId="8" hidden="1">IQ_IS!$T$127</definedName>
    <definedName name="MscoInputCell387" localSheetId="10" hidden="1">'BIDU_BS + CFS'!$AH$212</definedName>
    <definedName name="MscoInputCell388" localSheetId="6" hidden="1">'BIDU_BS + CFS'!$X$48</definedName>
    <definedName name="MscoInputCell388" localSheetId="5" hidden="1">BIDU_IS!$U$137</definedName>
    <definedName name="MscoInputCell388" localSheetId="8" hidden="1">IQ_IS!$U$127</definedName>
    <definedName name="MscoInputCell388" localSheetId="10" hidden="1">'BIDU_BS + CFS'!$AI$212</definedName>
    <definedName name="MscoInputCell389" localSheetId="6" hidden="1">'BIDU_BS + CFS'!$Y$48</definedName>
    <definedName name="MscoInputCell389" localSheetId="5" hidden="1">BIDU_IS!$V$137</definedName>
    <definedName name="MscoInputCell389" localSheetId="8" hidden="1">IQ_IS!$V$127</definedName>
    <definedName name="MscoInputCell389" localSheetId="10" hidden="1">'BIDU_BS + CFS'!$AJ$212</definedName>
    <definedName name="MscoInputCell39" localSheetId="6" hidden="1">'BIDU_BS + CFS'!$AF$7</definedName>
    <definedName name="MscoInputCell39" localSheetId="5" hidden="1">BIDU_IS!$AC$80</definedName>
    <definedName name="MscoInputCell39" localSheetId="9" hidden="1">'IQ_BS + CFS'!$AF$7</definedName>
    <definedName name="MscoInputCell39" localSheetId="8" hidden="1">IQ_IS!$AC$73</definedName>
    <definedName name="MscoInputCell390" localSheetId="6" hidden="1">'BIDU_BS + CFS'!$Z$48</definedName>
    <definedName name="MscoInputCell390" localSheetId="5" hidden="1">BIDU_IS!$W$137</definedName>
    <definedName name="MscoInputCell390" localSheetId="8" hidden="1">IQ_IS!$W$127</definedName>
    <definedName name="MscoInputCell390" localSheetId="10" hidden="1">'BIDU_BS + CFS'!$Q$216</definedName>
    <definedName name="MscoInputCell391" localSheetId="6" hidden="1">'BIDU_BS + CFS'!$AA$48</definedName>
    <definedName name="MscoInputCell391" localSheetId="5" hidden="1">BIDU_IS!$X$137</definedName>
    <definedName name="MscoInputCell391" localSheetId="8" hidden="1">IQ_IS!$X$127</definedName>
    <definedName name="MscoInputCell391" localSheetId="10" hidden="1">'BIDU_BS + CFS'!$R$216</definedName>
    <definedName name="MscoInputCell392" localSheetId="6" hidden="1">'BIDU_BS + CFS'!$AB$48</definedName>
    <definedName name="MscoInputCell392" localSheetId="5" hidden="1">BIDU_IS!$Y$137</definedName>
    <definedName name="MscoInputCell392" localSheetId="8" hidden="1">IQ_IS!$Y$127</definedName>
    <definedName name="MscoInputCell392" localSheetId="10" hidden="1">'BIDU_BS + CFS'!$S$216</definedName>
    <definedName name="MscoInputCell393" localSheetId="6" hidden="1">'BIDU_BS + CFS'!$AC$48</definedName>
    <definedName name="MscoInputCell393" localSheetId="5" hidden="1">BIDU_IS!$Z$137</definedName>
    <definedName name="MscoInputCell393" localSheetId="8" hidden="1">IQ_IS!$Z$127</definedName>
    <definedName name="MscoInputCell393" localSheetId="10" hidden="1">'BIDU_BS + CFS'!$T$216</definedName>
    <definedName name="MscoInputCell394" localSheetId="6" hidden="1">'BIDU_BS + CFS'!$AD$48</definedName>
    <definedName name="MscoInputCell394" localSheetId="5" hidden="1">BIDU_IS!$AA$137</definedName>
    <definedName name="MscoInputCell394" localSheetId="8" hidden="1">IQ_IS!$AA$127</definedName>
    <definedName name="MscoInputCell394" localSheetId="10" hidden="1">'BIDU_BS + CFS'!$U$216</definedName>
    <definedName name="MscoInputCell395" localSheetId="6" hidden="1">'BIDU_BS + CFS'!$AE$48</definedName>
    <definedName name="MscoInputCell395" localSheetId="5" hidden="1">BIDU_IS!$AB$137</definedName>
    <definedName name="MscoInputCell395" localSheetId="8" hidden="1">IQ_IS!$AB$127</definedName>
    <definedName name="MscoInputCell395" localSheetId="10" hidden="1">'BIDU_BS + CFS'!$V$216</definedName>
    <definedName name="MscoInputCell396" localSheetId="6" hidden="1">'BIDU_BS + CFS'!$AF$48</definedName>
    <definedName name="MscoInputCell396" localSheetId="5" hidden="1">BIDU_IS!$AC$137</definedName>
    <definedName name="MscoInputCell396" localSheetId="8" hidden="1">IQ_IS!$AC$127</definedName>
    <definedName name="MscoInputCell396" localSheetId="10" hidden="1">'BIDU_BS + CFS'!$W$216</definedName>
    <definedName name="MscoInputCell397" localSheetId="6" hidden="1">'BIDU_BS + CFS'!$AG$48</definedName>
    <definedName name="MscoInputCell397" localSheetId="5" hidden="1">BIDU_IS!$AD$137</definedName>
    <definedName name="MscoInputCell397" localSheetId="8" hidden="1">IQ_IS!$AD$127</definedName>
    <definedName name="MscoInputCell397" localSheetId="10" hidden="1">'BIDU_BS + CFS'!$X$216</definedName>
    <definedName name="MscoInputCell398" localSheetId="6" hidden="1">'BIDU_BS + CFS'!$AH$48</definedName>
    <definedName name="MscoInputCell398" localSheetId="5" hidden="1">BIDU_IS!$AE$137</definedName>
    <definedName name="MscoInputCell398" localSheetId="8" hidden="1">IQ_IS!$AE$127</definedName>
    <definedName name="MscoInputCell398" localSheetId="10" hidden="1">'BIDU_BS + CFS'!$Y$216</definedName>
    <definedName name="MscoInputCell399" localSheetId="6" hidden="1">'BIDU_BS + CFS'!$AI$48</definedName>
    <definedName name="MscoInputCell399" localSheetId="5" hidden="1">BIDU_IS!$AF$137</definedName>
    <definedName name="MscoInputCell399" localSheetId="8" hidden="1">IQ_IS!$AF$127</definedName>
    <definedName name="MscoInputCell399" localSheetId="10" hidden="1">'BIDU_BS + CFS'!$Z$216</definedName>
    <definedName name="MscoInputCell4" localSheetId="5" hidden="1">BIDU_IS!$K$255</definedName>
    <definedName name="MscoInputCell4" localSheetId="2" hidden="1">Control!$C$7</definedName>
    <definedName name="MscoInputCell4" localSheetId="8" hidden="1">IQ_IS!$K$162</definedName>
    <definedName name="MscoInputCell40" localSheetId="6" hidden="1">'BIDU_BS + CFS'!$AG$7</definedName>
    <definedName name="MscoInputCell40" localSheetId="5" hidden="1">BIDU_IS!$AD$80</definedName>
    <definedName name="MscoInputCell40" localSheetId="9" hidden="1">'IQ_BS + CFS'!$AG$7</definedName>
    <definedName name="MscoInputCell40" localSheetId="8" hidden="1">IQ_IS!$AD$73</definedName>
    <definedName name="MscoInputCell400" localSheetId="6" hidden="1">'BIDU_BS + CFS'!$AJ$48</definedName>
    <definedName name="MscoInputCell400" localSheetId="5" hidden="1">BIDU_IS!$AG$137</definedName>
    <definedName name="MscoInputCell400" localSheetId="8" hidden="1">IQ_IS!$AG$127</definedName>
    <definedName name="MscoInputCell400" localSheetId="10" hidden="1">'BIDU_BS + CFS'!$AA$216</definedName>
    <definedName name="MscoInputCell401" localSheetId="6" hidden="1">'BIDU_BS + CFS'!$T$53</definedName>
    <definedName name="MscoInputCell401" localSheetId="5" hidden="1">BIDU_IS!$AH$137</definedName>
    <definedName name="MscoInputCell401" localSheetId="9" hidden="1">'IQ_BS + CFS'!$T$46</definedName>
    <definedName name="MscoInputCell401" localSheetId="8" hidden="1">IQ_IS!$AH$127</definedName>
    <definedName name="MscoInputCell401" localSheetId="10" hidden="1">'BIDU_BS + CFS'!$AB$216</definedName>
    <definedName name="MscoInputCell402" localSheetId="6" hidden="1">'BIDU_BS + CFS'!$U$53</definedName>
    <definedName name="MscoInputCell402" localSheetId="5" hidden="1">BIDU_IS!$AI$137</definedName>
    <definedName name="MscoInputCell402" localSheetId="9" hidden="1">'IQ_BS + CFS'!$U$46</definedName>
    <definedName name="MscoInputCell402" localSheetId="8" hidden="1">IQ_IS!$AI$127</definedName>
    <definedName name="MscoInputCell402" localSheetId="10" hidden="1">'BIDU_BS + CFS'!$AC$216</definedName>
    <definedName name="MscoInputCell403" localSheetId="6" hidden="1">'BIDU_BS + CFS'!$V$53</definedName>
    <definedName name="MscoInputCell403" localSheetId="5" hidden="1">BIDU_IS!$AJ$137</definedName>
    <definedName name="MscoInputCell403" localSheetId="9" hidden="1">'IQ_BS + CFS'!$V$46</definedName>
    <definedName name="MscoInputCell403" localSheetId="8" hidden="1">IQ_IS!$AJ$127</definedName>
    <definedName name="MscoInputCell403" localSheetId="10" hidden="1">'BIDU_BS + CFS'!$AD$216</definedName>
    <definedName name="MscoInputCell404" localSheetId="6" hidden="1">'BIDU_BS + CFS'!$W$53</definedName>
    <definedName name="MscoInputCell404" localSheetId="5" hidden="1">BIDU_IS!$Q$255</definedName>
    <definedName name="MscoInputCell404" localSheetId="9" hidden="1">'IQ_BS + CFS'!$W$46</definedName>
    <definedName name="MscoInputCell404" localSheetId="8" hidden="1">IQ_IS!$Q$162</definedName>
    <definedName name="MscoInputCell404" localSheetId="10" hidden="1">'BIDU_BS + CFS'!$AE$216</definedName>
    <definedName name="MscoInputCell405" localSheetId="6" hidden="1">'BIDU_BS + CFS'!$X$53</definedName>
    <definedName name="MscoInputCell405" localSheetId="5" hidden="1">BIDU_IS!$R$255</definedName>
    <definedName name="MscoInputCell405" localSheetId="9" hidden="1">'IQ_BS + CFS'!$X$46</definedName>
    <definedName name="MscoInputCell405" localSheetId="8" hidden="1">IQ_IS!$R$162</definedName>
    <definedName name="MscoInputCell405" localSheetId="10" hidden="1">'BIDU_BS + CFS'!$AF$216</definedName>
    <definedName name="MscoInputCell406" localSheetId="6" hidden="1">'BIDU_BS + CFS'!$Y$53</definedName>
    <definedName name="MscoInputCell406" localSheetId="5" hidden="1">BIDU_IS!$S$255</definedName>
    <definedName name="MscoInputCell406" localSheetId="9" hidden="1">'IQ_BS + CFS'!$Y$46</definedName>
    <definedName name="MscoInputCell406" localSheetId="8" hidden="1">IQ_IS!$S$162</definedName>
    <definedName name="MscoInputCell406" localSheetId="10" hidden="1">'BIDU_BS + CFS'!$AG$216</definedName>
    <definedName name="MscoInputCell407" localSheetId="6" hidden="1">'BIDU_BS + CFS'!$Z$53</definedName>
    <definedName name="MscoInputCell407" localSheetId="5" hidden="1">BIDU_IS!$T$255</definedName>
    <definedName name="MscoInputCell407" localSheetId="9" hidden="1">'IQ_BS + CFS'!$Z$46</definedName>
    <definedName name="MscoInputCell407" localSheetId="8" hidden="1">IQ_IS!$T$162</definedName>
    <definedName name="MscoInputCell407" localSheetId="10" hidden="1">'BIDU_BS + CFS'!$AH$216</definedName>
    <definedName name="MscoInputCell408" localSheetId="6" hidden="1">'BIDU_BS + CFS'!$AA$53</definedName>
    <definedName name="MscoInputCell408" localSheetId="5" hidden="1">BIDU_IS!$U$255</definedName>
    <definedName name="MscoInputCell408" localSheetId="9" hidden="1">'IQ_BS + CFS'!$AA$46</definedName>
    <definedName name="MscoInputCell408" localSheetId="8" hidden="1">IQ_IS!$U$162</definedName>
    <definedName name="MscoInputCell408" localSheetId="10" hidden="1">'BIDU_BS + CFS'!$AI$216</definedName>
    <definedName name="MscoInputCell409" localSheetId="6" hidden="1">'BIDU_BS + CFS'!$AB$53</definedName>
    <definedName name="MscoInputCell409" localSheetId="5" hidden="1">BIDU_IS!$V$255</definedName>
    <definedName name="MscoInputCell409" localSheetId="9" hidden="1">'IQ_BS + CFS'!$AB$46</definedName>
    <definedName name="MscoInputCell409" localSheetId="8" hidden="1">IQ_IS!$V$162</definedName>
    <definedName name="MscoInputCell409" localSheetId="10" hidden="1">'BIDU_BS + CFS'!$AJ$216</definedName>
    <definedName name="MscoInputCell41" localSheetId="6" hidden="1">'BIDU_BS + CFS'!$AH$7</definedName>
    <definedName name="MscoInputCell41" localSheetId="5" hidden="1">BIDU_IS!$AE$80</definedName>
    <definedName name="MscoInputCell41" localSheetId="9" hidden="1">'IQ_BS + CFS'!$AH$7</definedName>
    <definedName name="MscoInputCell41" localSheetId="8" hidden="1">IQ_IS!$AE$73</definedName>
    <definedName name="MscoInputCell410" localSheetId="6" hidden="1">'BIDU_BS + CFS'!$AC$53</definedName>
    <definedName name="MscoInputCell410" localSheetId="5" hidden="1">BIDU_IS!$W$255</definedName>
    <definedName name="MscoInputCell410" localSheetId="9" hidden="1">'IQ_BS + CFS'!$AC$46</definedName>
    <definedName name="MscoInputCell410" localSheetId="8" hidden="1">IQ_IS!$W$162</definedName>
    <definedName name="MscoInputCell410" localSheetId="10" hidden="1">'BIDU_BS + CFS'!$Q$227</definedName>
    <definedName name="MscoInputCell411" localSheetId="6" hidden="1">'BIDU_BS + CFS'!$AD$53</definedName>
    <definedName name="MscoInputCell411" localSheetId="5" hidden="1">BIDU_IS!$X$255</definedName>
    <definedName name="MscoInputCell411" localSheetId="9" hidden="1">'IQ_BS + CFS'!$AD$46</definedName>
    <definedName name="MscoInputCell411" localSheetId="8" hidden="1">IQ_IS!$X$162</definedName>
    <definedName name="MscoInputCell411" localSheetId="10" hidden="1">'BIDU_BS + CFS'!$R$227</definedName>
    <definedName name="MscoInputCell412" localSheetId="6" hidden="1">'BIDU_BS + CFS'!$AE$53</definedName>
    <definedName name="MscoInputCell412" localSheetId="5" hidden="1">BIDU_IS!$Y$255</definedName>
    <definedName name="MscoInputCell412" localSheetId="9" hidden="1">'IQ_BS + CFS'!$AE$46</definedName>
    <definedName name="MscoInputCell412" localSheetId="8" hidden="1">IQ_IS!$Y$162</definedName>
    <definedName name="MscoInputCell412" localSheetId="10" hidden="1">'BIDU_BS + CFS'!$S$227</definedName>
    <definedName name="MscoInputCell413" localSheetId="6" hidden="1">'BIDU_BS + CFS'!$AF$53</definedName>
    <definedName name="MscoInputCell413" localSheetId="5" hidden="1">BIDU_IS!$Z$255</definedName>
    <definedName name="MscoInputCell413" localSheetId="9" hidden="1">'IQ_BS + CFS'!$AF$46</definedName>
    <definedName name="MscoInputCell413" localSheetId="8" hidden="1">IQ_IS!$Z$162</definedName>
    <definedName name="MscoInputCell413" localSheetId="10" hidden="1">'BIDU_BS + CFS'!$T$227</definedName>
    <definedName name="MscoInputCell414" localSheetId="6" hidden="1">'BIDU_BS + CFS'!$AG$53</definedName>
    <definedName name="MscoInputCell414" localSheetId="5" hidden="1">BIDU_IS!$AA$255</definedName>
    <definedName name="MscoInputCell414" localSheetId="9" hidden="1">'IQ_BS + CFS'!$AG$46</definedName>
    <definedName name="MscoInputCell414" localSheetId="8" hidden="1">IQ_IS!$AA$162</definedName>
    <definedName name="MscoInputCell414" localSheetId="10" hidden="1">'BIDU_BS + CFS'!$U$227</definedName>
    <definedName name="MscoInputCell415" localSheetId="6" hidden="1">'BIDU_BS + CFS'!$AH$53</definedName>
    <definedName name="MscoInputCell415" localSheetId="5" hidden="1">BIDU_IS!$AB$255</definedName>
    <definedName name="MscoInputCell415" localSheetId="9" hidden="1">'IQ_BS + CFS'!$AH$46</definedName>
    <definedName name="MscoInputCell415" localSheetId="8" hidden="1">IQ_IS!$AB$162</definedName>
    <definedName name="MscoInputCell415" localSheetId="10" hidden="1">'BIDU_BS + CFS'!$V$227</definedName>
    <definedName name="MscoInputCell416" localSheetId="6" hidden="1">'BIDU_BS + CFS'!$AI$53</definedName>
    <definedName name="MscoInputCell416" localSheetId="5" hidden="1">BIDU_IS!$AC$255</definedName>
    <definedName name="MscoInputCell416" localSheetId="9" hidden="1">'IQ_BS + CFS'!$AI$46</definedName>
    <definedName name="MscoInputCell416" localSheetId="8" hidden="1">IQ_IS!$AC$162</definedName>
    <definedName name="MscoInputCell416" localSheetId="10" hidden="1">'BIDU_BS + CFS'!$W$227</definedName>
    <definedName name="MscoInputCell417" localSheetId="6" hidden="1">'BIDU_BS + CFS'!$AJ$53</definedName>
    <definedName name="MscoInputCell417" localSheetId="5" hidden="1">BIDU_IS!$AD$255</definedName>
    <definedName name="MscoInputCell417" localSheetId="9" hidden="1">'IQ_BS + CFS'!$AJ$46</definedName>
    <definedName name="MscoInputCell417" localSheetId="8" hidden="1">IQ_IS!$AD$162</definedName>
    <definedName name="MscoInputCell417" localSheetId="10" hidden="1">'BIDU_BS + CFS'!$X$227</definedName>
    <definedName name="MscoInputCell418" localSheetId="6" hidden="1">'BIDU_BS + CFS'!$T$55</definedName>
    <definedName name="MscoInputCell418" localSheetId="5" hidden="1">BIDU_IS!$AE$255</definedName>
    <definedName name="MscoInputCell418" localSheetId="9" hidden="1">'IQ_BS + CFS'!$T$48</definedName>
    <definedName name="MscoInputCell418" localSheetId="8" hidden="1">IQ_IS!$AE$162</definedName>
    <definedName name="MscoInputCell418" localSheetId="10" hidden="1">'BIDU_BS + CFS'!$Y$227</definedName>
    <definedName name="MscoInputCell419" localSheetId="6" hidden="1">'BIDU_BS + CFS'!$U$55</definedName>
    <definedName name="MscoInputCell419" localSheetId="5" hidden="1">BIDU_IS!$AF$255</definedName>
    <definedName name="MscoInputCell419" localSheetId="9" hidden="1">'IQ_BS + CFS'!$U$48</definedName>
    <definedName name="MscoInputCell419" localSheetId="8" hidden="1">IQ_IS!$AF$162</definedName>
    <definedName name="MscoInputCell419" localSheetId="10" hidden="1">'BIDU_BS + CFS'!$Z$227</definedName>
    <definedName name="MscoInputCell42" localSheetId="6" hidden="1">'BIDU_BS + CFS'!$AI$7</definedName>
    <definedName name="MscoInputCell42" localSheetId="5" hidden="1">BIDU_IS!$AF$80</definedName>
    <definedName name="MscoInputCell42" localSheetId="9" hidden="1">'IQ_BS + CFS'!$AI$7</definedName>
    <definedName name="MscoInputCell42" localSheetId="8" hidden="1">IQ_IS!$AF$73</definedName>
    <definedName name="MscoInputCell42" localSheetId="10" hidden="1">Operating_Model!$K$11</definedName>
    <definedName name="MscoInputCell420" localSheetId="6" hidden="1">'BIDU_BS + CFS'!$V$55</definedName>
    <definedName name="MscoInputCell420" localSheetId="5" hidden="1">BIDU_IS!$AG$255</definedName>
    <definedName name="MscoInputCell420" localSheetId="9" hidden="1">'IQ_BS + CFS'!$V$48</definedName>
    <definedName name="MscoInputCell420" localSheetId="8" hidden="1">IQ_IS!$AG$162</definedName>
    <definedName name="MscoInputCell420" localSheetId="10" hidden="1">'BIDU_BS + CFS'!$AA$227</definedName>
    <definedName name="MscoInputCell421" localSheetId="6" hidden="1">'BIDU_BS + CFS'!$W$55</definedName>
    <definedName name="MscoInputCell421" localSheetId="5" hidden="1">BIDU_IS!$AH$255</definedName>
    <definedName name="MscoInputCell421" localSheetId="9" hidden="1">'IQ_BS + CFS'!$W$48</definedName>
    <definedName name="MscoInputCell421" localSheetId="8" hidden="1">IQ_IS!$AH$162</definedName>
    <definedName name="MscoInputCell421" localSheetId="10" hidden="1">'BIDU_BS + CFS'!$AB$227</definedName>
    <definedName name="MscoInputCell422" localSheetId="6" hidden="1">'BIDU_BS + CFS'!$X$55</definedName>
    <definedName name="MscoInputCell422" localSheetId="5" hidden="1">BIDU_IS!$AI$255</definedName>
    <definedName name="MscoInputCell422" localSheetId="9" hidden="1">'IQ_BS + CFS'!$X$48</definedName>
    <definedName name="MscoInputCell422" localSheetId="8" hidden="1">IQ_IS!$AI$162</definedName>
    <definedName name="MscoInputCell423" localSheetId="6" hidden="1">'BIDU_BS + CFS'!$Y$55</definedName>
    <definedName name="MscoInputCell423" localSheetId="5" hidden="1">BIDU_IS!$AJ$255</definedName>
    <definedName name="MscoInputCell423" localSheetId="9" hidden="1">'IQ_BS + CFS'!$Y$48</definedName>
    <definedName name="MscoInputCell423" localSheetId="8" hidden="1">IQ_IS!$AJ$162</definedName>
    <definedName name="MscoInputCell424" localSheetId="6" hidden="1">'BIDU_BS + CFS'!$Z$55</definedName>
    <definedName name="MscoInputCell424" localSheetId="5" hidden="1">BIDU_IS!$Q$256</definedName>
    <definedName name="MscoInputCell424" localSheetId="9" hidden="1">'IQ_BS + CFS'!$Z$48</definedName>
    <definedName name="MscoInputCell424" localSheetId="8" hidden="1">IQ_IS!$Q$163</definedName>
    <definedName name="MscoInputCell425" localSheetId="6" hidden="1">'BIDU_BS + CFS'!$AA$55</definedName>
    <definedName name="MscoInputCell425" localSheetId="5" hidden="1">BIDU_IS!$R$256</definedName>
    <definedName name="MscoInputCell425" localSheetId="9" hidden="1">'IQ_BS + CFS'!$AA$48</definedName>
    <definedName name="MscoInputCell425" localSheetId="8" hidden="1">IQ_IS!$R$163</definedName>
    <definedName name="MscoInputCell426" localSheetId="6" hidden="1">'BIDU_BS + CFS'!$AB$55</definedName>
    <definedName name="MscoInputCell426" localSheetId="5" hidden="1">BIDU_IS!$S$256</definedName>
    <definedName name="MscoInputCell426" localSheetId="9" hidden="1">'IQ_BS + CFS'!$AB$48</definedName>
    <definedName name="MscoInputCell426" localSheetId="8" hidden="1">IQ_IS!$S$163</definedName>
    <definedName name="MscoInputCell427" localSheetId="6" hidden="1">'BIDU_BS + CFS'!$AC$55</definedName>
    <definedName name="MscoInputCell427" localSheetId="5" hidden="1">BIDU_IS!$T$256</definedName>
    <definedName name="MscoInputCell427" localSheetId="9" hidden="1">'IQ_BS + CFS'!$AC$48</definedName>
    <definedName name="MscoInputCell427" localSheetId="8" hidden="1">IQ_IS!$T$163</definedName>
    <definedName name="MscoInputCell428" localSheetId="6" hidden="1">'BIDU_BS + CFS'!$AD$55</definedName>
    <definedName name="MscoInputCell428" localSheetId="5" hidden="1">BIDU_IS!$U$256</definedName>
    <definedName name="MscoInputCell428" localSheetId="9" hidden="1">'IQ_BS + CFS'!$AD$48</definedName>
    <definedName name="MscoInputCell428" localSheetId="8" hidden="1">IQ_IS!$U$163</definedName>
    <definedName name="MscoInputCell429" localSheetId="6" hidden="1">'BIDU_BS + CFS'!$AE$55</definedName>
    <definedName name="MscoInputCell429" localSheetId="5" hidden="1">BIDU_IS!$V$256</definedName>
    <definedName name="MscoInputCell429" localSheetId="9" hidden="1">'IQ_BS + CFS'!$AE$48</definedName>
    <definedName name="MscoInputCell429" localSheetId="8" hidden="1">IQ_IS!$V$163</definedName>
    <definedName name="MscoInputCell43" localSheetId="6" hidden="1">'BIDU_BS + CFS'!$AJ$7</definedName>
    <definedName name="MscoInputCell43" localSheetId="5" hidden="1">BIDU_IS!$AG$80</definedName>
    <definedName name="MscoInputCell43" localSheetId="9" hidden="1">'IQ_BS + CFS'!$AJ$7</definedName>
    <definedName name="MscoInputCell43" localSheetId="8" hidden="1">IQ_IS!$AG$73</definedName>
    <definedName name="MscoInputCell43" localSheetId="10" hidden="1">Operating_Model!$L$11</definedName>
    <definedName name="MscoInputCell430" localSheetId="6" hidden="1">'BIDU_BS + CFS'!$AF$55</definedName>
    <definedName name="MscoInputCell430" localSheetId="5" hidden="1">BIDU_IS!$W$256</definedName>
    <definedName name="MscoInputCell430" localSheetId="9" hidden="1">'IQ_BS + CFS'!$AF$48</definedName>
    <definedName name="MscoInputCell430" localSheetId="8" hidden="1">IQ_IS!$W$163</definedName>
    <definedName name="MscoInputCell431" localSheetId="6" hidden="1">'BIDU_BS + CFS'!$AG$55</definedName>
    <definedName name="MscoInputCell431" localSheetId="5" hidden="1">BIDU_IS!$X$256</definedName>
    <definedName name="MscoInputCell431" localSheetId="9" hidden="1">'IQ_BS + CFS'!$AG$48</definedName>
    <definedName name="MscoInputCell431" localSheetId="8" hidden="1">IQ_IS!$X$163</definedName>
    <definedName name="MscoInputCell432" localSheetId="6" hidden="1">'BIDU_BS + CFS'!$AH$55</definedName>
    <definedName name="MscoInputCell432" localSheetId="5" hidden="1">BIDU_IS!$Y$256</definedName>
    <definedName name="MscoInputCell432" localSheetId="9" hidden="1">'IQ_BS + CFS'!$AH$48</definedName>
    <definedName name="MscoInputCell432" localSheetId="8" hidden="1">IQ_IS!$Y$163</definedName>
    <definedName name="MscoInputCell433" localSheetId="6" hidden="1">'BIDU_BS + CFS'!$AI$55</definedName>
    <definedName name="MscoInputCell433" localSheetId="5" hidden="1">BIDU_IS!$Z$256</definedName>
    <definedName name="MscoInputCell433" localSheetId="9" hidden="1">'IQ_BS + CFS'!$AI$48</definedName>
    <definedName name="MscoInputCell433" localSheetId="8" hidden="1">IQ_IS!$Z$163</definedName>
    <definedName name="MscoInputCell434" localSheetId="6" hidden="1">'BIDU_BS + CFS'!$AJ$55</definedName>
    <definedName name="MscoInputCell434" localSheetId="5" hidden="1">BIDU_IS!$AA$256</definedName>
    <definedName name="MscoInputCell434" localSheetId="9" hidden="1">'IQ_BS + CFS'!$AJ$48</definedName>
    <definedName name="MscoInputCell434" localSheetId="8" hidden="1">IQ_IS!$AA$163</definedName>
    <definedName name="MscoInputCell435" localSheetId="6" hidden="1">'BIDU_BS + CFS'!$T$56</definedName>
    <definedName name="MscoInputCell435" localSheetId="5" hidden="1">BIDU_IS!$AB$256</definedName>
    <definedName name="MscoInputCell435" localSheetId="9" hidden="1">'IQ_BS + CFS'!$T$49</definedName>
    <definedName name="MscoInputCell435" localSheetId="8" hidden="1">IQ_IS!$AB$163</definedName>
    <definedName name="MscoInputCell436" localSheetId="6" hidden="1">'BIDU_BS + CFS'!$U$56</definedName>
    <definedName name="MscoInputCell436" localSheetId="5" hidden="1">BIDU_IS!$AC$256</definedName>
    <definedName name="MscoInputCell436" localSheetId="9" hidden="1">'IQ_BS + CFS'!$U$49</definedName>
    <definedName name="MscoInputCell436" localSheetId="8" hidden="1">IQ_IS!$AC$163</definedName>
    <definedName name="MscoInputCell437" localSheetId="6" hidden="1">'BIDU_BS + CFS'!$V$56</definedName>
    <definedName name="MscoInputCell437" localSheetId="5" hidden="1">BIDU_IS!$AD$256</definedName>
    <definedName name="MscoInputCell437" localSheetId="9" hidden="1">'IQ_BS + CFS'!$V$49</definedName>
    <definedName name="MscoInputCell437" localSheetId="8" hidden="1">IQ_IS!$AD$163</definedName>
    <definedName name="MscoInputCell438" localSheetId="6" hidden="1">'BIDU_BS + CFS'!$W$56</definedName>
    <definedName name="MscoInputCell438" localSheetId="5" hidden="1">BIDU_IS!$AE$256</definedName>
    <definedName name="MscoInputCell438" localSheetId="9" hidden="1">'IQ_BS + CFS'!$W$49</definedName>
    <definedName name="MscoInputCell438" localSheetId="8" hidden="1">IQ_IS!$AE$163</definedName>
    <definedName name="MscoInputCell439" localSheetId="6" hidden="1">'BIDU_BS + CFS'!$X$56</definedName>
    <definedName name="MscoInputCell439" localSheetId="5" hidden="1">BIDU_IS!$AF$256</definedName>
    <definedName name="MscoInputCell439" localSheetId="9" hidden="1">'IQ_BS + CFS'!$X$49</definedName>
    <definedName name="MscoInputCell439" localSheetId="8" hidden="1">IQ_IS!$AF$163</definedName>
    <definedName name="MscoInputCell44" localSheetId="6" hidden="1">'BIDU_BS + CFS'!$T$8</definedName>
    <definedName name="MscoInputCell44" localSheetId="5" hidden="1">BIDU_IS!$AH$80</definedName>
    <definedName name="MscoInputCell44" localSheetId="8" hidden="1">IQ_IS!$AH$73</definedName>
    <definedName name="MscoInputCell44" localSheetId="10" hidden="1">Operating_Model!$M$11</definedName>
    <definedName name="MscoInputCell440" localSheetId="6" hidden="1">'BIDU_BS + CFS'!$Y$56</definedName>
    <definedName name="MscoInputCell440" localSheetId="5" hidden="1">BIDU_IS!$AG$256</definedName>
    <definedName name="MscoInputCell440" localSheetId="9" hidden="1">'IQ_BS + CFS'!$Y$49</definedName>
    <definedName name="MscoInputCell440" localSheetId="8" hidden="1">IQ_IS!$AG$163</definedName>
    <definedName name="MscoInputCell441" localSheetId="6" hidden="1">'BIDU_BS + CFS'!$Z$56</definedName>
    <definedName name="MscoInputCell441" localSheetId="5" hidden="1">BIDU_IS!$AH$256</definedName>
    <definedName name="MscoInputCell441" localSheetId="9" hidden="1">'IQ_BS + CFS'!$Z$49</definedName>
    <definedName name="MscoInputCell441" localSheetId="8" hidden="1">IQ_IS!$AH$163</definedName>
    <definedName name="MscoInputCell442" localSheetId="6" hidden="1">'BIDU_BS + CFS'!$AA$56</definedName>
    <definedName name="MscoInputCell442" localSheetId="5" hidden="1">BIDU_IS!$AI$256</definedName>
    <definedName name="MscoInputCell442" localSheetId="9" hidden="1">'IQ_BS + CFS'!$AA$49</definedName>
    <definedName name="MscoInputCell442" localSheetId="8" hidden="1">IQ_IS!$AI$163</definedName>
    <definedName name="MscoInputCell443" localSheetId="6" hidden="1">'BIDU_BS + CFS'!$AB$56</definedName>
    <definedName name="MscoInputCell443" localSheetId="5" hidden="1">BIDU_IS!$AJ$256</definedName>
    <definedName name="MscoInputCell443" localSheetId="9" hidden="1">'IQ_BS + CFS'!$AB$49</definedName>
    <definedName name="MscoInputCell443" localSheetId="8" hidden="1">IQ_IS!$AJ$163</definedName>
    <definedName name="MscoInputCell444" localSheetId="6" hidden="1">'BIDU_BS + CFS'!$AC$56</definedName>
    <definedName name="MscoInputCell444" localSheetId="5" hidden="1">BIDU_IS!$Q$265</definedName>
    <definedName name="MscoInputCell444" localSheetId="9" hidden="1">'IQ_BS + CFS'!$AC$49</definedName>
    <definedName name="MscoInputCell444" localSheetId="8" hidden="1">IQ_IS!$Q$172</definedName>
    <definedName name="MscoInputCell445" localSheetId="6" hidden="1">'BIDU_BS + CFS'!$AD$56</definedName>
    <definedName name="MscoInputCell445" localSheetId="5" hidden="1">BIDU_IS!$R$265</definedName>
    <definedName name="MscoInputCell445" localSheetId="9" hidden="1">'IQ_BS + CFS'!$AD$49</definedName>
    <definedName name="MscoInputCell445" localSheetId="8" hidden="1">IQ_IS!$R$172</definedName>
    <definedName name="MscoInputCell446" localSheetId="6" hidden="1">'BIDU_BS + CFS'!$AE$56</definedName>
    <definedName name="MscoInputCell446" localSheetId="5" hidden="1">BIDU_IS!$S$265</definedName>
    <definedName name="MscoInputCell446" localSheetId="9" hidden="1">'IQ_BS + CFS'!$AE$49</definedName>
    <definedName name="MscoInputCell446" localSheetId="8" hidden="1">IQ_IS!$S$172</definedName>
    <definedName name="MscoInputCell447" localSheetId="6" hidden="1">'BIDU_BS + CFS'!$AF$56</definedName>
    <definedName name="MscoInputCell447" localSheetId="5" hidden="1">BIDU_IS!$T$265</definedName>
    <definedName name="MscoInputCell447" localSheetId="9" hidden="1">'IQ_BS + CFS'!$AF$49</definedName>
    <definedName name="MscoInputCell447" localSheetId="8" hidden="1">IQ_IS!$T$172</definedName>
    <definedName name="MscoInputCell448" localSheetId="6" hidden="1">'BIDU_BS + CFS'!$AG$56</definedName>
    <definedName name="MscoInputCell448" localSheetId="5" hidden="1">BIDU_IS!$U$265</definedName>
    <definedName name="MscoInputCell448" localSheetId="9" hidden="1">'IQ_BS + CFS'!$AG$49</definedName>
    <definedName name="MscoInputCell448" localSheetId="8" hidden="1">IQ_IS!$U$172</definedName>
    <definedName name="MscoInputCell449" localSheetId="6" hidden="1">'BIDU_BS + CFS'!$AH$56</definedName>
    <definedName name="MscoInputCell449" localSheetId="5" hidden="1">BIDU_IS!$V$265</definedName>
    <definedName name="MscoInputCell449" localSheetId="9" hidden="1">'IQ_BS + CFS'!$AH$49</definedName>
    <definedName name="MscoInputCell449" localSheetId="8" hidden="1">IQ_IS!$V$172</definedName>
    <definedName name="MscoInputCell45" localSheetId="6" hidden="1">'BIDU_BS + CFS'!$U$8</definedName>
    <definedName name="MscoInputCell45" localSheetId="5" hidden="1">BIDU_IS!$AI$80</definedName>
    <definedName name="MscoInputCell45" localSheetId="8" hidden="1">IQ_IS!$AI$73</definedName>
    <definedName name="MscoInputCell450" localSheetId="6" hidden="1">'BIDU_BS + CFS'!$AI$56</definedName>
    <definedName name="MscoInputCell450" localSheetId="5" hidden="1">BIDU_IS!$W$265</definedName>
    <definedName name="MscoInputCell450" localSheetId="9" hidden="1">'IQ_BS + CFS'!$AI$49</definedName>
    <definedName name="MscoInputCell450" localSheetId="8" hidden="1">IQ_IS!$W$172</definedName>
    <definedName name="MscoInputCell451" localSheetId="6" hidden="1">'BIDU_BS + CFS'!$AJ$56</definedName>
    <definedName name="MscoInputCell451" localSheetId="5" hidden="1">BIDU_IS!$X$265</definedName>
    <definedName name="MscoInputCell451" localSheetId="9" hidden="1">'IQ_BS + CFS'!$AJ$49</definedName>
    <definedName name="MscoInputCell451" localSheetId="8" hidden="1">IQ_IS!$X$172</definedName>
    <definedName name="MscoInputCell452" localSheetId="6" hidden="1">'BIDU_BS + CFS'!$T$57</definedName>
    <definedName name="MscoInputCell452" localSheetId="5" hidden="1">BIDU_IS!$Y$265</definedName>
    <definedName name="MscoInputCell452" localSheetId="9" hidden="1">'IQ_BS + CFS'!$T$50</definedName>
    <definedName name="MscoInputCell452" localSheetId="8" hidden="1">IQ_IS!$Y$172</definedName>
    <definedName name="MscoInputCell453" localSheetId="6" hidden="1">'BIDU_BS + CFS'!$U$57</definedName>
    <definedName name="MscoInputCell453" localSheetId="5" hidden="1">BIDU_IS!$Z$265</definedName>
    <definedName name="MscoInputCell453" localSheetId="9" hidden="1">'IQ_BS + CFS'!$U$50</definedName>
    <definedName name="MscoInputCell453" localSheetId="8" hidden="1">IQ_IS!$Z$172</definedName>
    <definedName name="MscoInputCell454" localSheetId="6" hidden="1">'BIDU_BS + CFS'!$V$57</definedName>
    <definedName name="MscoInputCell454" localSheetId="5" hidden="1">BIDU_IS!$AA$265</definedName>
    <definedName name="MscoInputCell454" localSheetId="9" hidden="1">'IQ_BS + CFS'!$V$50</definedName>
    <definedName name="MscoInputCell454" localSheetId="8" hidden="1">IQ_IS!$AA$172</definedName>
    <definedName name="MscoInputCell455" localSheetId="6" hidden="1">'BIDU_BS + CFS'!$W$57</definedName>
    <definedName name="MscoInputCell455" localSheetId="5" hidden="1">BIDU_IS!$AB$265</definedName>
    <definedName name="MscoInputCell455" localSheetId="9" hidden="1">'IQ_BS + CFS'!$W$50</definedName>
    <definedName name="MscoInputCell455" localSheetId="8" hidden="1">IQ_IS!$AB$172</definedName>
    <definedName name="MscoInputCell456" localSheetId="6" hidden="1">'BIDU_BS + CFS'!$X$57</definedName>
    <definedName name="MscoInputCell456" localSheetId="5" hidden="1">BIDU_IS!$AC$265</definedName>
    <definedName name="MscoInputCell456" localSheetId="9" hidden="1">'IQ_BS + CFS'!$X$50</definedName>
    <definedName name="MscoInputCell456" localSheetId="8" hidden="1">IQ_IS!$AC$172</definedName>
    <definedName name="MscoInputCell457" localSheetId="6" hidden="1">'BIDU_BS + CFS'!$Y$57</definedName>
    <definedName name="MscoInputCell457" localSheetId="5" hidden="1">BIDU_IS!$AD$265</definedName>
    <definedName name="MscoInputCell457" localSheetId="9" hidden="1">'IQ_BS + CFS'!$Y$50</definedName>
    <definedName name="MscoInputCell457" localSheetId="8" hidden="1">IQ_IS!$AD$172</definedName>
    <definedName name="MscoInputCell458" localSheetId="6" hidden="1">'BIDU_BS + CFS'!$Z$57</definedName>
    <definedName name="MscoInputCell458" localSheetId="5" hidden="1">BIDU_IS!$AE$265</definedName>
    <definedName name="MscoInputCell458" localSheetId="9" hidden="1">'IQ_BS + CFS'!$Z$50</definedName>
    <definedName name="MscoInputCell458" localSheetId="8" hidden="1">IQ_IS!$AE$172</definedName>
    <definedName name="MscoInputCell459" localSheetId="6" hidden="1">'BIDU_BS + CFS'!$AA$57</definedName>
    <definedName name="MscoInputCell459" localSheetId="5" hidden="1">BIDU_IS!$AF$265</definedName>
    <definedName name="MscoInputCell459" localSheetId="9" hidden="1">'IQ_BS + CFS'!$AA$50</definedName>
    <definedName name="MscoInputCell459" localSheetId="8" hidden="1">IQ_IS!$AF$172</definedName>
    <definedName name="MscoInputCell46" localSheetId="6" hidden="1">'BIDU_BS + CFS'!$V$8</definedName>
    <definedName name="MscoInputCell46" localSheetId="5" hidden="1">BIDU_IS!$AJ$80</definedName>
    <definedName name="MscoInputCell46" localSheetId="8" hidden="1">IQ_IS!$AJ$73</definedName>
    <definedName name="MscoInputCell460" localSheetId="6" hidden="1">'BIDU_BS + CFS'!$AB$57</definedName>
    <definedName name="MscoInputCell460" localSheetId="5" hidden="1">BIDU_IS!$AG$265</definedName>
    <definedName name="MscoInputCell460" localSheetId="9" hidden="1">'IQ_BS + CFS'!$AB$50</definedName>
    <definedName name="MscoInputCell460" localSheetId="8" hidden="1">IQ_IS!$AG$172</definedName>
    <definedName name="MscoInputCell461" localSheetId="6" hidden="1">'BIDU_BS + CFS'!$AC$57</definedName>
    <definedName name="MscoInputCell461" localSheetId="5" hidden="1">BIDU_IS!$AH$265</definedName>
    <definedName name="MscoInputCell461" localSheetId="9" hidden="1">'IQ_BS + CFS'!$AC$50</definedName>
    <definedName name="MscoInputCell461" localSheetId="8" hidden="1">IQ_IS!$AH$172</definedName>
    <definedName name="MscoInputCell462" localSheetId="6" hidden="1">'BIDU_BS + CFS'!$AD$57</definedName>
    <definedName name="MscoInputCell462" localSheetId="5" hidden="1">BIDU_IS!$AI$265</definedName>
    <definedName name="MscoInputCell462" localSheetId="9" hidden="1">'IQ_BS + CFS'!$AD$50</definedName>
    <definedName name="MscoInputCell462" localSheetId="8" hidden="1">IQ_IS!$AI$172</definedName>
    <definedName name="MscoInputCell463" localSheetId="6" hidden="1">'BIDU_BS + CFS'!$AE$57</definedName>
    <definedName name="MscoInputCell463" localSheetId="5" hidden="1">BIDU_IS!$AJ$265</definedName>
    <definedName name="MscoInputCell463" localSheetId="9" hidden="1">'IQ_BS + CFS'!$AE$50</definedName>
    <definedName name="MscoInputCell463" localSheetId="8" hidden="1">IQ_IS!$AJ$172</definedName>
    <definedName name="MscoInputCell464" localSheetId="6" hidden="1">'BIDU_BS + CFS'!$AF$57</definedName>
    <definedName name="MscoInputCell464" localSheetId="5" hidden="1">BIDU_IS!$Q$266</definedName>
    <definedName name="MscoInputCell464" localSheetId="9" hidden="1">'IQ_BS + CFS'!$AF$50</definedName>
    <definedName name="MscoInputCell464" localSheetId="8" hidden="1">IQ_IS!$Q$173</definedName>
    <definedName name="MscoInputCell465" localSheetId="6" hidden="1">'BIDU_BS + CFS'!$AG$57</definedName>
    <definedName name="MscoInputCell465" localSheetId="5" hidden="1">BIDU_IS!$R$266</definedName>
    <definedName name="MscoInputCell465" localSheetId="9" hidden="1">'IQ_BS + CFS'!$AG$50</definedName>
    <definedName name="MscoInputCell465" localSheetId="8" hidden="1">IQ_IS!$R$173</definedName>
    <definedName name="MscoInputCell466" localSheetId="6" hidden="1">'BIDU_BS + CFS'!$AH$57</definedName>
    <definedName name="MscoInputCell466" localSheetId="5" hidden="1">BIDU_IS!$S$266</definedName>
    <definedName name="MscoInputCell466" localSheetId="9" hidden="1">'IQ_BS + CFS'!$AH$50</definedName>
    <definedName name="MscoInputCell466" localSheetId="8" hidden="1">IQ_IS!$S$173</definedName>
    <definedName name="MscoInputCell467" localSheetId="6" hidden="1">'BIDU_BS + CFS'!$AI$57</definedName>
    <definedName name="MscoInputCell467" localSheetId="5" hidden="1">BIDU_IS!$T$266</definedName>
    <definedName name="MscoInputCell467" localSheetId="9" hidden="1">'IQ_BS + CFS'!$AI$50</definedName>
    <definedName name="MscoInputCell467" localSheetId="8" hidden="1">IQ_IS!$T$173</definedName>
    <definedName name="MscoInputCell468" localSheetId="6" hidden="1">'BIDU_BS + CFS'!$AJ$57</definedName>
    <definedName name="MscoInputCell468" localSheetId="5" hidden="1">BIDU_IS!$U$266</definedName>
    <definedName name="MscoInputCell468" localSheetId="9" hidden="1">'IQ_BS + CFS'!$AJ$50</definedName>
    <definedName name="MscoInputCell468" localSheetId="8" hidden="1">IQ_IS!$U$173</definedName>
    <definedName name="MscoInputCell469" localSheetId="6" hidden="1">'BIDU_BS + CFS'!$T$58</definedName>
    <definedName name="MscoInputCell469" localSheetId="5" hidden="1">BIDU_IS!$V$266</definedName>
    <definedName name="MscoInputCell469" localSheetId="9" hidden="1">'IQ_BS + CFS'!$T$51</definedName>
    <definedName name="MscoInputCell469" localSheetId="8" hidden="1">IQ_IS!$V$173</definedName>
    <definedName name="MscoInputCell47" localSheetId="6" hidden="1">'BIDU_BS + CFS'!$W$8</definedName>
    <definedName name="MscoInputCell47" localSheetId="5" hidden="1">BIDU_IS!$Q$81</definedName>
    <definedName name="MscoInputCell47" localSheetId="8" hidden="1">IQ_IS!$Q$74</definedName>
    <definedName name="MscoInputCell470" localSheetId="6" hidden="1">'BIDU_BS + CFS'!$U$58</definedName>
    <definedName name="MscoInputCell470" localSheetId="5" hidden="1">BIDU_IS!$W$266</definedName>
    <definedName name="MscoInputCell470" localSheetId="9" hidden="1">'IQ_BS + CFS'!$U$51</definedName>
    <definedName name="MscoInputCell470" localSheetId="8" hidden="1">IQ_IS!$W$173</definedName>
    <definedName name="MscoInputCell471" localSheetId="6" hidden="1">'BIDU_BS + CFS'!$V$58</definedName>
    <definedName name="MscoInputCell471" localSheetId="5" hidden="1">BIDU_IS!$X$266</definedName>
    <definedName name="MscoInputCell471" localSheetId="9" hidden="1">'IQ_BS + CFS'!$V$51</definedName>
    <definedName name="MscoInputCell471" localSheetId="8" hidden="1">IQ_IS!$X$173</definedName>
    <definedName name="MscoInputCell472" localSheetId="6" hidden="1">'BIDU_BS + CFS'!$W$58</definedName>
    <definedName name="MscoInputCell472" localSheetId="5" hidden="1">BIDU_IS!$Y$266</definedName>
    <definedName name="MscoInputCell472" localSheetId="9" hidden="1">'IQ_BS + CFS'!$W$51</definedName>
    <definedName name="MscoInputCell472" localSheetId="8" hidden="1">IQ_IS!$Y$173</definedName>
    <definedName name="MscoInputCell473" localSheetId="6" hidden="1">'BIDU_BS + CFS'!$X$58</definedName>
    <definedName name="MscoInputCell473" localSheetId="5" hidden="1">BIDU_IS!$Z$266</definedName>
    <definedName name="MscoInputCell473" localSheetId="9" hidden="1">'IQ_BS + CFS'!$X$51</definedName>
    <definedName name="MscoInputCell473" localSheetId="8" hidden="1">IQ_IS!$Z$173</definedName>
    <definedName name="MscoInputCell474" localSheetId="6" hidden="1">'BIDU_BS + CFS'!$Y$58</definedName>
    <definedName name="MscoInputCell474" localSheetId="5" hidden="1">BIDU_IS!$AA$266</definedName>
    <definedName name="MscoInputCell474" localSheetId="9" hidden="1">'IQ_BS + CFS'!$Y$51</definedName>
    <definedName name="MscoInputCell474" localSheetId="8" hidden="1">IQ_IS!$AA$173</definedName>
    <definedName name="MscoInputCell475" localSheetId="6" hidden="1">'BIDU_BS + CFS'!$Z$58</definedName>
    <definedName name="MscoInputCell475" localSheetId="5" hidden="1">BIDU_IS!$AB$266</definedName>
    <definedName name="MscoInputCell475" localSheetId="9" hidden="1">'IQ_BS + CFS'!$Z$51</definedName>
    <definedName name="MscoInputCell475" localSheetId="8" hidden="1">IQ_IS!$AB$173</definedName>
    <definedName name="MscoInputCell476" localSheetId="6" hidden="1">'BIDU_BS + CFS'!$AA$58</definedName>
    <definedName name="MscoInputCell476" localSheetId="5" hidden="1">BIDU_IS!$AC$266</definedName>
    <definedName name="MscoInputCell476" localSheetId="9" hidden="1">'IQ_BS + CFS'!$AA$51</definedName>
    <definedName name="MscoInputCell476" localSheetId="8" hidden="1">IQ_IS!$AC$173</definedName>
    <definedName name="MscoInputCell477" localSheetId="6" hidden="1">'BIDU_BS + CFS'!$AB$58</definedName>
    <definedName name="MscoInputCell477" localSheetId="5" hidden="1">BIDU_IS!$AD$266</definedName>
    <definedName name="MscoInputCell477" localSheetId="9" hidden="1">'IQ_BS + CFS'!$AB$51</definedName>
    <definedName name="MscoInputCell477" localSheetId="8" hidden="1">IQ_IS!$AD$173</definedName>
    <definedName name="MscoInputCell478" localSheetId="6" hidden="1">'BIDU_BS + CFS'!$AC$58</definedName>
    <definedName name="MscoInputCell478" localSheetId="5" hidden="1">BIDU_IS!$AE$266</definedName>
    <definedName name="MscoInputCell478" localSheetId="9" hidden="1">'IQ_BS + CFS'!$AC$51</definedName>
    <definedName name="MscoInputCell478" localSheetId="8" hidden="1">IQ_IS!$AE$173</definedName>
    <definedName name="MscoInputCell479" localSheetId="6" hidden="1">'BIDU_BS + CFS'!$AD$58</definedName>
    <definedName name="MscoInputCell479" localSheetId="5" hidden="1">BIDU_IS!$AF$266</definedName>
    <definedName name="MscoInputCell479" localSheetId="9" hidden="1">'IQ_BS + CFS'!$AD$51</definedName>
    <definedName name="MscoInputCell479" localSheetId="8" hidden="1">IQ_IS!$AF$173</definedName>
    <definedName name="MscoInputCell48" localSheetId="6" hidden="1">'BIDU_BS + CFS'!$X$8</definedName>
    <definedName name="MscoInputCell48" localSheetId="5" hidden="1">BIDU_IS!$R$81</definedName>
    <definedName name="MscoInputCell48" localSheetId="8" hidden="1">IQ_IS!$R$74</definedName>
    <definedName name="MscoInputCell480" localSheetId="6" hidden="1">'BIDU_BS + CFS'!$AE$58</definedName>
    <definedName name="MscoInputCell480" localSheetId="5" hidden="1">BIDU_IS!$AG$266</definedName>
    <definedName name="MscoInputCell480" localSheetId="9" hidden="1">'IQ_BS + CFS'!$AE$51</definedName>
    <definedName name="MscoInputCell480" localSheetId="8" hidden="1">IQ_IS!$AG$173</definedName>
    <definedName name="MscoInputCell481" localSheetId="6" hidden="1">'BIDU_BS + CFS'!$AF$58</definedName>
    <definedName name="MscoInputCell481" localSheetId="5" hidden="1">BIDU_IS!$AH$266</definedName>
    <definedName name="MscoInputCell481" localSheetId="9" hidden="1">'IQ_BS + CFS'!$AF$51</definedName>
    <definedName name="MscoInputCell481" localSheetId="8" hidden="1">IQ_IS!$AH$173</definedName>
    <definedName name="MscoInputCell482" localSheetId="6" hidden="1">'BIDU_BS + CFS'!$AG$58</definedName>
    <definedName name="MscoInputCell482" localSheetId="5" hidden="1">BIDU_IS!$AI$266</definedName>
    <definedName name="MscoInputCell482" localSheetId="9" hidden="1">'IQ_BS + CFS'!$AG$51</definedName>
    <definedName name="MscoInputCell482" localSheetId="8" hidden="1">IQ_IS!$AI$173</definedName>
    <definedName name="MscoInputCell483" localSheetId="6" hidden="1">'BIDU_BS + CFS'!$AH$58</definedName>
    <definedName name="MscoInputCell483" localSheetId="5" hidden="1">BIDU_IS!$AJ$266</definedName>
    <definedName name="MscoInputCell483" localSheetId="9" hidden="1">'IQ_BS + CFS'!$AH$51</definedName>
    <definedName name="MscoInputCell483" localSheetId="8" hidden="1">IQ_IS!$AJ$173</definedName>
    <definedName name="MscoInputCell484" localSheetId="6" hidden="1">'BIDU_BS + CFS'!$AI$58</definedName>
    <definedName name="MscoInputCell484" localSheetId="5" hidden="1">BIDU_IS!$Q$267</definedName>
    <definedName name="MscoInputCell484" localSheetId="9" hidden="1">'IQ_BS + CFS'!$AI$51</definedName>
    <definedName name="MscoInputCell484" localSheetId="8" hidden="1">IQ_IS!$Q$174</definedName>
    <definedName name="MscoInputCell485" localSheetId="6" hidden="1">'BIDU_BS + CFS'!$AJ$58</definedName>
    <definedName name="MscoInputCell485" localSheetId="5" hidden="1">BIDU_IS!$R$267</definedName>
    <definedName name="MscoInputCell485" localSheetId="9" hidden="1">'IQ_BS + CFS'!$AJ$51</definedName>
    <definedName name="MscoInputCell485" localSheetId="8" hidden="1">IQ_IS!$R$174</definedName>
    <definedName name="MscoInputCell486" localSheetId="6" hidden="1">'BIDU_BS + CFS'!$T$61</definedName>
    <definedName name="MscoInputCell486" localSheetId="5" hidden="1">BIDU_IS!$S$267</definedName>
    <definedName name="MscoInputCell486" localSheetId="9" hidden="1">'IQ_BS + CFS'!$T$54</definedName>
    <definedName name="MscoInputCell486" localSheetId="8" hidden="1">IQ_IS!$S$174</definedName>
    <definedName name="MscoInputCell487" localSheetId="6" hidden="1">'BIDU_BS + CFS'!$U$61</definedName>
    <definedName name="MscoInputCell487" localSheetId="5" hidden="1">BIDU_IS!$T$267</definedName>
    <definedName name="MscoInputCell487" localSheetId="9" hidden="1">'IQ_BS + CFS'!$U$54</definedName>
    <definedName name="MscoInputCell487" localSheetId="8" hidden="1">IQ_IS!$T$174</definedName>
    <definedName name="MscoInputCell488" localSheetId="6" hidden="1">'BIDU_BS + CFS'!$V$61</definedName>
    <definedName name="MscoInputCell488" localSheetId="5" hidden="1">BIDU_IS!$U$267</definedName>
    <definedName name="MscoInputCell488" localSheetId="9" hidden="1">'IQ_BS + CFS'!$V$54</definedName>
    <definedName name="MscoInputCell488" localSheetId="8" hidden="1">IQ_IS!$U$174</definedName>
    <definedName name="MscoInputCell489" localSheetId="6" hidden="1">'BIDU_BS + CFS'!$W$61</definedName>
    <definedName name="MscoInputCell489" localSheetId="5" hidden="1">BIDU_IS!$V$267</definedName>
    <definedName name="MscoInputCell489" localSheetId="9" hidden="1">'IQ_BS + CFS'!$W$54</definedName>
    <definedName name="MscoInputCell489" localSheetId="8" hidden="1">IQ_IS!$V$174</definedName>
    <definedName name="MscoInputCell49" localSheetId="6" hidden="1">'BIDU_BS + CFS'!$Y$8</definedName>
    <definedName name="MscoInputCell49" localSheetId="5" hidden="1">BIDU_IS!$S$81</definedName>
    <definedName name="MscoInputCell49" localSheetId="8" hidden="1">IQ_IS!$S$74</definedName>
    <definedName name="MscoInputCell490" localSheetId="6" hidden="1">'BIDU_BS + CFS'!$X$61</definedName>
    <definedName name="MscoInputCell490" localSheetId="5" hidden="1">BIDU_IS!$W$267</definedName>
    <definedName name="MscoInputCell490" localSheetId="9" hidden="1">'IQ_BS + CFS'!$X$54</definedName>
    <definedName name="MscoInputCell490" localSheetId="8" hidden="1">IQ_IS!$W$174</definedName>
    <definedName name="MscoInputCell491" localSheetId="6" hidden="1">'BIDU_BS + CFS'!$Y$61</definedName>
    <definedName name="MscoInputCell491" localSheetId="5" hidden="1">BIDU_IS!$X$267</definedName>
    <definedName name="MscoInputCell491" localSheetId="9" hidden="1">'IQ_BS + CFS'!$Y$54</definedName>
    <definedName name="MscoInputCell491" localSheetId="8" hidden="1">IQ_IS!$X$174</definedName>
    <definedName name="MscoInputCell492" localSheetId="6" hidden="1">'BIDU_BS + CFS'!$Z$61</definedName>
    <definedName name="MscoInputCell492" localSheetId="5" hidden="1">BIDU_IS!$Y$267</definedName>
    <definedName name="MscoInputCell492" localSheetId="9" hidden="1">'IQ_BS + CFS'!$Z$54</definedName>
    <definedName name="MscoInputCell492" localSheetId="8" hidden="1">IQ_IS!$Y$174</definedName>
    <definedName name="MscoInputCell493" localSheetId="6" hidden="1">'BIDU_BS + CFS'!$AA$61</definedName>
    <definedName name="MscoInputCell493" localSheetId="5" hidden="1">BIDU_IS!$Z$267</definedName>
    <definedName name="MscoInputCell493" localSheetId="9" hidden="1">'IQ_BS + CFS'!$AA$54</definedName>
    <definedName name="MscoInputCell493" localSheetId="8" hidden="1">IQ_IS!$Z$174</definedName>
    <definedName name="MscoInputCell494" localSheetId="6" hidden="1">'BIDU_BS + CFS'!$AB$61</definedName>
    <definedName name="MscoInputCell494" localSheetId="5" hidden="1">BIDU_IS!$AA$267</definedName>
    <definedName name="MscoInputCell494" localSheetId="9" hidden="1">'IQ_BS + CFS'!$AB$54</definedName>
    <definedName name="MscoInputCell494" localSheetId="8" hidden="1">IQ_IS!$AA$174</definedName>
    <definedName name="MscoInputCell495" localSheetId="6" hidden="1">'BIDU_BS + CFS'!$AC$61</definedName>
    <definedName name="MscoInputCell495" localSheetId="5" hidden="1">BIDU_IS!$AB$267</definedName>
    <definedName name="MscoInputCell495" localSheetId="9" hidden="1">'IQ_BS + CFS'!$AC$54</definedName>
    <definedName name="MscoInputCell495" localSheetId="8" hidden="1">IQ_IS!$AB$174</definedName>
    <definedName name="MscoInputCell496" localSheetId="6" hidden="1">'BIDU_BS + CFS'!$AD$61</definedName>
    <definedName name="MscoInputCell496" localSheetId="5" hidden="1">BIDU_IS!$AC$267</definedName>
    <definedName name="MscoInputCell496" localSheetId="9" hidden="1">'IQ_BS + CFS'!$AD$54</definedName>
    <definedName name="MscoInputCell496" localSheetId="8" hidden="1">IQ_IS!$AC$174</definedName>
    <definedName name="MscoInputCell497" localSheetId="6" hidden="1">'BIDU_BS + CFS'!$AE$61</definedName>
    <definedName name="MscoInputCell497" localSheetId="5" hidden="1">BIDU_IS!$AD$267</definedName>
    <definedName name="MscoInputCell497" localSheetId="9" hidden="1">'IQ_BS + CFS'!$AE$54</definedName>
    <definedName name="MscoInputCell497" localSheetId="8" hidden="1">IQ_IS!$AD$174</definedName>
    <definedName name="MscoInputCell498" localSheetId="6" hidden="1">'BIDU_BS + CFS'!$AF$61</definedName>
    <definedName name="MscoInputCell498" localSheetId="5" hidden="1">BIDU_IS!$AE$267</definedName>
    <definedName name="MscoInputCell498" localSheetId="9" hidden="1">'IQ_BS + CFS'!$AF$54</definedName>
    <definedName name="MscoInputCell498" localSheetId="8" hidden="1">IQ_IS!$AE$174</definedName>
    <definedName name="MscoInputCell499" localSheetId="6" hidden="1">'BIDU_BS + CFS'!$AG$61</definedName>
    <definedName name="MscoInputCell499" localSheetId="5" hidden="1">BIDU_IS!$AF$267</definedName>
    <definedName name="MscoInputCell499" localSheetId="9" hidden="1">'IQ_BS + CFS'!$AG$54</definedName>
    <definedName name="MscoInputCell499" localSheetId="8" hidden="1">IQ_IS!$AF$174</definedName>
    <definedName name="MscoInputCell5" localSheetId="5" hidden="1">BIDU_IS!$L$255</definedName>
    <definedName name="MscoInputCell5" localSheetId="8" hidden="1">IQ_IS!$L$162</definedName>
    <definedName name="MscoInputCell50" localSheetId="6" hidden="1">'BIDU_BS + CFS'!$Z$8</definedName>
    <definedName name="MscoInputCell50" localSheetId="5" hidden="1">BIDU_IS!$T$81</definedName>
    <definedName name="MscoInputCell50" localSheetId="8" hidden="1">IQ_IS!$T$74</definedName>
    <definedName name="MscoInputCell500" localSheetId="6" hidden="1">'BIDU_BS + CFS'!$AH$61</definedName>
    <definedName name="MscoInputCell500" localSheetId="5" hidden="1">BIDU_IS!$AG$267</definedName>
    <definedName name="MscoInputCell500" localSheetId="9" hidden="1">'IQ_BS + CFS'!$AH$54</definedName>
    <definedName name="MscoInputCell500" localSheetId="8" hidden="1">IQ_IS!$AG$174</definedName>
    <definedName name="MscoInputCell501" localSheetId="6" hidden="1">'BIDU_BS + CFS'!$AI$61</definedName>
    <definedName name="MscoInputCell501" localSheetId="5" hidden="1">BIDU_IS!$AH$267</definedName>
    <definedName name="MscoInputCell501" localSheetId="9" hidden="1">'IQ_BS + CFS'!$AI$54</definedName>
    <definedName name="MscoInputCell501" localSheetId="8" hidden="1">IQ_IS!$AH$174</definedName>
    <definedName name="MscoInputCell502" localSheetId="6" hidden="1">'BIDU_BS + CFS'!$AJ$61</definedName>
    <definedName name="MscoInputCell502" localSheetId="5" hidden="1">BIDU_IS!$AI$267</definedName>
    <definedName name="MscoInputCell502" localSheetId="9" hidden="1">'IQ_BS + CFS'!$AJ$54</definedName>
    <definedName name="MscoInputCell502" localSheetId="8" hidden="1">IQ_IS!$AI$174</definedName>
    <definedName name="MscoInputCell503" localSheetId="6" hidden="1">'BIDU_BS + CFS'!$AQ$157</definedName>
    <definedName name="MscoInputCell503" localSheetId="5" hidden="1">BIDU_IS!$AJ$267</definedName>
    <definedName name="MscoInputCell503" localSheetId="8" hidden="1">IQ_IS!$AJ$174</definedName>
    <definedName name="MscoInputCell504" localSheetId="6" hidden="1">'BIDU_BS + CFS'!$AT$158</definedName>
    <definedName name="MscoInputCell504" localSheetId="5" hidden="1">BIDU_IS!$Q$281</definedName>
    <definedName name="MscoInputCell504" localSheetId="8" hidden="1">IQ_IS!$Q$190</definedName>
    <definedName name="MscoInputCell505" localSheetId="5" hidden="1">BIDU_IS!$R$281</definedName>
    <definedName name="MscoInputCell505" localSheetId="8" hidden="1">IQ_IS!$R$190</definedName>
    <definedName name="MscoInputCell506" localSheetId="5" hidden="1">BIDU_IS!$S$281</definedName>
    <definedName name="MscoInputCell506" localSheetId="8" hidden="1">IQ_IS!$S$190</definedName>
    <definedName name="MscoInputCell507" localSheetId="6" hidden="1">'BIDU_BS + CFS'!$AJ$168</definedName>
    <definedName name="MscoInputCell507" localSheetId="5" hidden="1">BIDU_IS!$T$281</definedName>
    <definedName name="MscoInputCell507" localSheetId="9" hidden="1">'IQ_BS + CFS'!$AJ$140</definedName>
    <definedName name="MscoInputCell507" localSheetId="8" hidden="1">IQ_IS!$T$190</definedName>
    <definedName name="MscoInputCell508" localSheetId="6" hidden="1">'BIDU_BS + CFS'!$AK$168</definedName>
    <definedName name="MscoInputCell508" localSheetId="5" hidden="1">BIDU_IS!$U$281</definedName>
    <definedName name="MscoInputCell508" localSheetId="9" hidden="1">'IQ_BS + CFS'!$AK$140</definedName>
    <definedName name="MscoInputCell508" localSheetId="8" hidden="1">IQ_IS!$U$190</definedName>
    <definedName name="MscoInputCell509" localSheetId="6" hidden="1">'BIDU_BS + CFS'!$AL$168</definedName>
    <definedName name="MscoInputCell509" localSheetId="5" hidden="1">BIDU_IS!$V$281</definedName>
    <definedName name="MscoInputCell509" localSheetId="9" hidden="1">'IQ_BS + CFS'!$AL$140</definedName>
    <definedName name="MscoInputCell509" localSheetId="8" hidden="1">IQ_IS!$V$190</definedName>
    <definedName name="MscoInputCell51" localSheetId="6" hidden="1">'BIDU_BS + CFS'!$AA$8</definedName>
    <definedName name="MscoInputCell51" localSheetId="5" hidden="1">BIDU_IS!$U$81</definedName>
    <definedName name="MscoInputCell51" localSheetId="8" hidden="1">IQ_IS!$U$74</definedName>
    <definedName name="MscoInputCell510" localSheetId="6" hidden="1">'BIDU_BS + CFS'!$AM$168</definedName>
    <definedName name="MscoInputCell510" localSheetId="5" hidden="1">BIDU_IS!$W$281</definedName>
    <definedName name="MscoInputCell510" localSheetId="9" hidden="1">'IQ_BS + CFS'!$AM$140</definedName>
    <definedName name="MscoInputCell510" localSheetId="8" hidden="1">IQ_IS!$W$190</definedName>
    <definedName name="MscoInputCell511" localSheetId="6" hidden="1">'BIDU_BS + CFS'!$AN$168</definedName>
    <definedName name="MscoInputCell511" localSheetId="5" hidden="1">BIDU_IS!$X$281</definedName>
    <definedName name="MscoInputCell511" localSheetId="9" hidden="1">'IQ_BS + CFS'!$AN$140</definedName>
    <definedName name="MscoInputCell511" localSheetId="8" hidden="1">IQ_IS!$X$190</definedName>
    <definedName name="MscoInputCell512" localSheetId="5" hidden="1">BIDU_IS!$Y$281</definedName>
    <definedName name="MscoInputCell512" localSheetId="8" hidden="1">IQ_IS!$Y$190</definedName>
    <definedName name="MscoInputCell513" localSheetId="5" hidden="1">BIDU_IS!$Z$281</definedName>
    <definedName name="MscoInputCell513" localSheetId="8" hidden="1">IQ_IS!$Z$190</definedName>
    <definedName name="MscoInputCell514" localSheetId="5" hidden="1">BIDU_IS!$AA$281</definedName>
    <definedName name="MscoInputCell514" localSheetId="8" hidden="1">IQ_IS!$AA$190</definedName>
    <definedName name="MscoInputCell515" localSheetId="5" hidden="1">BIDU_IS!$AB$281</definedName>
    <definedName name="MscoInputCell515" localSheetId="8" hidden="1">IQ_IS!$AB$190</definedName>
    <definedName name="MscoInputCell516" localSheetId="5" hidden="1">BIDU_IS!$AC$281</definedName>
    <definedName name="MscoInputCell516" localSheetId="8" hidden="1">IQ_IS!$AC$190</definedName>
    <definedName name="MscoInputCell517" localSheetId="5" hidden="1">BIDU_IS!$AD$281</definedName>
    <definedName name="MscoInputCell517" localSheetId="8" hidden="1">IQ_IS!$AD$190</definedName>
    <definedName name="MscoInputCell518" localSheetId="5" hidden="1">BIDU_IS!$AE$281</definedName>
    <definedName name="MscoInputCell518" localSheetId="8" hidden="1">IQ_IS!$AE$190</definedName>
    <definedName name="MscoInputCell519" localSheetId="5" hidden="1">BIDU_IS!$AF$281</definedName>
    <definedName name="MscoInputCell519" localSheetId="8" hidden="1">IQ_IS!$AF$190</definedName>
    <definedName name="MscoInputCell52" localSheetId="6" hidden="1">'BIDU_BS + CFS'!$AB$8</definedName>
    <definedName name="MscoInputCell52" localSheetId="5" hidden="1">BIDU_IS!$V$81</definedName>
    <definedName name="MscoInputCell52" localSheetId="8" hidden="1">IQ_IS!$V$74</definedName>
    <definedName name="MscoInputCell520" localSheetId="5" hidden="1">BIDU_IS!$AG$281</definedName>
    <definedName name="MscoInputCell520" localSheetId="8" hidden="1">IQ_IS!$AG$190</definedName>
    <definedName name="MscoInputCell521" localSheetId="5" hidden="1">BIDU_IS!$AH$281</definedName>
    <definedName name="MscoInputCell521" localSheetId="8" hidden="1">IQ_IS!$AH$190</definedName>
    <definedName name="MscoInputCell522" localSheetId="5" hidden="1">BIDU_IS!$AI$281</definedName>
    <definedName name="MscoInputCell522" localSheetId="8" hidden="1">IQ_IS!$AI$190</definedName>
    <definedName name="MscoInputCell523" localSheetId="5" hidden="1">BIDU_IS!$AJ$281</definedName>
    <definedName name="MscoInputCell523" localSheetId="8" hidden="1">IQ_IS!$AJ$190</definedName>
    <definedName name="MscoInputCell524" localSheetId="5" hidden="1">BIDU_IS!$Q$282</definedName>
    <definedName name="MscoInputCell524" localSheetId="8" hidden="1">IQ_IS!$Q$194</definedName>
    <definedName name="MscoInputCell525" localSheetId="5" hidden="1">BIDU_IS!$R$282</definedName>
    <definedName name="MscoInputCell525" localSheetId="8" hidden="1">IQ_IS!$R$194</definedName>
    <definedName name="MscoInputCell526" localSheetId="5" hidden="1">BIDU_IS!$S$282</definedName>
    <definedName name="MscoInputCell526" localSheetId="8" hidden="1">IQ_IS!$S$194</definedName>
    <definedName name="MscoInputCell527" localSheetId="5" hidden="1">BIDU_IS!$T$282</definedName>
    <definedName name="MscoInputCell527" localSheetId="8" hidden="1">IQ_IS!$T$194</definedName>
    <definedName name="MscoInputCell528" localSheetId="5" hidden="1">BIDU_IS!$U$282</definedName>
    <definedName name="MscoInputCell528" localSheetId="8" hidden="1">IQ_IS!$U$194</definedName>
    <definedName name="MscoInputCell529" localSheetId="5" hidden="1">BIDU_IS!$V$282</definedName>
    <definedName name="MscoInputCell529" localSheetId="8" hidden="1">IQ_IS!$V$194</definedName>
    <definedName name="MscoInputCell53" localSheetId="6" hidden="1">'BIDU_BS + CFS'!$AC$8</definedName>
    <definedName name="MscoInputCell53" localSheetId="5" hidden="1">BIDU_IS!$W$81</definedName>
    <definedName name="MscoInputCell53" localSheetId="8" hidden="1">IQ_IS!$W$74</definedName>
    <definedName name="MscoInputCell530" localSheetId="5" hidden="1">BIDU_IS!$W$282</definedName>
    <definedName name="MscoInputCell530" localSheetId="8" hidden="1">IQ_IS!$W$194</definedName>
    <definedName name="MscoInputCell531" localSheetId="5" hidden="1">BIDU_IS!$X$282</definedName>
    <definedName name="MscoInputCell531" localSheetId="8" hidden="1">IQ_IS!$X$194</definedName>
    <definedName name="MscoInputCell532" localSheetId="5" hidden="1">BIDU_IS!$Y$282</definedName>
    <definedName name="MscoInputCell532" localSheetId="8" hidden="1">IQ_IS!$Y$194</definedName>
    <definedName name="MscoInputCell533" localSheetId="5" hidden="1">BIDU_IS!$Z$282</definedName>
    <definedName name="MscoInputCell533" localSheetId="8" hidden="1">IQ_IS!$Z$194</definedName>
    <definedName name="MscoInputCell534" localSheetId="5" hidden="1">BIDU_IS!$AA$282</definedName>
    <definedName name="MscoInputCell534" localSheetId="8" hidden="1">IQ_IS!$AA$194</definedName>
    <definedName name="MscoInputCell535" localSheetId="5" hidden="1">BIDU_IS!$AB$282</definedName>
    <definedName name="MscoInputCell535" localSheetId="8" hidden="1">IQ_IS!$AB$194</definedName>
    <definedName name="MscoInputCell536" localSheetId="5" hidden="1">BIDU_IS!$AC$282</definedName>
    <definedName name="MscoInputCell536" localSheetId="8" hidden="1">IQ_IS!$AC$194</definedName>
    <definedName name="MscoInputCell537" localSheetId="5" hidden="1">BIDU_IS!$AD$282</definedName>
    <definedName name="MscoInputCell537" localSheetId="8" hidden="1">IQ_IS!$AD$194</definedName>
    <definedName name="MscoInputCell538" localSheetId="5" hidden="1">BIDU_IS!$AE$282</definedName>
    <definedName name="MscoInputCell538" localSheetId="8" hidden="1">IQ_IS!$AE$194</definedName>
    <definedName name="MscoInputCell539" localSheetId="5" hidden="1">BIDU_IS!$AF$282</definedName>
    <definedName name="MscoInputCell539" localSheetId="8" hidden="1">IQ_IS!$AF$194</definedName>
    <definedName name="MscoInputCell54" localSheetId="6" hidden="1">'BIDU_BS + CFS'!$AD$8</definedName>
    <definedName name="MscoInputCell54" localSheetId="5" hidden="1">BIDU_IS!$X$81</definedName>
    <definedName name="MscoInputCell54" localSheetId="8" hidden="1">IQ_IS!$X$74</definedName>
    <definedName name="MscoInputCell540" localSheetId="5" hidden="1">BIDU_IS!$AG$282</definedName>
    <definedName name="MscoInputCell540" localSheetId="8" hidden="1">IQ_IS!$AG$194</definedName>
    <definedName name="MscoInputCell541" localSheetId="5" hidden="1">BIDU_IS!$AH$282</definedName>
    <definedName name="MscoInputCell541" localSheetId="8" hidden="1">IQ_IS!$AH$194</definedName>
    <definedName name="MscoInputCell542" localSheetId="5" hidden="1">BIDU_IS!$AI$282</definedName>
    <definedName name="MscoInputCell542" localSheetId="8" hidden="1">IQ_IS!$AI$194</definedName>
    <definedName name="MscoInputCell543" localSheetId="5" hidden="1">BIDU_IS!$AJ$282</definedName>
    <definedName name="MscoInputCell543" localSheetId="8" hidden="1">IQ_IS!$AJ$194</definedName>
    <definedName name="MscoInputCell544" localSheetId="5" hidden="1">BIDU_IS!$Q$292</definedName>
    <definedName name="MscoInputCell544" localSheetId="8" hidden="1">IQ_IS!$Q$204</definedName>
    <definedName name="MscoInputCell545" localSheetId="5" hidden="1">BIDU_IS!$R$292</definedName>
    <definedName name="MscoInputCell545" localSheetId="8" hidden="1">IQ_IS!$R$204</definedName>
    <definedName name="MscoInputCell546" localSheetId="5" hidden="1">BIDU_IS!$S$292</definedName>
    <definedName name="MscoInputCell546" localSheetId="8" hidden="1">IQ_IS!$S$204</definedName>
    <definedName name="MscoInputCell547" localSheetId="5" hidden="1">BIDU_IS!$T$292</definedName>
    <definedName name="MscoInputCell547" localSheetId="8" hidden="1">IQ_IS!$T$204</definedName>
    <definedName name="MscoInputCell548" localSheetId="5" hidden="1">BIDU_IS!$U$292</definedName>
    <definedName name="MscoInputCell548" localSheetId="8" hidden="1">IQ_IS!$U$204</definedName>
    <definedName name="MscoInputCell549" localSheetId="5" hidden="1">BIDU_IS!$V$292</definedName>
    <definedName name="MscoInputCell549" localSheetId="8" hidden="1">IQ_IS!$V$204</definedName>
    <definedName name="MscoInputCell55" localSheetId="6" hidden="1">'BIDU_BS + CFS'!$AE$8</definedName>
    <definedName name="MscoInputCell55" localSheetId="5" hidden="1">BIDU_IS!$Y$81</definedName>
    <definedName name="MscoInputCell55" localSheetId="8" hidden="1">IQ_IS!$Y$74</definedName>
    <definedName name="MscoInputCell550" localSheetId="5" hidden="1">BIDU_IS!$W$292</definedName>
    <definedName name="MscoInputCell550" localSheetId="8" hidden="1">IQ_IS!$W$204</definedName>
    <definedName name="MscoInputCell551" localSheetId="5" hidden="1">BIDU_IS!$X$292</definedName>
    <definedName name="MscoInputCell551" localSheetId="8" hidden="1">IQ_IS!$X$204</definedName>
    <definedName name="MscoInputCell552" localSheetId="5" hidden="1">BIDU_IS!$Y$292</definedName>
    <definedName name="MscoInputCell552" localSheetId="8" hidden="1">IQ_IS!$Y$204</definedName>
    <definedName name="MscoInputCell553" localSheetId="5" hidden="1">BIDU_IS!$Z$292</definedName>
    <definedName name="MscoInputCell553" localSheetId="8" hidden="1">IQ_IS!$Z$204</definedName>
    <definedName name="MscoInputCell554" localSheetId="5" hidden="1">BIDU_IS!$AA$292</definedName>
    <definedName name="MscoInputCell554" localSheetId="8" hidden="1">IQ_IS!$AA$204</definedName>
    <definedName name="MscoInputCell555" localSheetId="5" hidden="1">BIDU_IS!$AB$292</definedName>
    <definedName name="MscoInputCell555" localSheetId="8" hidden="1">IQ_IS!$AB$204</definedName>
    <definedName name="MscoInputCell556" localSheetId="5" hidden="1">BIDU_IS!$AC$292</definedName>
    <definedName name="MscoInputCell556" localSheetId="8" hidden="1">IQ_IS!$AC$204</definedName>
    <definedName name="MscoInputCell557" localSheetId="5" hidden="1">BIDU_IS!$AD$292</definedName>
    <definedName name="MscoInputCell557" localSheetId="8" hidden="1">IQ_IS!$AD$204</definedName>
    <definedName name="MscoInputCell558" localSheetId="5" hidden="1">BIDU_IS!$AE$292</definedName>
    <definedName name="MscoInputCell558" localSheetId="8" hidden="1">IQ_IS!$AE$204</definedName>
    <definedName name="MscoInputCell559" localSheetId="5" hidden="1">BIDU_IS!$AF$292</definedName>
    <definedName name="MscoInputCell559" localSheetId="8" hidden="1">IQ_IS!$AF$204</definedName>
    <definedName name="MscoInputCell56" localSheetId="6" hidden="1">'BIDU_BS + CFS'!$AF$8</definedName>
    <definedName name="MscoInputCell56" localSheetId="5" hidden="1">BIDU_IS!$Z$81</definedName>
    <definedName name="MscoInputCell56" localSheetId="8" hidden="1">IQ_IS!$Z$74</definedName>
    <definedName name="MscoInputCell560" localSheetId="5" hidden="1">BIDU_IS!$AG$292</definedName>
    <definedName name="MscoInputCell560" localSheetId="8" hidden="1">IQ_IS!$AG$204</definedName>
    <definedName name="MscoInputCell561" localSheetId="5" hidden="1">BIDU_IS!$AH$292</definedName>
    <definedName name="MscoInputCell561" localSheetId="8" hidden="1">IQ_IS!$AH$204</definedName>
    <definedName name="MscoInputCell562" localSheetId="5" hidden="1">BIDU_IS!$AI$292</definedName>
    <definedName name="MscoInputCell562" localSheetId="8" hidden="1">IQ_IS!$AI$204</definedName>
    <definedName name="MscoInputCell563" localSheetId="5" hidden="1">BIDU_IS!$AJ$292</definedName>
    <definedName name="MscoInputCell563" localSheetId="8" hidden="1">IQ_IS!$AJ$204</definedName>
    <definedName name="MscoInputCell57" localSheetId="6" hidden="1">'BIDU_BS + CFS'!$AG$8</definedName>
    <definedName name="MscoInputCell57" localSheetId="5" hidden="1">BIDU_IS!$AA$81</definedName>
    <definedName name="MscoInputCell57" localSheetId="8" hidden="1">IQ_IS!$AA$74</definedName>
    <definedName name="MscoInputCell57" localSheetId="10" hidden="1">Operating_Model!$AG$174</definedName>
    <definedName name="MscoInputCell58" localSheetId="6" hidden="1">'BIDU_BS + CFS'!$AH$8</definedName>
    <definedName name="MscoInputCell58" localSheetId="5" hidden="1">BIDU_IS!$AB$81</definedName>
    <definedName name="MscoInputCell58" localSheetId="8" hidden="1">IQ_IS!$AB$74</definedName>
    <definedName name="MscoInputCell58" localSheetId="10" hidden="1">Operating_Model!$AH$174</definedName>
    <definedName name="MscoInputCell59" localSheetId="6" hidden="1">'BIDU_BS + CFS'!$AI$8</definedName>
    <definedName name="MscoInputCell59" localSheetId="5" hidden="1">BIDU_IS!$AC$81</definedName>
    <definedName name="MscoInputCell59" localSheetId="8" hidden="1">IQ_IS!$AC$74</definedName>
    <definedName name="MscoInputCell59" localSheetId="10" hidden="1">Operating_Model!$AI$174</definedName>
    <definedName name="MscoInputCell6" localSheetId="5" hidden="1">BIDU_IS!$M$255</definedName>
    <definedName name="MscoInputCell6" localSheetId="8" hidden="1">IQ_IS!$M$162</definedName>
    <definedName name="MscoInputCell60" localSheetId="6" hidden="1">'BIDU_BS + CFS'!$AJ$8</definedName>
    <definedName name="MscoInputCell60" localSheetId="5" hidden="1">BIDU_IS!$AD$81</definedName>
    <definedName name="MscoInputCell60" localSheetId="8" hidden="1">IQ_IS!$AD$74</definedName>
    <definedName name="MscoInputCell60" localSheetId="10" hidden="1">Operating_Model!$AJ$174</definedName>
    <definedName name="MscoInputCell61" localSheetId="6" hidden="1">'BIDU_BS + CFS'!$T$9</definedName>
    <definedName name="MscoInputCell61" localSheetId="5" hidden="1">BIDU_IS!$AE$81</definedName>
    <definedName name="MscoInputCell61" localSheetId="9" hidden="1">'IQ_BS + CFS'!$T$8</definedName>
    <definedName name="MscoInputCell61" localSheetId="8" hidden="1">IQ_IS!$AE$74</definedName>
    <definedName name="MscoInputCell61" localSheetId="10" hidden="1">Operating_Model!$AK$174</definedName>
    <definedName name="MscoInputCell62" localSheetId="6" hidden="1">'BIDU_BS + CFS'!$U$9</definedName>
    <definedName name="MscoInputCell62" localSheetId="5" hidden="1">BIDU_IS!$AF$81</definedName>
    <definedName name="MscoInputCell62" localSheetId="9" hidden="1">'IQ_BS + CFS'!$U$8</definedName>
    <definedName name="MscoInputCell62" localSheetId="8" hidden="1">IQ_IS!$AF$74</definedName>
    <definedName name="MscoInputCell62" localSheetId="10" hidden="1">Operating_Model!$AL$174</definedName>
    <definedName name="MscoInputCell63" localSheetId="6" hidden="1">'BIDU_BS + CFS'!$V$9</definedName>
    <definedName name="MscoInputCell63" localSheetId="5" hidden="1">BIDU_IS!$AG$81</definedName>
    <definedName name="MscoInputCell63" localSheetId="9" hidden="1">'IQ_BS + CFS'!$V$8</definedName>
    <definedName name="MscoInputCell63" localSheetId="8" hidden="1">IQ_IS!$AG$74</definedName>
    <definedName name="MscoInputCell63" localSheetId="10" hidden="1">Operating_Model!$AM$174</definedName>
    <definedName name="MscoInputCell64" localSheetId="6" hidden="1">'BIDU_BS + CFS'!$W$9</definedName>
    <definedName name="MscoInputCell64" localSheetId="5" hidden="1">BIDU_IS!$AH$81</definedName>
    <definedName name="MscoInputCell64" localSheetId="9" hidden="1">'IQ_BS + CFS'!$W$8</definedName>
    <definedName name="MscoInputCell64" localSheetId="8" hidden="1">IQ_IS!$AH$74</definedName>
    <definedName name="MscoInputCell64" localSheetId="10" hidden="1">Operating_Model!$AN$174</definedName>
    <definedName name="MscoInputCell65" localSheetId="6" hidden="1">'BIDU_BS + CFS'!$X$9</definedName>
    <definedName name="MscoInputCell65" localSheetId="5" hidden="1">BIDU_IS!$AI$81</definedName>
    <definedName name="MscoInputCell65" localSheetId="9" hidden="1">'IQ_BS + CFS'!$X$8</definedName>
    <definedName name="MscoInputCell65" localSheetId="8" hidden="1">IQ_IS!$AI$74</definedName>
    <definedName name="MscoInputCell66" localSheetId="6" hidden="1">'BIDU_BS + CFS'!$Y$9</definedName>
    <definedName name="MscoInputCell66" localSheetId="5" hidden="1">BIDU_IS!$AJ$81</definedName>
    <definedName name="MscoInputCell66" localSheetId="9" hidden="1">'IQ_BS + CFS'!$Y$8</definedName>
    <definedName name="MscoInputCell66" localSheetId="8" hidden="1">IQ_IS!$AJ$74</definedName>
    <definedName name="MscoInputCell67" localSheetId="6" hidden="1">'BIDU_BS + CFS'!$Z$9</definedName>
    <definedName name="MscoInputCell67" localSheetId="5" hidden="1">BIDU_IS!$F$98</definedName>
    <definedName name="MscoInputCell67" localSheetId="9" hidden="1">'IQ_BS + CFS'!$Z$8</definedName>
    <definedName name="MscoInputCell67" localSheetId="8" hidden="1">IQ_IS!$F$91</definedName>
    <definedName name="MscoInputCell68" localSheetId="6" hidden="1">'BIDU_BS + CFS'!$AA$9</definedName>
    <definedName name="MscoInputCell68" localSheetId="5" hidden="1">BIDU_IS!$G$98</definedName>
    <definedName name="MscoInputCell68" localSheetId="9" hidden="1">'IQ_BS + CFS'!$AA$8</definedName>
    <definedName name="MscoInputCell68" localSheetId="8" hidden="1">IQ_IS!$G$91</definedName>
    <definedName name="MscoInputCell69" localSheetId="6" hidden="1">'BIDU_BS + CFS'!$AB$9</definedName>
    <definedName name="MscoInputCell69" localSheetId="5" hidden="1">BIDU_IS!$H$98</definedName>
    <definedName name="MscoInputCell69" localSheetId="9" hidden="1">'IQ_BS + CFS'!$AB$8</definedName>
    <definedName name="MscoInputCell69" localSheetId="8" hidden="1">IQ_IS!$H$91</definedName>
    <definedName name="MscoInputCell7" localSheetId="6" hidden="1">'BIDU_BS + CFS'!$C$143</definedName>
    <definedName name="MscoInputCell7" localSheetId="5" hidden="1">BIDU_IS!$G$85</definedName>
    <definedName name="MscoInputCell7" localSheetId="8" hidden="1">IQ_IS!$G$78</definedName>
    <definedName name="MscoInputCell7" localSheetId="10" hidden="1">Operating_Model!$AK$165</definedName>
    <definedName name="MscoInputCell70" localSheetId="6" hidden="1">'BIDU_BS + CFS'!$AC$9</definedName>
    <definedName name="MscoInputCell70" localSheetId="5" hidden="1">BIDU_IS!$I$98</definedName>
    <definedName name="MscoInputCell70" localSheetId="9" hidden="1">'IQ_BS + CFS'!$AC$8</definedName>
    <definedName name="MscoInputCell70" localSheetId="8" hidden="1">IQ_IS!$I$91</definedName>
    <definedName name="MscoInputCell71" localSheetId="6" hidden="1">'BIDU_BS + CFS'!$AD$9</definedName>
    <definedName name="MscoInputCell71" localSheetId="5" hidden="1">BIDU_IS!$F$101</definedName>
    <definedName name="MscoInputCell71" localSheetId="9" hidden="1">'IQ_BS + CFS'!$AD$8</definedName>
    <definedName name="MscoInputCell72" localSheetId="6" hidden="1">'BIDU_BS + CFS'!$AE$9</definedName>
    <definedName name="MscoInputCell72" localSheetId="5" hidden="1">BIDU_IS!$G$101</definedName>
    <definedName name="MscoInputCell72" localSheetId="9" hidden="1">'IQ_BS + CFS'!$AE$8</definedName>
    <definedName name="MscoInputCell73" localSheetId="6" hidden="1">'BIDU_BS + CFS'!$AF$9</definedName>
    <definedName name="MscoInputCell73" localSheetId="5" hidden="1">BIDU_IS!$H$101</definedName>
    <definedName name="MscoInputCell73" localSheetId="9" hidden="1">'IQ_BS + CFS'!$AF$8</definedName>
    <definedName name="MscoInputCell74" localSheetId="6" hidden="1">'BIDU_BS + CFS'!$AG$9</definedName>
    <definedName name="MscoInputCell74" localSheetId="5" hidden="1">BIDU_IS!$I$101</definedName>
    <definedName name="MscoInputCell74" localSheetId="9" hidden="1">'IQ_BS + CFS'!$AG$8</definedName>
    <definedName name="MscoInputCell75" localSheetId="6" hidden="1">'BIDU_BS + CFS'!$AH$9</definedName>
    <definedName name="MscoInputCell75" localSheetId="5" hidden="1">BIDU_IS!$F$102</definedName>
    <definedName name="MscoInputCell75" localSheetId="9" hidden="1">'IQ_BS + CFS'!$AH$8</definedName>
    <definedName name="MscoInputCell75" localSheetId="8" hidden="1">IQ_IS!$F$94</definedName>
    <definedName name="MscoInputCell76" localSheetId="6" hidden="1">'BIDU_BS + CFS'!$AI$9</definedName>
    <definedName name="MscoInputCell76" localSheetId="5" hidden="1">BIDU_IS!$G$102</definedName>
    <definedName name="MscoInputCell76" localSheetId="9" hidden="1">'IQ_BS + CFS'!$AI$8</definedName>
    <definedName name="MscoInputCell76" localSheetId="8" hidden="1">IQ_IS!$G$94</definedName>
    <definedName name="MscoInputCell77" localSheetId="6" hidden="1">'BIDU_BS + CFS'!$AJ$9</definedName>
    <definedName name="MscoInputCell77" localSheetId="5" hidden="1">BIDU_IS!$H$102</definedName>
    <definedName name="MscoInputCell77" localSheetId="9" hidden="1">'IQ_BS + CFS'!$AJ$8</definedName>
    <definedName name="MscoInputCell77" localSheetId="8" hidden="1">IQ_IS!$H$94</definedName>
    <definedName name="MscoInputCell78" localSheetId="6" hidden="1">'BIDU_BS + CFS'!$T$10</definedName>
    <definedName name="MscoInputCell78" localSheetId="5" hidden="1">BIDU_IS!$I$102</definedName>
    <definedName name="MscoInputCell78" localSheetId="9" hidden="1">'IQ_BS + CFS'!$T$10</definedName>
    <definedName name="MscoInputCell78" localSheetId="8" hidden="1">IQ_IS!$I$94</definedName>
    <definedName name="MscoInputCell79" localSheetId="6" hidden="1">'BIDU_BS + CFS'!$U$10</definedName>
    <definedName name="MscoInputCell79" localSheetId="5" hidden="1">BIDU_IS!$F$103</definedName>
    <definedName name="MscoInputCell79" localSheetId="9" hidden="1">'IQ_BS + CFS'!$U$10</definedName>
    <definedName name="MscoInputCell79" localSheetId="10" hidden="1">'BIDU_BS + CFS'!$AK$212</definedName>
    <definedName name="MscoInputCell8" localSheetId="5" hidden="1">BIDU_IS!$H$85</definedName>
    <definedName name="MscoInputCell8" localSheetId="8" hidden="1">IQ_IS!$H$78</definedName>
    <definedName name="MscoInputCell8" localSheetId="10" hidden="1">Operating_Model!$AK$179</definedName>
    <definedName name="MscoInputCell80" localSheetId="6" hidden="1">'BIDU_BS + CFS'!$V$10</definedName>
    <definedName name="MscoInputCell80" localSheetId="5" hidden="1">BIDU_IS!$G$103</definedName>
    <definedName name="MscoInputCell80" localSheetId="9" hidden="1">'IQ_BS + CFS'!$V$10</definedName>
    <definedName name="MscoInputCell80" localSheetId="10" hidden="1">'BIDU_BS + CFS'!$AL$212</definedName>
    <definedName name="MscoInputCell81" localSheetId="6" hidden="1">'BIDU_BS + CFS'!$W$10</definedName>
    <definedName name="MscoInputCell81" localSheetId="5" hidden="1">BIDU_IS!$H$103</definedName>
    <definedName name="MscoInputCell81" localSheetId="9" hidden="1">'IQ_BS + CFS'!$W$10</definedName>
    <definedName name="MscoInputCell81" localSheetId="10" hidden="1">'BIDU_BS + CFS'!$AM$212</definedName>
    <definedName name="MscoInputCell82" localSheetId="6" hidden="1">'BIDU_BS + CFS'!$X$10</definedName>
    <definedName name="MscoInputCell82" localSheetId="5" hidden="1">BIDU_IS!$I$103</definedName>
    <definedName name="MscoInputCell82" localSheetId="9" hidden="1">'IQ_BS + CFS'!$X$10</definedName>
    <definedName name="MscoInputCell82" localSheetId="10" hidden="1">'BIDU_BS + CFS'!$AN$212</definedName>
    <definedName name="MscoInputCell83" localSheetId="6" hidden="1">'BIDU_BS + CFS'!$Y$10</definedName>
    <definedName name="MscoInputCell83" localSheetId="5" hidden="1">BIDU_IS!$F$104</definedName>
    <definedName name="MscoInputCell83" localSheetId="9" hidden="1">'IQ_BS + CFS'!$Y$10</definedName>
    <definedName name="MscoInputCell83" localSheetId="8" hidden="1">IQ_IS!$F$96</definedName>
    <definedName name="MscoInputCell83" localSheetId="10" hidden="1">'BIDU_BS + CFS'!$AO$212</definedName>
    <definedName name="MscoInputCell84" localSheetId="6" hidden="1">'BIDU_BS + CFS'!$Z$10</definedName>
    <definedName name="MscoInputCell84" localSheetId="5" hidden="1">BIDU_IS!$G$104</definedName>
    <definedName name="MscoInputCell84" localSheetId="9" hidden="1">'IQ_BS + CFS'!$Z$10</definedName>
    <definedName name="MscoInputCell84" localSheetId="8" hidden="1">IQ_IS!$G$96</definedName>
    <definedName name="MscoInputCell84" localSheetId="10" hidden="1">'BIDU_BS + CFS'!$AP$212</definedName>
    <definedName name="MscoInputCell85" localSheetId="6" hidden="1">'BIDU_BS + CFS'!$AA$10</definedName>
    <definedName name="MscoInputCell85" localSheetId="5" hidden="1">BIDU_IS!$H$104</definedName>
    <definedName name="MscoInputCell85" localSheetId="9" hidden="1">'IQ_BS + CFS'!$AA$10</definedName>
    <definedName name="MscoInputCell85" localSheetId="8" hidden="1">IQ_IS!$H$96</definedName>
    <definedName name="MscoInputCell85" localSheetId="10" hidden="1">'BIDU_BS + CFS'!$AQ$212</definedName>
    <definedName name="MscoInputCell86" localSheetId="6" hidden="1">'BIDU_BS + CFS'!$AB$10</definedName>
    <definedName name="MscoInputCell86" localSheetId="5" hidden="1">BIDU_IS!$I$104</definedName>
    <definedName name="MscoInputCell86" localSheetId="9" hidden="1">'IQ_BS + CFS'!$AB$10</definedName>
    <definedName name="MscoInputCell86" localSheetId="8" hidden="1">IQ_IS!$I$96</definedName>
    <definedName name="MscoInputCell86" localSheetId="10" hidden="1">'BIDU_BS + CFS'!$AR$212</definedName>
    <definedName name="MscoInputCell87" localSheetId="6" hidden="1">'BIDU_BS + CFS'!$AC$10</definedName>
    <definedName name="MscoInputCell87" localSheetId="5" hidden="1">BIDU_IS!$F$105</definedName>
    <definedName name="MscoInputCell87" localSheetId="9" hidden="1">'IQ_BS + CFS'!$AC$10</definedName>
    <definedName name="MscoInputCell87" localSheetId="8" hidden="1">IQ_IS!$F$95</definedName>
    <definedName name="MscoInputCell87" localSheetId="10" hidden="1">'BIDU_BS + CFS'!$AS$212</definedName>
    <definedName name="MscoInputCell88" localSheetId="6" hidden="1">'BIDU_BS + CFS'!$AD$10</definedName>
    <definedName name="MscoInputCell88" localSheetId="5" hidden="1">BIDU_IS!$G$105</definedName>
    <definedName name="MscoInputCell88" localSheetId="9" hidden="1">'IQ_BS + CFS'!$AD$10</definedName>
    <definedName name="MscoInputCell88" localSheetId="8" hidden="1">IQ_IS!$G$95</definedName>
    <definedName name="MscoInputCell88" localSheetId="10" hidden="1">'BIDU_BS + CFS'!$AT$212</definedName>
    <definedName name="MscoInputCell89" localSheetId="6" hidden="1">'BIDU_BS + CFS'!$AE$10</definedName>
    <definedName name="MscoInputCell89" localSheetId="5" hidden="1">BIDU_IS!$H$105</definedName>
    <definedName name="MscoInputCell89" localSheetId="9" hidden="1">'IQ_BS + CFS'!$AE$10</definedName>
    <definedName name="MscoInputCell89" localSheetId="8" hidden="1">IQ_IS!$H$95</definedName>
    <definedName name="MscoInputCell89" localSheetId="10" hidden="1">'BIDU_BS + CFS'!$AU$212</definedName>
    <definedName name="MscoInputCell9" localSheetId="6" hidden="1">'BIDU_BS + CFS'!$K$143</definedName>
    <definedName name="MscoInputCell9" localSheetId="5" hidden="1">BIDU_IS!$I$85</definedName>
    <definedName name="MscoInputCell9" localSheetId="8" hidden="1">IQ_IS!$I$78</definedName>
    <definedName name="MscoInputCell9" localSheetId="10" hidden="1">Operating_Model!$AL$179</definedName>
    <definedName name="MscoInputCell90" localSheetId="6" hidden="1">'BIDU_BS + CFS'!$AF$10</definedName>
    <definedName name="MscoInputCell90" localSheetId="5" hidden="1">BIDU_IS!$I$105</definedName>
    <definedName name="MscoInputCell90" localSheetId="9" hidden="1">'IQ_BS + CFS'!$AF$10</definedName>
    <definedName name="MscoInputCell90" localSheetId="8" hidden="1">IQ_IS!$I$95</definedName>
    <definedName name="MscoInputCell90" localSheetId="10" hidden="1">'BIDU_BS + CFS'!$AV$212</definedName>
    <definedName name="MscoInputCell91" localSheetId="6" hidden="1">'BIDU_BS + CFS'!$AG$10</definedName>
    <definedName name="MscoInputCell91" localSheetId="5" hidden="1">BIDU_IS!$F$126</definedName>
    <definedName name="MscoInputCell91" localSheetId="9" hidden="1">'IQ_BS + CFS'!$AG$10</definedName>
    <definedName name="MscoInputCell91" localSheetId="8" hidden="1">IQ_IS!$F$115</definedName>
    <definedName name="MscoInputCell91" localSheetId="10" hidden="1">'BIDU_BS + CFS'!$J$220</definedName>
    <definedName name="MscoInputCell92" localSheetId="6" hidden="1">'BIDU_BS + CFS'!$AH$10</definedName>
    <definedName name="MscoInputCell92" localSheetId="5" hidden="1">BIDU_IS!$G$126</definedName>
    <definedName name="MscoInputCell92" localSheetId="9" hidden="1">'IQ_BS + CFS'!$AH$10</definedName>
    <definedName name="MscoInputCell92" localSheetId="8" hidden="1">IQ_IS!$G$115</definedName>
    <definedName name="MscoInputCell92" localSheetId="10" hidden="1">'BIDU_BS + CFS'!$K$218</definedName>
    <definedName name="MscoInputCell93" localSheetId="6" hidden="1">'BIDU_BS + CFS'!$AI$10</definedName>
    <definedName name="MscoInputCell93" localSheetId="5" hidden="1">BIDU_IS!$H$126</definedName>
    <definedName name="MscoInputCell93" localSheetId="9" hidden="1">'IQ_BS + CFS'!$AI$10</definedName>
    <definedName name="MscoInputCell93" localSheetId="8" hidden="1">IQ_IS!$H$115</definedName>
    <definedName name="MscoInputCell93" localSheetId="10" hidden="1">'BIDU_BS + CFS'!$L$218</definedName>
    <definedName name="MscoInputCell94" localSheetId="6" hidden="1">'BIDU_BS + CFS'!$AJ$10</definedName>
    <definedName name="MscoInputCell94" localSheetId="5" hidden="1">BIDU_IS!$I$126</definedName>
    <definedName name="MscoInputCell94" localSheetId="9" hidden="1">'IQ_BS + CFS'!$AJ$10</definedName>
    <definedName name="MscoInputCell94" localSheetId="8" hidden="1">IQ_IS!$I$115</definedName>
    <definedName name="MscoInputCell94" localSheetId="10" hidden="1">'BIDU_BS + CFS'!$M$218</definedName>
    <definedName name="MscoInputCell95" localSheetId="6" hidden="1">'BIDU_BS + CFS'!$T$12</definedName>
    <definedName name="MscoInputCell95" localSheetId="5" hidden="1">BIDU_IS!$F$127</definedName>
    <definedName name="MscoInputCell95" localSheetId="9" hidden="1">'IQ_BS + CFS'!$T$12</definedName>
    <definedName name="MscoInputCell95" localSheetId="8" hidden="1">IQ_IS!$F$116</definedName>
    <definedName name="MscoInputCell95" localSheetId="10" hidden="1">'BIDU_BS + CFS'!$K$220</definedName>
    <definedName name="MscoInputCell96" localSheetId="6" hidden="1">'BIDU_BS + CFS'!$U$12</definedName>
    <definedName name="MscoInputCell96" localSheetId="5" hidden="1">BIDU_IS!$G$127</definedName>
    <definedName name="MscoInputCell96" localSheetId="9" hidden="1">'IQ_BS + CFS'!$U$12</definedName>
    <definedName name="MscoInputCell96" localSheetId="8" hidden="1">IQ_IS!$G$116</definedName>
    <definedName name="MscoInputCell96" localSheetId="10" hidden="1">'BIDU_BS + CFS'!$L$220</definedName>
    <definedName name="MscoInputCell97" localSheetId="6" hidden="1">'BIDU_BS + CFS'!$V$12</definedName>
    <definedName name="MscoInputCell97" localSheetId="5" hidden="1">BIDU_IS!$H$127</definedName>
    <definedName name="MscoInputCell97" localSheetId="9" hidden="1">'IQ_BS + CFS'!$V$12</definedName>
    <definedName name="MscoInputCell97" localSheetId="8" hidden="1">IQ_IS!$H$116</definedName>
    <definedName name="MscoInputCell97" localSheetId="10" hidden="1">'BIDU_BS + CFS'!$M$220</definedName>
    <definedName name="MscoInputCell98" localSheetId="6" hidden="1">'BIDU_BS + CFS'!$W$12</definedName>
    <definedName name="MscoInputCell98" localSheetId="5" hidden="1">BIDU_IS!$I$127</definedName>
    <definedName name="MscoInputCell98" localSheetId="9" hidden="1">'IQ_BS + CFS'!$W$12</definedName>
    <definedName name="MscoInputCell98" localSheetId="8" hidden="1">IQ_IS!$I$116</definedName>
    <definedName name="MscoInputCell98" localSheetId="10" hidden="1">Operating_Model!$H$76</definedName>
    <definedName name="MscoInputCell99" localSheetId="6" hidden="1">'BIDU_BS + CFS'!$X$12</definedName>
    <definedName name="MscoInputCell99" localSheetId="5" hidden="1">BIDU_IS!$F$128</definedName>
    <definedName name="MscoInputCell99" localSheetId="9" hidden="1">'IQ_BS + CFS'!$X$12</definedName>
    <definedName name="MscoInputCell99" localSheetId="8" hidden="1">IQ_IS!$F$117</definedName>
    <definedName name="MscoInputCell99" localSheetId="10" hidden="1">Operating_Model!$I$76</definedName>
    <definedName name="Multiplier" localSheetId="12">IndexInformation!$B$35</definedName>
    <definedName name="NextYearEPS" localSheetId="12">IndexInformation!$B$13</definedName>
    <definedName name="NextYearTotalRevenue" localSheetId="12">IndexInformation!$B$12</definedName>
    <definedName name="NextYearTotalRevenueActual" localSheetId="12">IndexInformation!$B$33</definedName>
    <definedName name="ObjectType">IndexInformation!$B$37</definedName>
    <definedName name="PANA" localSheetId="13">ModPubIndex!$A$11</definedName>
    <definedName name="PathName" localSheetId="12">IndexInformation!$B$25</definedName>
    <definedName name="PRODUCT" localSheetId="13">ModPubIndex!$A$6</definedName>
    <definedName name="ProjectName" localSheetId="6">{"BU Name or Client/Project Name"}</definedName>
    <definedName name="ProjectName" localSheetId="5">{"Client Name or Project Name"}</definedName>
    <definedName name="ProjectName" localSheetId="2">{"BU Name or Client/Project Name"}</definedName>
    <definedName name="ProjectName" localSheetId="9">{"BU Name or Client/Project Name"}</definedName>
    <definedName name="ProjectName" localSheetId="8">{"Client Name or Project Name"}</definedName>
    <definedName name="ProjectName" localSheetId="10">{"BU Name or Client/Project Name"}</definedName>
    <definedName name="ProjectName" localSheetId="11">{"BU Name or Client/Project Name"}</definedName>
    <definedName name="ProjectName" localSheetId="4">{"BU Name or Client/Project Name"}</definedName>
    <definedName name="ProjectName">{"BU Name or Client/Project Name"}</definedName>
    <definedName name="PSYM" localSheetId="13">ModPubIndex!$A$4</definedName>
    <definedName name="PublishDate" localSheetId="12">IndexInformation!$B$2</definedName>
    <definedName name="Rating" localSheetId="1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12">IndexInformation!$B$4</definedName>
    <definedName name="RIC" localSheetId="12">IndexInformation!$B$21</definedName>
    <definedName name="SECSettlement" localSheetId="0">ImportantDisclosures!#REF!</definedName>
    <definedName name="SEDOL" localSheetId="12">IndexInformation!$B$22</definedName>
    <definedName name="SourceDefined" localSheetId="0">ImportantDisclosures!$A$19</definedName>
    <definedName name="SP">Control!$C$7</definedName>
    <definedName name="StockRating" localSheetId="0">ImportantDisclosures!$A$11</definedName>
    <definedName name="SubjectCode" localSheetId="12">IndexInformation!$B$6</definedName>
    <definedName name="SubmitterUserId">IndexInformation!$B$39</definedName>
    <definedName name="SUPPRESSED" localSheetId="1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12">IndexInformation!$B$19</definedName>
    <definedName name="TRNR_10987c5581ca42489aa0d9f139c6d3a6_0_0" hidden="1">Control!$C$6</definedName>
    <definedName name="UpdateReason" localSheetId="12">IndexInformation!$B$17</definedName>
    <definedName name="USRegDisclosures" localSheetId="0">ImportantDisclosures!#REF!</definedName>
  </definedNames>
  <calcPr calcId="145621" iterate="1" iterateDelta="1.0000000000000002E-3"/>
  <fileRecoveryPr autoRecover="0"/>
</workbook>
</file>

<file path=xl/calcChain.xml><?xml version="1.0" encoding="utf-8"?>
<calcChain xmlns="http://schemas.openxmlformats.org/spreadsheetml/2006/main">
  <c r="AH144" i="4" l="1"/>
  <c r="AG144" i="4"/>
  <c r="AF144" i="4"/>
  <c r="AE144" i="4"/>
  <c r="AD144" i="4"/>
  <c r="I144" i="4" s="1"/>
  <c r="AC144" i="4"/>
  <c r="C8" i="2"/>
  <c r="C6" i="2"/>
  <c r="G7" i="3"/>
  <c r="AR10" i="8" l="1"/>
  <c r="AS10" i="8"/>
  <c r="AT10" i="8"/>
  <c r="AU10" i="8"/>
  <c r="J106" i="4" l="1"/>
  <c r="K106" i="4"/>
  <c r="K107" i="4" s="1"/>
  <c r="J107" i="4"/>
  <c r="I107" i="4"/>
  <c r="I106" i="4"/>
  <c r="R178" i="4" l="1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P179" i="4"/>
  <c r="AQ179" i="4"/>
  <c r="AR179" i="4"/>
  <c r="AS179" i="4"/>
  <c r="AT179" i="4"/>
  <c r="AU179" i="4"/>
  <c r="AV179" i="4"/>
  <c r="AW179" i="4"/>
  <c r="AX179" i="4"/>
  <c r="AY179" i="4"/>
  <c r="AZ179" i="4"/>
  <c r="R181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AL181" i="4"/>
  <c r="AM181" i="4"/>
  <c r="AN181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R183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AL183" i="4"/>
  <c r="AM183" i="4"/>
  <c r="AN183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R185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AL185" i="4"/>
  <c r="AM185" i="4"/>
  <c r="AN185" i="4"/>
  <c r="R186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AL186" i="4"/>
  <c r="AM186" i="4"/>
  <c r="AN18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L197" i="4"/>
  <c r="AM197" i="4"/>
  <c r="AN197" i="4"/>
  <c r="AP198" i="4"/>
  <c r="AQ198" i="4"/>
  <c r="AR198" i="4"/>
  <c r="AS198" i="4"/>
  <c r="AT198" i="4"/>
  <c r="AU198" i="4"/>
  <c r="AV198" i="4"/>
  <c r="AW198" i="4"/>
  <c r="AX198" i="4"/>
  <c r="AY198" i="4"/>
  <c r="AZ198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R203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AL203" i="4"/>
  <c r="AM203" i="4"/>
  <c r="AN203" i="4"/>
  <c r="AO203" i="4"/>
  <c r="H178" i="4"/>
  <c r="I178" i="4"/>
  <c r="J178" i="4"/>
  <c r="K178" i="4"/>
  <c r="H181" i="4"/>
  <c r="I181" i="4"/>
  <c r="J181" i="4"/>
  <c r="K181" i="4"/>
  <c r="H182" i="4"/>
  <c r="I182" i="4"/>
  <c r="J182" i="4"/>
  <c r="K182" i="4"/>
  <c r="H183" i="4"/>
  <c r="I183" i="4"/>
  <c r="J183" i="4"/>
  <c r="K183" i="4"/>
  <c r="H184" i="4"/>
  <c r="I184" i="4"/>
  <c r="J184" i="4"/>
  <c r="K184" i="4"/>
  <c r="H185" i="4"/>
  <c r="I185" i="4"/>
  <c r="J185" i="4"/>
  <c r="K185" i="4"/>
  <c r="H196" i="4"/>
  <c r="I196" i="4"/>
  <c r="J196" i="4"/>
  <c r="K196" i="4"/>
  <c r="H197" i="4"/>
  <c r="I197" i="4"/>
  <c r="J197" i="4"/>
  <c r="K197" i="4"/>
  <c r="H198" i="4"/>
  <c r="I198" i="4"/>
  <c r="J198" i="4"/>
  <c r="K198" i="4"/>
  <c r="H199" i="4"/>
  <c r="I199" i="4"/>
  <c r="J199" i="4"/>
  <c r="K199" i="4"/>
  <c r="H201" i="4"/>
  <c r="I201" i="4"/>
  <c r="J201" i="4"/>
  <c r="K201" i="4"/>
  <c r="H203" i="4"/>
  <c r="I203" i="4"/>
  <c r="J203" i="4"/>
  <c r="K203" i="4"/>
  <c r="G203" i="4"/>
  <c r="G201" i="4"/>
  <c r="G197" i="4"/>
  <c r="G198" i="4"/>
  <c r="G199" i="4"/>
  <c r="G196" i="4"/>
  <c r="G181" i="4"/>
  <c r="G182" i="4"/>
  <c r="G183" i="4"/>
  <c r="G184" i="4"/>
  <c r="G185" i="4"/>
  <c r="G178" i="4"/>
  <c r="B173" i="4"/>
  <c r="B172" i="4"/>
  <c r="B170" i="4"/>
  <c r="B169" i="4"/>
  <c r="B166" i="4"/>
  <c r="B167" i="4"/>
  <c r="B168" i="4"/>
  <c r="B165" i="4"/>
  <c r="B163" i="4"/>
  <c r="B160" i="4"/>
  <c r="B161" i="4"/>
  <c r="B162" i="4"/>
  <c r="B159" i="4"/>
  <c r="B149" i="4"/>
  <c r="B150" i="4"/>
  <c r="B151" i="4"/>
  <c r="B152" i="4"/>
  <c r="B153" i="4"/>
  <c r="B154" i="4"/>
  <c r="B155" i="4"/>
  <c r="Q9" i="4" l="1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M9" i="4"/>
  <c r="AN9" i="4"/>
  <c r="B18" i="4"/>
  <c r="B27" i="4" s="1"/>
  <c r="B36" i="4" s="1"/>
  <c r="B17" i="4"/>
  <c r="B26" i="4" s="1"/>
  <c r="B35" i="4" s="1"/>
  <c r="H9" i="4"/>
  <c r="I9" i="4"/>
  <c r="G9" i="4"/>
  <c r="H27" i="4" l="1"/>
  <c r="I27" i="4"/>
  <c r="AN36" i="4"/>
  <c r="D28" i="3"/>
  <c r="D18" i="3"/>
  <c r="AO40" i="6" l="1"/>
  <c r="AO43" i="6"/>
  <c r="U273" i="5" l="1"/>
  <c r="AZ270" i="5"/>
  <c r="AY270" i="5"/>
  <c r="AX270" i="5"/>
  <c r="AW270" i="5"/>
  <c r="AV270" i="5"/>
  <c r="AU270" i="5"/>
  <c r="AT270" i="5"/>
  <c r="AS270" i="5"/>
  <c r="AR270" i="5"/>
  <c r="AQ270" i="5"/>
  <c r="AP270" i="5"/>
  <c r="AO270" i="5"/>
  <c r="AN270" i="5"/>
  <c r="AM270" i="5"/>
  <c r="AL270" i="5"/>
  <c r="AK270" i="5"/>
  <c r="AJ270" i="5"/>
  <c r="AI270" i="5"/>
  <c r="AH270" i="5"/>
  <c r="AG270" i="5"/>
  <c r="AF270" i="5"/>
  <c r="AE270" i="5"/>
  <c r="AD270" i="5"/>
  <c r="AC270" i="5"/>
  <c r="AB270" i="5"/>
  <c r="AA270" i="5"/>
  <c r="Z270" i="5"/>
  <c r="Y270" i="5"/>
  <c r="X270" i="5"/>
  <c r="W270" i="5"/>
  <c r="AZ268" i="5"/>
  <c r="AY268" i="5"/>
  <c r="AX268" i="5"/>
  <c r="AW268" i="5"/>
  <c r="AV268" i="5"/>
  <c r="AU268" i="5"/>
  <c r="AT268" i="5"/>
  <c r="AS268" i="5"/>
  <c r="AR268" i="5"/>
  <c r="AQ268" i="5"/>
  <c r="AP268" i="5"/>
  <c r="AO268" i="5"/>
  <c r="AN268" i="5"/>
  <c r="AM268" i="5"/>
  <c r="AL268" i="5"/>
  <c r="AK268" i="5"/>
  <c r="AJ268" i="5"/>
  <c r="AI268" i="5"/>
  <c r="AH268" i="5"/>
  <c r="AG268" i="5"/>
  <c r="AF268" i="5"/>
  <c r="AE268" i="5"/>
  <c r="AD268" i="5"/>
  <c r="AC268" i="5"/>
  <c r="AB268" i="5"/>
  <c r="AA268" i="5"/>
  <c r="Z268" i="5"/>
  <c r="Y268" i="5"/>
  <c r="X268" i="5"/>
  <c r="W268" i="5"/>
  <c r="V270" i="5"/>
  <c r="V268" i="5"/>
  <c r="V267" i="5"/>
  <c r="U272" i="5"/>
  <c r="N270" i="5"/>
  <c r="M270" i="5"/>
  <c r="L270" i="5"/>
  <c r="K270" i="5"/>
  <c r="J270" i="5"/>
  <c r="I270" i="5"/>
  <c r="H270" i="5"/>
  <c r="G270" i="5"/>
  <c r="J214" i="20" l="1"/>
  <c r="D16" i="3"/>
  <c r="D26" i="3"/>
  <c r="G108" i="5" l="1"/>
  <c r="G127" i="5" s="1"/>
  <c r="F110" i="5"/>
  <c r="F108" i="5" s="1"/>
  <c r="F127" i="5" s="1"/>
  <c r="H119" i="5"/>
  <c r="H108" i="5"/>
  <c r="I111" i="5"/>
  <c r="I108" i="5" s="1"/>
  <c r="I127" i="5" s="1"/>
  <c r="J108" i="5"/>
  <c r="J127" i="5" s="1"/>
  <c r="K108" i="5"/>
  <c r="K127" i="5" s="1"/>
  <c r="F131" i="5"/>
  <c r="G92" i="5"/>
  <c r="H92" i="5"/>
  <c r="I92" i="5"/>
  <c r="I105" i="5" s="1"/>
  <c r="J92" i="5"/>
  <c r="J105" i="5" s="1"/>
  <c r="K92" i="5"/>
  <c r="F92" i="5"/>
  <c r="F105" i="5" s="1"/>
  <c r="J87" i="5"/>
  <c r="I87" i="5"/>
  <c r="H87" i="5"/>
  <c r="G87" i="5"/>
  <c r="F87" i="5"/>
  <c r="G84" i="5"/>
  <c r="H84" i="5"/>
  <c r="I84" i="5"/>
  <c r="J84" i="5"/>
  <c r="F84" i="5"/>
  <c r="K83" i="5"/>
  <c r="K84" i="5" s="1"/>
  <c r="K87" i="5"/>
  <c r="K105" i="5" l="1"/>
  <c r="H105" i="5"/>
  <c r="H130" i="5" s="1"/>
  <c r="H127" i="5"/>
  <c r="F130" i="5"/>
  <c r="G105" i="5"/>
  <c r="G130" i="5"/>
  <c r="K130" i="5"/>
  <c r="I130" i="5"/>
  <c r="J130" i="5"/>
  <c r="AQ31" i="5"/>
  <c r="K324" i="6"/>
  <c r="J324" i="6"/>
  <c r="K321" i="6"/>
  <c r="J321" i="6"/>
  <c r="K318" i="6"/>
  <c r="J318" i="6"/>
  <c r="K310" i="6"/>
  <c r="K296" i="6"/>
  <c r="K293" i="6"/>
  <c r="K302" i="6"/>
  <c r="K299" i="6"/>
  <c r="K290" i="6"/>
  <c r="AN277" i="6"/>
  <c r="AT131" i="6"/>
  <c r="AX131" i="6" s="1"/>
  <c r="AU131" i="6"/>
  <c r="AY131" i="6" s="1"/>
  <c r="AV131" i="6"/>
  <c r="AZ131" i="6" s="1"/>
  <c r="AS131" i="6"/>
  <c r="AW131" i="6" s="1"/>
  <c r="F111" i="6"/>
  <c r="E111" i="6"/>
  <c r="AQ197" i="6"/>
  <c r="AR197" i="6"/>
  <c r="AS197" i="6"/>
  <c r="AT197" i="6"/>
  <c r="AU197" i="6"/>
  <c r="AV197" i="6"/>
  <c r="AW197" i="6"/>
  <c r="AX197" i="6"/>
  <c r="AY197" i="6"/>
  <c r="AZ197" i="6"/>
  <c r="AT165" i="6"/>
  <c r="AU165" i="6"/>
  <c r="AV165" i="6"/>
  <c r="AQ282" i="21"/>
  <c r="AR282" i="21" s="1"/>
  <c r="AS282" i="21" s="1"/>
  <c r="AT282" i="21" s="1"/>
  <c r="AU282" i="21" s="1"/>
  <c r="AV282" i="21" s="1"/>
  <c r="AW282" i="21" s="1"/>
  <c r="AX282" i="21" s="1"/>
  <c r="AY282" i="21" s="1"/>
  <c r="AZ282" i="21" s="1"/>
  <c r="AP282" i="21"/>
  <c r="AN166" i="20"/>
  <c r="AN162" i="20" s="1"/>
  <c r="AN165" i="20"/>
  <c r="AN163" i="20" s="1"/>
  <c r="AO94" i="21"/>
  <c r="AT250" i="6"/>
  <c r="AX250" i="6" s="1"/>
  <c r="AU250" i="6"/>
  <c r="AY250" i="6" s="1"/>
  <c r="AV250" i="6"/>
  <c r="AZ250" i="6" s="1"/>
  <c r="AS250" i="6"/>
  <c r="AW250" i="6" s="1"/>
  <c r="AS261" i="6"/>
  <c r="AW261" i="6" s="1"/>
  <c r="AP261" i="6"/>
  <c r="AT261" i="6" s="1"/>
  <c r="AX261" i="6" s="1"/>
  <c r="AO105" i="21"/>
  <c r="G11" i="3" s="1"/>
  <c r="AN309" i="21"/>
  <c r="I243" i="21"/>
  <c r="I244" i="21" s="1"/>
  <c r="K243" i="21"/>
  <c r="J243" i="21"/>
  <c r="AO283" i="21"/>
  <c r="AO112" i="21"/>
  <c r="U111" i="21"/>
  <c r="V111" i="21"/>
  <c r="W111" i="21"/>
  <c r="X111" i="21"/>
  <c r="Y111" i="21"/>
  <c r="Z111" i="21"/>
  <c r="AA111" i="21"/>
  <c r="AB111" i="21"/>
  <c r="AC111" i="21"/>
  <c r="AD111" i="21"/>
  <c r="AE111" i="21"/>
  <c r="AF111" i="21"/>
  <c r="AG111" i="21"/>
  <c r="AH111" i="21"/>
  <c r="AI111" i="21"/>
  <c r="AJ111" i="21"/>
  <c r="AK111" i="21"/>
  <c r="AL111" i="21"/>
  <c r="AM111" i="21"/>
  <c r="AN111" i="21"/>
  <c r="U112" i="21"/>
  <c r="V112" i="21"/>
  <c r="W112" i="21"/>
  <c r="X112" i="21"/>
  <c r="Y112" i="21"/>
  <c r="Z112" i="21"/>
  <c r="AA112" i="21"/>
  <c r="AB112" i="21"/>
  <c r="AC112" i="21"/>
  <c r="AD112" i="21"/>
  <c r="AE112" i="21"/>
  <c r="AF112" i="21"/>
  <c r="AG112" i="21"/>
  <c r="AH112" i="21"/>
  <c r="AI112" i="21"/>
  <c r="AJ112" i="21"/>
  <c r="AK112" i="21"/>
  <c r="AL112" i="21"/>
  <c r="AM112" i="21"/>
  <c r="AN112" i="21"/>
  <c r="U113" i="21"/>
  <c r="V113" i="21"/>
  <c r="W113" i="21"/>
  <c r="X113" i="21"/>
  <c r="Y113" i="21"/>
  <c r="Z113" i="21"/>
  <c r="AA113" i="21"/>
  <c r="AB113" i="21"/>
  <c r="AC113" i="21"/>
  <c r="AD113" i="21"/>
  <c r="AE113" i="21"/>
  <c r="AF113" i="21"/>
  <c r="AG113" i="21"/>
  <c r="AH113" i="21"/>
  <c r="AI113" i="21"/>
  <c r="AJ113" i="21"/>
  <c r="AK113" i="21"/>
  <c r="AL113" i="21"/>
  <c r="AM113" i="21"/>
  <c r="AN113" i="21"/>
  <c r="T113" i="21"/>
  <c r="T112" i="21"/>
  <c r="T111" i="21"/>
  <c r="D57" i="3"/>
  <c r="D51" i="3"/>
  <c r="D53" i="3"/>
  <c r="E52" i="3"/>
  <c r="E53" i="3"/>
  <c r="E54" i="3"/>
  <c r="E51" i="3"/>
  <c r="E50" i="3"/>
  <c r="D42" i="3"/>
  <c r="D52" i="3" s="1"/>
  <c r="D40" i="3"/>
  <c r="D50" i="3" s="1"/>
  <c r="AN305" i="21"/>
  <c r="AN304" i="21"/>
  <c r="AJ305" i="21"/>
  <c r="AJ304" i="21"/>
  <c r="B305" i="21"/>
  <c r="B304" i="21"/>
  <c r="U37" i="21"/>
  <c r="V37" i="21"/>
  <c r="W37" i="21"/>
  <c r="X37" i="21"/>
  <c r="Y37" i="21"/>
  <c r="Z37" i="21"/>
  <c r="AA37" i="21"/>
  <c r="AB37" i="21"/>
  <c r="AC37" i="21"/>
  <c r="AD37" i="21"/>
  <c r="AE37" i="21"/>
  <c r="AF37" i="21"/>
  <c r="AG37" i="21"/>
  <c r="AH37" i="21"/>
  <c r="AI37" i="21"/>
  <c r="AK37" i="21"/>
  <c r="AL37" i="21"/>
  <c r="AM37" i="21"/>
  <c r="T37" i="21"/>
  <c r="K32" i="21"/>
  <c r="K304" i="21" s="1"/>
  <c r="J32" i="21"/>
  <c r="J304" i="21" s="1"/>
  <c r="AP316" i="21"/>
  <c r="AQ316" i="21"/>
  <c r="AR316" i="21"/>
  <c r="AS316" i="21"/>
  <c r="AT316" i="21"/>
  <c r="AU316" i="21"/>
  <c r="AV316" i="21"/>
  <c r="AW316" i="21"/>
  <c r="AX316" i="21"/>
  <c r="AY316" i="21"/>
  <c r="AZ316" i="21"/>
  <c r="AO316" i="21"/>
  <c r="AN302" i="21"/>
  <c r="AJ302" i="21"/>
  <c r="B310" i="21"/>
  <c r="B309" i="21"/>
  <c r="B306" i="21"/>
  <c r="B307" i="21"/>
  <c r="B308" i="21"/>
  <c r="AP29" i="21"/>
  <c r="AQ29" i="21"/>
  <c r="AR29" i="21"/>
  <c r="AS29" i="21"/>
  <c r="AT29" i="21"/>
  <c r="AU29" i="21"/>
  <c r="AV29" i="21"/>
  <c r="AW29" i="21"/>
  <c r="AX29" i="21"/>
  <c r="AY29" i="21"/>
  <c r="AZ29" i="21"/>
  <c r="AO29" i="21"/>
  <c r="AO9" i="21"/>
  <c r="AP9" i="21" s="1"/>
  <c r="AQ9" i="21" s="1"/>
  <c r="AR9" i="21" s="1"/>
  <c r="AS9" i="21" s="1"/>
  <c r="AT9" i="21" s="1"/>
  <c r="AU9" i="21" s="1"/>
  <c r="AV9" i="21" s="1"/>
  <c r="AW9" i="21" s="1"/>
  <c r="AX9" i="21" s="1"/>
  <c r="AY9" i="21" s="1"/>
  <c r="AZ9" i="21" s="1"/>
  <c r="AZ113" i="21" s="1"/>
  <c r="AM257" i="6"/>
  <c r="AN257" i="6"/>
  <c r="AJ257" i="6"/>
  <c r="AK257" i="6"/>
  <c r="AL257" i="6"/>
  <c r="AI257" i="6"/>
  <c r="J257" i="6"/>
  <c r="K257" i="6"/>
  <c r="I257" i="6"/>
  <c r="AT254" i="6"/>
  <c r="AX254" i="6" s="1"/>
  <c r="AU254" i="6"/>
  <c r="AY254" i="6" s="1"/>
  <c r="AV254" i="6"/>
  <c r="AZ254" i="6" s="1"/>
  <c r="AS254" i="6"/>
  <c r="AW254" i="6" s="1"/>
  <c r="AO119" i="5" l="1"/>
  <c r="G10" i="3"/>
  <c r="F10" i="3" s="1"/>
  <c r="AY113" i="21"/>
  <c r="AU113" i="21"/>
  <c r="AQ113" i="21"/>
  <c r="AX113" i="21"/>
  <c r="AT113" i="21"/>
  <c r="AP113" i="21"/>
  <c r="AW113" i="21"/>
  <c r="AS113" i="21"/>
  <c r="AO113" i="21"/>
  <c r="AV113" i="21"/>
  <c r="AR113" i="21"/>
  <c r="F112" i="6"/>
  <c r="AQ261" i="6"/>
  <c r="K259" i="6"/>
  <c r="J259" i="6"/>
  <c r="AW300" i="21"/>
  <c r="AS300" i="21"/>
  <c r="AO300" i="21"/>
  <c r="AZ300" i="21"/>
  <c r="AV300" i="21"/>
  <c r="AR300" i="21"/>
  <c r="AY300" i="21"/>
  <c r="AU300" i="21"/>
  <c r="AQ300" i="21"/>
  <c r="AX300" i="21"/>
  <c r="AT300" i="21"/>
  <c r="AP300" i="21"/>
  <c r="I357" i="4"/>
  <c r="J357" i="4"/>
  <c r="K357" i="4"/>
  <c r="J356" i="4"/>
  <c r="K356" i="4"/>
  <c r="I356" i="4"/>
  <c r="J355" i="4"/>
  <c r="K355" i="4"/>
  <c r="I355" i="4"/>
  <c r="J222" i="6"/>
  <c r="K222" i="6"/>
  <c r="I222" i="6"/>
  <c r="AY289" i="21"/>
  <c r="AP292" i="21"/>
  <c r="AQ292" i="21" s="1"/>
  <c r="AR292" i="21" s="1"/>
  <c r="AZ289" i="21"/>
  <c r="AX289" i="21"/>
  <c r="AW289" i="21"/>
  <c r="AO291" i="21"/>
  <c r="AP279" i="21"/>
  <c r="AQ279" i="21" s="1"/>
  <c r="AR279" i="21" s="1"/>
  <c r="B257" i="21"/>
  <c r="B258" i="21" s="1"/>
  <c r="AP256" i="21"/>
  <c r="AO256" i="21"/>
  <c r="AO255" i="21"/>
  <c r="AO258" i="21"/>
  <c r="AO257" i="21"/>
  <c r="AN207" i="21"/>
  <c r="AN206" i="21"/>
  <c r="AN204" i="21"/>
  <c r="AN203" i="21"/>
  <c r="AP1" i="2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AW252" i="21"/>
  <c r="AX252" i="21" s="1"/>
  <c r="AY252" i="21" s="1"/>
  <c r="AZ252" i="21" s="1"/>
  <c r="AS252" i="21"/>
  <c r="AT252" i="21" s="1"/>
  <c r="AU252" i="21" s="1"/>
  <c r="AV252" i="21" s="1"/>
  <c r="AO252" i="21"/>
  <c r="AP252" i="21" s="1"/>
  <c r="AQ252" i="21" s="1"/>
  <c r="AR252" i="21" s="1"/>
  <c r="AN224" i="21"/>
  <c r="AN223" i="21"/>
  <c r="AN221" i="21"/>
  <c r="AN220" i="21"/>
  <c r="AP281" i="21"/>
  <c r="AP283" i="21" s="1"/>
  <c r="J286" i="21"/>
  <c r="K286" i="21"/>
  <c r="I286" i="21"/>
  <c r="J247" i="21"/>
  <c r="J278" i="21" s="1"/>
  <c r="K247" i="21"/>
  <c r="I247" i="21"/>
  <c r="I278" i="21" s="1"/>
  <c r="J245" i="21"/>
  <c r="J246" i="21" s="1"/>
  <c r="J244" i="21" s="1"/>
  <c r="K245" i="21"/>
  <c r="I245" i="21"/>
  <c r="AV14" i="8"/>
  <c r="AW14" i="8"/>
  <c r="AX14" i="8"/>
  <c r="AY14" i="8"/>
  <c r="AT14" i="8"/>
  <c r="AU14" i="8"/>
  <c r="AS14" i="8"/>
  <c r="AR14" i="8"/>
  <c r="AF192" i="6"/>
  <c r="AJ192" i="6"/>
  <c r="AN192" i="6"/>
  <c r="AY165" i="6"/>
  <c r="AZ165" i="6"/>
  <c r="AX165" i="6"/>
  <c r="AS13" i="8"/>
  <c r="AT13" i="8"/>
  <c r="AU13" i="8"/>
  <c r="AV13" i="8"/>
  <c r="AW13" i="8"/>
  <c r="AX13" i="8"/>
  <c r="AY13" i="8"/>
  <c r="AR13" i="8"/>
  <c r="AS180" i="6"/>
  <c r="B233" i="6"/>
  <c r="B232" i="6"/>
  <c r="B231" i="6"/>
  <c r="B230" i="6"/>
  <c r="AJ151" i="6"/>
  <c r="AN151" i="6"/>
  <c r="AS221" i="6"/>
  <c r="AT221" i="6" s="1"/>
  <c r="AU221" i="6" s="1"/>
  <c r="AV221" i="6" s="1"/>
  <c r="AW221" i="6" s="1"/>
  <c r="AX221" i="6" s="1"/>
  <c r="AY221" i="6" s="1"/>
  <c r="AZ221" i="6" s="1"/>
  <c r="AW173" i="21"/>
  <c r="AX173" i="21" s="1"/>
  <c r="AY173" i="21" s="1"/>
  <c r="AZ173" i="21" s="1"/>
  <c r="AS173" i="21"/>
  <c r="AT173" i="21" s="1"/>
  <c r="AU173" i="21" s="1"/>
  <c r="AV173" i="21" s="1"/>
  <c r="AO173" i="21"/>
  <c r="AP173" i="21" s="1"/>
  <c r="AQ173" i="21" s="1"/>
  <c r="AR173" i="21" s="1"/>
  <c r="AC170" i="21"/>
  <c r="AD170" i="21" s="1"/>
  <c r="AE170" i="21" s="1"/>
  <c r="AF170" i="21" s="1"/>
  <c r="AG170" i="21"/>
  <c r="AH170" i="21" s="1"/>
  <c r="AI170" i="21" s="1"/>
  <c r="AJ170" i="21" s="1"/>
  <c r="I160" i="21"/>
  <c r="AC160" i="21" s="1"/>
  <c r="AD160" i="21" s="1"/>
  <c r="AE160" i="21" s="1"/>
  <c r="AF160" i="21" s="1"/>
  <c r="I169" i="21"/>
  <c r="AC169" i="21" s="1"/>
  <c r="I159" i="21"/>
  <c r="AC159" i="21" s="1"/>
  <c r="I168" i="21"/>
  <c r="AC168" i="21" s="1"/>
  <c r="AD168" i="21" s="1"/>
  <c r="I158" i="21"/>
  <c r="AC158" i="21" s="1"/>
  <c r="I180" i="21"/>
  <c r="I181" i="20" s="1"/>
  <c r="I179" i="21"/>
  <c r="I180" i="20" s="1"/>
  <c r="I182" i="20" s="1"/>
  <c r="K169" i="21"/>
  <c r="AK169" i="21" s="1"/>
  <c r="J169" i="21"/>
  <c r="AG169" i="21" s="1"/>
  <c r="J168" i="21"/>
  <c r="AG168" i="21" s="1"/>
  <c r="K168" i="21"/>
  <c r="K180" i="21" s="1"/>
  <c r="K181" i="20" s="1"/>
  <c r="J160" i="21"/>
  <c r="AG160" i="21" s="1"/>
  <c r="AH160" i="21" s="1"/>
  <c r="AI160" i="21" s="1"/>
  <c r="AJ160" i="21" s="1"/>
  <c r="K159" i="21"/>
  <c r="AK159" i="21" s="1"/>
  <c r="J159" i="21"/>
  <c r="AG159" i="21" s="1"/>
  <c r="K158" i="21"/>
  <c r="AK158" i="21" s="1"/>
  <c r="J158" i="21"/>
  <c r="J179" i="21" s="1"/>
  <c r="J180" i="20" s="1"/>
  <c r="AJ97" i="20"/>
  <c r="AK97" i="20"/>
  <c r="AL97" i="20"/>
  <c r="AM97" i="20"/>
  <c r="AN97" i="20"/>
  <c r="AI97" i="20"/>
  <c r="AJ355" i="4"/>
  <c r="AJ218" i="6" s="1"/>
  <c r="AK355" i="4"/>
  <c r="AK218" i="6" s="1"/>
  <c r="AL355" i="4"/>
  <c r="AL218" i="6" s="1"/>
  <c r="AM355" i="4"/>
  <c r="AM218" i="6" s="1"/>
  <c r="AN355" i="4"/>
  <c r="AN218" i="6" s="1"/>
  <c r="AJ356" i="4"/>
  <c r="AJ220" i="6" s="1"/>
  <c r="AK356" i="4"/>
  <c r="AK220" i="6" s="1"/>
  <c r="AO220" i="6" s="1"/>
  <c r="AL356" i="4"/>
  <c r="AL220" i="6" s="1"/>
  <c r="AM356" i="4"/>
  <c r="AM220" i="6" s="1"/>
  <c r="AN356" i="4"/>
  <c r="AN220" i="6" s="1"/>
  <c r="AJ357" i="4"/>
  <c r="AJ226" i="6" s="1"/>
  <c r="AK357" i="4"/>
  <c r="AK226" i="6" s="1"/>
  <c r="AL357" i="4"/>
  <c r="AL226" i="6" s="1"/>
  <c r="AM357" i="4"/>
  <c r="AM226" i="6" s="1"/>
  <c r="AN357" i="4"/>
  <c r="AN226" i="6" s="1"/>
  <c r="AI357" i="4"/>
  <c r="AI226" i="6" s="1"/>
  <c r="AI356" i="4"/>
  <c r="AI220" i="6" s="1"/>
  <c r="AI355" i="4"/>
  <c r="J245" i="6"/>
  <c r="K245" i="6"/>
  <c r="I245" i="6"/>
  <c r="J241" i="6"/>
  <c r="K241" i="6"/>
  <c r="I241" i="6"/>
  <c r="J235" i="6"/>
  <c r="K235" i="6"/>
  <c r="I235" i="6"/>
  <c r="AF153" i="6"/>
  <c r="AJ153" i="6"/>
  <c r="AN153" i="6"/>
  <c r="AJ156" i="6"/>
  <c r="AN156" i="6"/>
  <c r="AN168" i="6"/>
  <c r="AO191" i="6"/>
  <c r="AN303" i="4"/>
  <c r="AG85" i="4"/>
  <c r="AG86" i="4"/>
  <c r="AG87" i="4"/>
  <c r="AK85" i="4"/>
  <c r="AK86" i="4"/>
  <c r="J153" i="21"/>
  <c r="K153" i="21"/>
  <c r="I153" i="21"/>
  <c r="AN138" i="21"/>
  <c r="K268" i="21"/>
  <c r="AN268" i="21" s="1"/>
  <c r="AO274" i="21" s="1"/>
  <c r="AP274" i="21" s="1"/>
  <c r="AQ274" i="21" s="1"/>
  <c r="AR274" i="21" s="1"/>
  <c r="J268" i="21"/>
  <c r="J272" i="21"/>
  <c r="J276" i="21" s="1"/>
  <c r="K272" i="21"/>
  <c r="K276" i="21" s="1"/>
  <c r="I272" i="21"/>
  <c r="I276" i="21" s="1"/>
  <c r="K190" i="21"/>
  <c r="AN190" i="21" s="1"/>
  <c r="J190" i="21"/>
  <c r="K189" i="21"/>
  <c r="AN189" i="21" s="1"/>
  <c r="J189" i="21"/>
  <c r="K187" i="21"/>
  <c r="AN187" i="21" s="1"/>
  <c r="J187" i="21"/>
  <c r="K186" i="21"/>
  <c r="K192" i="21" s="1"/>
  <c r="J186" i="21"/>
  <c r="B297" i="21"/>
  <c r="AJ297" i="21"/>
  <c r="AN297" i="21"/>
  <c r="B298" i="21"/>
  <c r="AJ298" i="21"/>
  <c r="AN298" i="21"/>
  <c r="J260" i="21"/>
  <c r="J287" i="21" s="1"/>
  <c r="K260" i="21"/>
  <c r="K287" i="21" s="1"/>
  <c r="I260" i="21"/>
  <c r="I287" i="21" s="1"/>
  <c r="J248" i="21"/>
  <c r="K248" i="21"/>
  <c r="I248" i="21"/>
  <c r="K233" i="21"/>
  <c r="K232" i="21"/>
  <c r="K230" i="21"/>
  <c r="K229" i="21"/>
  <c r="K227" i="21"/>
  <c r="J227" i="21"/>
  <c r="K226" i="21"/>
  <c r="J226" i="21"/>
  <c r="K216" i="21"/>
  <c r="K215" i="21"/>
  <c r="K213" i="21"/>
  <c r="K212" i="21"/>
  <c r="J210" i="21"/>
  <c r="K210" i="21"/>
  <c r="K209" i="21"/>
  <c r="J209" i="21"/>
  <c r="H114" i="21"/>
  <c r="J115" i="21"/>
  <c r="K115" i="21"/>
  <c r="I115" i="21"/>
  <c r="I112" i="21"/>
  <c r="I113" i="21"/>
  <c r="B113" i="21"/>
  <c r="B112" i="21"/>
  <c r="I111" i="21"/>
  <c r="I106" i="21"/>
  <c r="K101" i="21"/>
  <c r="K100" i="21"/>
  <c r="J101" i="21"/>
  <c r="J106" i="21" s="1"/>
  <c r="J91" i="21"/>
  <c r="J97" i="21" s="1"/>
  <c r="K91" i="21"/>
  <c r="K97" i="21" s="1"/>
  <c r="I91" i="21"/>
  <c r="I97" i="21" s="1"/>
  <c r="K80" i="21"/>
  <c r="J80" i="21"/>
  <c r="I80" i="21"/>
  <c r="AN310" i="21"/>
  <c r="AN308" i="21"/>
  <c r="AN307" i="21"/>
  <c r="AN318" i="21" s="1"/>
  <c r="AO318" i="21" s="1"/>
  <c r="AS318" i="21" s="1"/>
  <c r="AW318" i="21" s="1"/>
  <c r="AN306" i="21"/>
  <c r="AN301" i="21"/>
  <c r="AN300" i="21"/>
  <c r="AN299" i="21"/>
  <c r="AJ310" i="21"/>
  <c r="AJ309" i="21"/>
  <c r="AJ308" i="21"/>
  <c r="AJ307" i="21"/>
  <c r="AJ318" i="21" s="1"/>
  <c r="AJ306" i="21"/>
  <c r="AJ301" i="21"/>
  <c r="AJ300" i="21"/>
  <c r="AJ299" i="21"/>
  <c r="B301" i="21"/>
  <c r="B300" i="21"/>
  <c r="I163" i="20"/>
  <c r="I162" i="20"/>
  <c r="J163" i="20"/>
  <c r="J162" i="20"/>
  <c r="K163" i="20"/>
  <c r="K162" i="20"/>
  <c r="J108" i="20"/>
  <c r="I108" i="20"/>
  <c r="K117" i="20"/>
  <c r="K119" i="20" s="1"/>
  <c r="J117" i="20"/>
  <c r="J119" i="20" s="1"/>
  <c r="I117" i="20"/>
  <c r="I119" i="20" s="1"/>
  <c r="K107" i="20"/>
  <c r="K253" i="6" s="1"/>
  <c r="AN48" i="21"/>
  <c r="E45" i="3"/>
  <c r="D44" i="3"/>
  <c r="D54" i="3" s="1"/>
  <c r="AS279" i="21" l="1"/>
  <c r="AT279" i="21" s="1"/>
  <c r="AU279" i="21" s="1"/>
  <c r="AV279" i="21" s="1"/>
  <c r="AW279" i="21" s="1"/>
  <c r="AX279" i="21" s="1"/>
  <c r="AY279" i="21" s="1"/>
  <c r="AZ279" i="21" s="1"/>
  <c r="K239" i="21"/>
  <c r="K246" i="21"/>
  <c r="AN311" i="21"/>
  <c r="AN312" i="21" s="1"/>
  <c r="AP318" i="21"/>
  <c r="AQ318" i="21" s="1"/>
  <c r="AN227" i="6"/>
  <c r="AO227" i="6" s="1"/>
  <c r="AP227" i="6" s="1"/>
  <c r="AQ227" i="6" s="1"/>
  <c r="AR227" i="6" s="1"/>
  <c r="AS227" i="6" s="1"/>
  <c r="AT227" i="6" s="1"/>
  <c r="AU227" i="6" s="1"/>
  <c r="AV227" i="6" s="1"/>
  <c r="AW227" i="6" s="1"/>
  <c r="AX227" i="6" s="1"/>
  <c r="AY227" i="6" s="1"/>
  <c r="AZ227" i="6" s="1"/>
  <c r="AR261" i="6"/>
  <c r="AV261" i="6" s="1"/>
  <c r="AZ261" i="6" s="1"/>
  <c r="AU261" i="6"/>
  <c r="AY261" i="6" s="1"/>
  <c r="AJ311" i="21"/>
  <c r="E55" i="3"/>
  <c r="E56" i="3" s="1"/>
  <c r="E57" i="3" s="1"/>
  <c r="I53" i="3" s="1"/>
  <c r="E46" i="3"/>
  <c r="D46" i="3" s="1"/>
  <c r="D56" i="3" s="1"/>
  <c r="J53" i="3"/>
  <c r="I51" i="3"/>
  <c r="D45" i="3"/>
  <c r="L236" i="21"/>
  <c r="AN239" i="21"/>
  <c r="AO236" i="21" s="1"/>
  <c r="AO238" i="21" s="1"/>
  <c r="AO246" i="21" s="1"/>
  <c r="AN209" i="21"/>
  <c r="AL158" i="21"/>
  <c r="AK179" i="21"/>
  <c r="AK180" i="20" s="1"/>
  <c r="AH168" i="21"/>
  <c r="AG180" i="21"/>
  <c r="AG181" i="20" s="1"/>
  <c r="AD158" i="21"/>
  <c r="AC179" i="21"/>
  <c r="AC180" i="20" s="1"/>
  <c r="AE168" i="21"/>
  <c r="AD180" i="21"/>
  <c r="AD181" i="20" s="1"/>
  <c r="AD169" i="21"/>
  <c r="AH169" i="21"/>
  <c r="AG176" i="21"/>
  <c r="AN210" i="21"/>
  <c r="AN193" i="21"/>
  <c r="AL169" i="21"/>
  <c r="AD159" i="21"/>
  <c r="AH159" i="21"/>
  <c r="AG163" i="21"/>
  <c r="AL159" i="21"/>
  <c r="AN171" i="6"/>
  <c r="AN172" i="6" s="1"/>
  <c r="AP220" i="6"/>
  <c r="AP80" i="20" s="1"/>
  <c r="AN221" i="6"/>
  <c r="AS258" i="21"/>
  <c r="AN226" i="21"/>
  <c r="AR257" i="21"/>
  <c r="AV258" i="21"/>
  <c r="AR258" i="21"/>
  <c r="AQ257" i="21"/>
  <c r="AU258" i="21"/>
  <c r="AQ258" i="21"/>
  <c r="I268" i="21"/>
  <c r="AP257" i="21"/>
  <c r="AT258" i="21"/>
  <c r="AP258" i="21"/>
  <c r="AQ220" i="6"/>
  <c r="AU220" i="6" s="1"/>
  <c r="AR291" i="21"/>
  <c r="AQ291" i="21"/>
  <c r="AP291" i="21"/>
  <c r="AS274" i="21"/>
  <c r="AT274" i="21" s="1"/>
  <c r="J192" i="21"/>
  <c r="AN227" i="21"/>
  <c r="AS215" i="21"/>
  <c r="AR215" i="21"/>
  <c r="AO215" i="21"/>
  <c r="AO212" i="21" s="1"/>
  <c r="AQ215" i="21"/>
  <c r="J282" i="21"/>
  <c r="AT215" i="21"/>
  <c r="AP215" i="21"/>
  <c r="AQ281" i="21"/>
  <c r="I181" i="21"/>
  <c r="I283" i="21"/>
  <c r="AN186" i="21"/>
  <c r="AN192" i="21" s="1"/>
  <c r="J283" i="21"/>
  <c r="J281" i="21"/>
  <c r="J284" i="21"/>
  <c r="K291" i="21"/>
  <c r="I291" i="21"/>
  <c r="J288" i="21"/>
  <c r="K288" i="21"/>
  <c r="J291" i="21"/>
  <c r="I288" i="21"/>
  <c r="I292" i="21" s="1"/>
  <c r="AG158" i="21"/>
  <c r="K179" i="21"/>
  <c r="AK168" i="21"/>
  <c r="J180" i="21"/>
  <c r="AM227" i="6"/>
  <c r="AS220" i="6"/>
  <c r="AO80" i="20"/>
  <c r="AO226" i="6"/>
  <c r="AR220" i="6"/>
  <c r="AM221" i="6"/>
  <c r="AI218" i="6"/>
  <c r="K195" i="21"/>
  <c r="K199" i="21"/>
  <c r="K198" i="21"/>
  <c r="K193" i="21"/>
  <c r="J193" i="21"/>
  <c r="K196" i="21"/>
  <c r="K249" i="21"/>
  <c r="I50" i="3"/>
  <c r="J50" i="3"/>
  <c r="J51" i="3" l="1"/>
  <c r="AT318" i="21"/>
  <c r="AX318" i="21" s="1"/>
  <c r="AP166" i="20"/>
  <c r="AT166" i="20" s="1"/>
  <c r="J57" i="3"/>
  <c r="I57" i="3"/>
  <c r="D55" i="3"/>
  <c r="AO166" i="20"/>
  <c r="K181" i="21"/>
  <c r="K180" i="20"/>
  <c r="K182" i="20" s="1"/>
  <c r="J181" i="21"/>
  <c r="J181" i="20"/>
  <c r="J182" i="20" s="1"/>
  <c r="AP212" i="21"/>
  <c r="AT220" i="6"/>
  <c r="AT80" i="20" s="1"/>
  <c r="AQ80" i="20"/>
  <c r="AR281" i="21"/>
  <c r="AQ283" i="21"/>
  <c r="AR318" i="21"/>
  <c r="AV318" i="21" s="1"/>
  <c r="AZ318" i="21" s="1"/>
  <c r="AU318" i="21"/>
  <c r="AY318" i="21" s="1"/>
  <c r="E47" i="3"/>
  <c r="I45" i="3" s="1"/>
  <c r="J45" i="3"/>
  <c r="F45" i="3"/>
  <c r="G45" i="3"/>
  <c r="F40" i="3"/>
  <c r="G42" i="3"/>
  <c r="G44" i="3"/>
  <c r="G46" i="3"/>
  <c r="I46" i="3"/>
  <c r="F43" i="3"/>
  <c r="F41" i="3"/>
  <c r="F42" i="3"/>
  <c r="F46" i="3"/>
  <c r="J46" i="3"/>
  <c r="G40" i="3"/>
  <c r="G41" i="3"/>
  <c r="G43" i="3"/>
  <c r="F44" i="3"/>
  <c r="I284" i="21"/>
  <c r="AH158" i="21"/>
  <c r="AG179" i="21"/>
  <c r="AI168" i="21"/>
  <c r="AH180" i="21"/>
  <c r="AH181" i="20" s="1"/>
  <c r="AL168" i="21"/>
  <c r="AK180" i="21"/>
  <c r="AF168" i="21"/>
  <c r="AF180" i="21" s="1"/>
  <c r="AF181" i="20" s="1"/>
  <c r="AE180" i="21"/>
  <c r="AE181" i="20" s="1"/>
  <c r="AE158" i="21"/>
  <c r="AD179" i="21"/>
  <c r="AM158" i="21"/>
  <c r="AL179" i="21"/>
  <c r="AL180" i="20" s="1"/>
  <c r="AQ212" i="21"/>
  <c r="AT212" i="21"/>
  <c r="AR212" i="21"/>
  <c r="AS212" i="21"/>
  <c r="AM169" i="21"/>
  <c r="AI169" i="21"/>
  <c r="I282" i="21"/>
  <c r="I281" i="21"/>
  <c r="AE169" i="21"/>
  <c r="AM159" i="21"/>
  <c r="AE159" i="21"/>
  <c r="AI159" i="21"/>
  <c r="AU274" i="21"/>
  <c r="AV274" i="21" s="1"/>
  <c r="AW274" i="21" s="1"/>
  <c r="AX274" i="21" s="1"/>
  <c r="K292" i="21"/>
  <c r="K289" i="21"/>
  <c r="J292" i="21"/>
  <c r="J289" i="21"/>
  <c r="AO206" i="21"/>
  <c r="AR226" i="6"/>
  <c r="AV226" i="6" s="1"/>
  <c r="AQ226" i="6"/>
  <c r="AS226" i="6"/>
  <c r="AS81" i="20" s="1"/>
  <c r="AP226" i="6"/>
  <c r="AT226" i="6" s="1"/>
  <c r="AY220" i="6"/>
  <c r="AU80" i="20"/>
  <c r="AO81" i="20"/>
  <c r="AR80" i="20"/>
  <c r="AV220" i="6"/>
  <c r="AW220" i="6"/>
  <c r="AS80" i="20"/>
  <c r="J52" i="3"/>
  <c r="I52" i="3"/>
  <c r="AP162" i="20" l="1"/>
  <c r="AQ166" i="20"/>
  <c r="AR166" i="20" s="1"/>
  <c r="AO165" i="20"/>
  <c r="AO163" i="20" s="1"/>
  <c r="AO162" i="20"/>
  <c r="AT162" i="20"/>
  <c r="AX166" i="20"/>
  <c r="AX162" i="20" s="1"/>
  <c r="AD181" i="21"/>
  <c r="AD180" i="20"/>
  <c r="AK181" i="21"/>
  <c r="AK181" i="20"/>
  <c r="AG181" i="21"/>
  <c r="AG180" i="20"/>
  <c r="AX220" i="6"/>
  <c r="AX80" i="20" s="1"/>
  <c r="AS281" i="21"/>
  <c r="AR283" i="21"/>
  <c r="J54" i="3"/>
  <c r="I54" i="3"/>
  <c r="J47" i="3"/>
  <c r="I41" i="3"/>
  <c r="J42" i="3"/>
  <c r="I40" i="3"/>
  <c r="I42" i="3"/>
  <c r="I43" i="3"/>
  <c r="J44" i="3"/>
  <c r="J41" i="3"/>
  <c r="I44" i="3"/>
  <c r="I47" i="3"/>
  <c r="J40" i="3"/>
  <c r="J43" i="3"/>
  <c r="AN158" i="21"/>
  <c r="AN179" i="21" s="1"/>
  <c r="AN180" i="20" s="1"/>
  <c r="AM179" i="21"/>
  <c r="AM180" i="20" s="1"/>
  <c r="AM168" i="21"/>
  <c r="AL180" i="21"/>
  <c r="AF158" i="21"/>
  <c r="AF179" i="21" s="1"/>
  <c r="AE179" i="21"/>
  <c r="AJ168" i="21"/>
  <c r="AJ180" i="21" s="1"/>
  <c r="AJ181" i="20" s="1"/>
  <c r="AI180" i="21"/>
  <c r="AI181" i="20" s="1"/>
  <c r="AI158" i="21"/>
  <c r="AH179" i="21"/>
  <c r="AF169" i="21"/>
  <c r="AJ169" i="21"/>
  <c r="AN169" i="21"/>
  <c r="AJ159" i="21"/>
  <c r="AN159" i="21"/>
  <c r="AF159" i="21"/>
  <c r="AW226" i="6"/>
  <c r="AR81" i="20"/>
  <c r="AQ81" i="20"/>
  <c r="AU226" i="6"/>
  <c r="AU81" i="20" s="1"/>
  <c r="AP81" i="20"/>
  <c r="AZ226" i="6"/>
  <c r="AV81" i="20"/>
  <c r="AV80" i="20"/>
  <c r="AZ220" i="6"/>
  <c r="AW80" i="20"/>
  <c r="AX226" i="6"/>
  <c r="AT81" i="20"/>
  <c r="AY80" i="20"/>
  <c r="AQ162" i="20" l="1"/>
  <c r="AU166" i="20"/>
  <c r="AU162" i="20" s="1"/>
  <c r="AS166" i="20"/>
  <c r="AV166" i="20"/>
  <c r="AR162" i="20"/>
  <c r="AL181" i="21"/>
  <c r="AL181" i="20"/>
  <c r="AF181" i="21"/>
  <c r="AF180" i="20"/>
  <c r="AH181" i="21"/>
  <c r="AH180" i="20"/>
  <c r="AE181" i="21"/>
  <c r="AE180" i="20"/>
  <c r="AT281" i="21"/>
  <c r="AS283" i="21"/>
  <c r="I55" i="3"/>
  <c r="F55" i="3"/>
  <c r="J55" i="3"/>
  <c r="G55" i="3"/>
  <c r="F53" i="3"/>
  <c r="G51" i="3"/>
  <c r="G56" i="3"/>
  <c r="G53" i="3"/>
  <c r="J56" i="3"/>
  <c r="G54" i="3"/>
  <c r="I56" i="3"/>
  <c r="F51" i="3"/>
  <c r="F54" i="3"/>
  <c r="F56" i="3"/>
  <c r="G50" i="3"/>
  <c r="F50" i="3"/>
  <c r="F52" i="3"/>
  <c r="G52" i="3"/>
  <c r="AJ158" i="21"/>
  <c r="AJ179" i="21" s="1"/>
  <c r="AI179" i="21"/>
  <c r="AM181" i="21"/>
  <c r="AN168" i="21"/>
  <c r="AN180" i="21" s="1"/>
  <c r="AN181" i="20" s="1"/>
  <c r="AM180" i="21"/>
  <c r="AM181" i="20" s="1"/>
  <c r="AY226" i="6"/>
  <c r="AW81" i="20"/>
  <c r="AZ81" i="20"/>
  <c r="AX81" i="20"/>
  <c r="AZ80" i="20"/>
  <c r="AY166" i="20" l="1"/>
  <c r="AY162" i="20" s="1"/>
  <c r="AV162" i="20"/>
  <c r="AZ166" i="20"/>
  <c r="AZ162" i="20" s="1"/>
  <c r="AW166" i="20"/>
  <c r="AW162" i="20" s="1"/>
  <c r="AS162" i="20"/>
  <c r="AI181" i="21"/>
  <c r="AI180" i="20"/>
  <c r="AJ181" i="21"/>
  <c r="AJ180" i="20"/>
  <c r="AN181" i="21"/>
  <c r="AU281" i="21"/>
  <c r="AT283" i="21"/>
  <c r="AY81" i="20"/>
  <c r="AV281" i="21" l="1"/>
  <c r="AU283" i="21"/>
  <c r="AV283" i="21" l="1"/>
  <c r="AW281" i="21"/>
  <c r="AW283" i="21" l="1"/>
  <c r="AX281" i="21"/>
  <c r="AY281" i="21" l="1"/>
  <c r="AX283" i="21"/>
  <c r="AZ281" i="21" l="1"/>
  <c r="AY283" i="21"/>
  <c r="AZ283" i="21" l="1"/>
  <c r="J217" i="20" l="1"/>
  <c r="J218" i="20" s="1"/>
  <c r="F217" i="20"/>
  <c r="F218" i="20" s="1"/>
  <c r="J211" i="20"/>
  <c r="E311" i="21"/>
  <c r="AC180" i="21"/>
  <c r="AC181" i="20" s="1"/>
  <c r="B180" i="21"/>
  <c r="AR140" i="21"/>
  <c r="AQ140" i="21"/>
  <c r="AP140" i="21"/>
  <c r="AO140" i="21"/>
  <c r="AO110" i="21"/>
  <c r="AK52" i="21"/>
  <c r="AK56" i="21" s="1"/>
  <c r="AJ52" i="21"/>
  <c r="AJ56" i="21" s="1"/>
  <c r="AI52" i="21"/>
  <c r="AI56" i="21" s="1"/>
  <c r="AH52" i="21"/>
  <c r="AH56" i="21" s="1"/>
  <c r="AG52" i="21"/>
  <c r="AG56" i="21" s="1"/>
  <c r="AF52" i="21"/>
  <c r="AF56" i="21" s="1"/>
  <c r="AE52" i="21"/>
  <c r="AE56" i="21" s="1"/>
  <c r="AD52" i="21"/>
  <c r="AD56" i="21" s="1"/>
  <c r="AC52" i="21"/>
  <c r="AC56" i="21" s="1"/>
  <c r="AB52" i="21"/>
  <c r="AB56" i="21" s="1"/>
  <c r="AA52" i="21"/>
  <c r="AA56" i="21" s="1"/>
  <c r="Z52" i="21"/>
  <c r="Z56" i="21" s="1"/>
  <c r="Y52" i="21"/>
  <c r="Y56" i="21" s="1"/>
  <c r="X52" i="21"/>
  <c r="X56" i="21" s="1"/>
  <c r="W52" i="21"/>
  <c r="W56" i="21" s="1"/>
  <c r="V52" i="21"/>
  <c r="V56" i="21" s="1"/>
  <c r="U52" i="21"/>
  <c r="U56" i="21" s="1"/>
  <c r="T52" i="21"/>
  <c r="T56" i="21" s="1"/>
  <c r="AO51" i="21"/>
  <c r="AP51" i="21" s="1"/>
  <c r="AQ51" i="21" s="1"/>
  <c r="AR51" i="21" s="1"/>
  <c r="AS51" i="21" s="1"/>
  <c r="AT51" i="21" s="1"/>
  <c r="AU51" i="21" s="1"/>
  <c r="AV51" i="21" s="1"/>
  <c r="AW51" i="21" s="1"/>
  <c r="AX51" i="21" s="1"/>
  <c r="AY51" i="21" s="1"/>
  <c r="AZ51" i="21" s="1"/>
  <c r="AO46" i="21"/>
  <c r="AP46" i="21" s="1"/>
  <c r="AQ46" i="21" s="1"/>
  <c r="AR46" i="21" s="1"/>
  <c r="AS46" i="21" s="1"/>
  <c r="AT46" i="21" s="1"/>
  <c r="AU46" i="21" s="1"/>
  <c r="AV46" i="21" s="1"/>
  <c r="AW46" i="21" s="1"/>
  <c r="AX46" i="21" s="1"/>
  <c r="AY46" i="21" s="1"/>
  <c r="AZ46" i="21" s="1"/>
  <c r="AM42" i="21"/>
  <c r="AL42" i="21"/>
  <c r="AK42" i="21"/>
  <c r="AJ42" i="21"/>
  <c r="AI42" i="21"/>
  <c r="AH42" i="21"/>
  <c r="AG42" i="21"/>
  <c r="AF42" i="21"/>
  <c r="AE42" i="21"/>
  <c r="AD42" i="21"/>
  <c r="AC42" i="21"/>
  <c r="AB42" i="21"/>
  <c r="AA42" i="21"/>
  <c r="Z42" i="21"/>
  <c r="Y42" i="21"/>
  <c r="X42" i="21"/>
  <c r="W42" i="21"/>
  <c r="V42" i="21"/>
  <c r="U42" i="21"/>
  <c r="T42" i="21"/>
  <c r="AN42" i="21"/>
  <c r="AO41" i="21"/>
  <c r="AO310" i="21" s="1"/>
  <c r="AO40" i="21"/>
  <c r="AO309" i="21" s="1"/>
  <c r="AO34" i="21"/>
  <c r="AO306" i="21" s="1"/>
  <c r="AN24" i="21"/>
  <c r="AM24" i="21"/>
  <c r="AL24" i="21"/>
  <c r="AK24" i="21"/>
  <c r="AJ24" i="21"/>
  <c r="AI24" i="21"/>
  <c r="AH24" i="21"/>
  <c r="AG24" i="21"/>
  <c r="AF24" i="21"/>
  <c r="AE24" i="21"/>
  <c r="AD24" i="21"/>
  <c r="AC24" i="21"/>
  <c r="AB24" i="21"/>
  <c r="AA24" i="21"/>
  <c r="Z24" i="21"/>
  <c r="Y24" i="21"/>
  <c r="X24" i="21"/>
  <c r="W24" i="21"/>
  <c r="V24" i="21"/>
  <c r="U24" i="21"/>
  <c r="T24" i="21"/>
  <c r="AO20" i="21"/>
  <c r="AO19" i="21"/>
  <c r="AP19" i="21" s="1"/>
  <c r="AQ19" i="21" s="1"/>
  <c r="AR19" i="21" s="1"/>
  <c r="AS19" i="21" s="1"/>
  <c r="AT19" i="21" s="1"/>
  <c r="AU19" i="21" s="1"/>
  <c r="AV19" i="21" s="1"/>
  <c r="AW19" i="21" s="1"/>
  <c r="AX19" i="21" s="1"/>
  <c r="AY19" i="21" s="1"/>
  <c r="AZ19" i="21" s="1"/>
  <c r="AO18" i="21"/>
  <c r="AP18" i="21" s="1"/>
  <c r="AQ18" i="21" s="1"/>
  <c r="AR18" i="21" s="1"/>
  <c r="AS18" i="21" s="1"/>
  <c r="AT18" i="21" s="1"/>
  <c r="AU18" i="21" s="1"/>
  <c r="AV18" i="21" s="1"/>
  <c r="AW18" i="21" s="1"/>
  <c r="AX18" i="21" s="1"/>
  <c r="AY18" i="21" s="1"/>
  <c r="AZ18" i="21" s="1"/>
  <c r="AM14" i="21"/>
  <c r="AL14" i="21"/>
  <c r="AK14" i="21"/>
  <c r="AJ14" i="21"/>
  <c r="AI14" i="21"/>
  <c r="AH14" i="21"/>
  <c r="AG14" i="21"/>
  <c r="AF14" i="21"/>
  <c r="AE14" i="21"/>
  <c r="AD14" i="21"/>
  <c r="AC14" i="21"/>
  <c r="AB14" i="21"/>
  <c r="AA14" i="21"/>
  <c r="Z14" i="21"/>
  <c r="Y14" i="21"/>
  <c r="X14" i="21"/>
  <c r="W14" i="21"/>
  <c r="V14" i="21"/>
  <c r="U14" i="21"/>
  <c r="T14" i="21"/>
  <c r="AO11" i="21"/>
  <c r="AO298" i="21" s="1"/>
  <c r="U4" i="21"/>
  <c r="Y4" i="21" s="1"/>
  <c r="AC4" i="21" s="1"/>
  <c r="AG4" i="21" s="1"/>
  <c r="AK4" i="21" s="1"/>
  <c r="AO4" i="21" s="1"/>
  <c r="AS4" i="21" s="1"/>
  <c r="AW4" i="21" s="1"/>
  <c r="R4" i="21"/>
  <c r="V4" i="21" s="1"/>
  <c r="Z4" i="21" s="1"/>
  <c r="AD4" i="21" s="1"/>
  <c r="AH4" i="21" s="1"/>
  <c r="AL4" i="21" s="1"/>
  <c r="AP4" i="21" s="1"/>
  <c r="AT4" i="21" s="1"/>
  <c r="AX4" i="21" s="1"/>
  <c r="G4" i="21"/>
  <c r="H4" i="21" s="1"/>
  <c r="I4" i="21" s="1"/>
  <c r="J4" i="21" s="1"/>
  <c r="K4" i="21" s="1"/>
  <c r="L4" i="21" s="1"/>
  <c r="M4" i="21" s="1"/>
  <c r="N4" i="21" s="1"/>
  <c r="F2" i="21"/>
  <c r="G1" i="21"/>
  <c r="AJ74" i="20"/>
  <c r="AJ354" i="4" s="1"/>
  <c r="AK74" i="20"/>
  <c r="AK354" i="4" s="1"/>
  <c r="AL74" i="20"/>
  <c r="AL354" i="4" s="1"/>
  <c r="AM74" i="20"/>
  <c r="AM354" i="4" s="1"/>
  <c r="AN74" i="20"/>
  <c r="AN354" i="4" s="1"/>
  <c r="AN363" i="4" s="1"/>
  <c r="AN364" i="4" s="1"/>
  <c r="AI74" i="20"/>
  <c r="AI354" i="4" s="1"/>
  <c r="AJ73" i="20"/>
  <c r="AJ353" i="4" s="1"/>
  <c r="AK73" i="20"/>
  <c r="AK353" i="4" s="1"/>
  <c r="AL73" i="20"/>
  <c r="AL353" i="4" s="1"/>
  <c r="AM73" i="20"/>
  <c r="AM353" i="4" s="1"/>
  <c r="AN73" i="20"/>
  <c r="AN353" i="4" s="1"/>
  <c r="AI73" i="20"/>
  <c r="AI353" i="4" s="1"/>
  <c r="AJ82" i="20"/>
  <c r="AK82" i="20"/>
  <c r="AL82" i="20"/>
  <c r="AM82" i="20"/>
  <c r="AN82" i="20"/>
  <c r="AN83" i="20" s="1"/>
  <c r="AI82" i="20"/>
  <c r="AG82" i="20"/>
  <c r="I206" i="20"/>
  <c r="I190" i="20"/>
  <c r="I193" i="20" s="1"/>
  <c r="I189" i="20"/>
  <c r="K206" i="20"/>
  <c r="J206" i="20"/>
  <c r="K189" i="20"/>
  <c r="J189" i="20"/>
  <c r="K190" i="20"/>
  <c r="J190" i="20"/>
  <c r="J193" i="20" s="1"/>
  <c r="K97" i="20"/>
  <c r="K96" i="20" s="1"/>
  <c r="K247" i="6" s="1"/>
  <c r="J73" i="20"/>
  <c r="J353" i="4" s="1"/>
  <c r="K73" i="20"/>
  <c r="J74" i="20"/>
  <c r="J354" i="4" s="1"/>
  <c r="K74" i="20"/>
  <c r="I74" i="20"/>
  <c r="I354" i="4" s="1"/>
  <c r="AC354" i="4" s="1"/>
  <c r="I73" i="20"/>
  <c r="I353" i="4" s="1"/>
  <c r="G75" i="20"/>
  <c r="H75" i="20"/>
  <c r="J82" i="20"/>
  <c r="J279" i="21" s="1"/>
  <c r="K82" i="20"/>
  <c r="I82" i="20"/>
  <c r="I279" i="21" s="1"/>
  <c r="V26" i="21" l="1"/>
  <c r="Z26" i="21"/>
  <c r="AD26" i="21"/>
  <c r="AH26" i="21"/>
  <c r="AL26" i="21"/>
  <c r="AM311" i="4"/>
  <c r="AM83" i="20"/>
  <c r="AL311" i="4"/>
  <c r="AI311" i="4"/>
  <c r="AK311" i="4"/>
  <c r="AK87" i="4" s="1"/>
  <c r="AK83" i="20"/>
  <c r="AN311" i="4"/>
  <c r="AN319" i="21"/>
  <c r="AJ311" i="4"/>
  <c r="AK314" i="4" s="1"/>
  <c r="AJ319" i="21"/>
  <c r="AA26" i="21"/>
  <c r="AI26" i="21"/>
  <c r="AM26" i="21"/>
  <c r="AJ316" i="21"/>
  <c r="AG354" i="4"/>
  <c r="AH357" i="4"/>
  <c r="AG357" i="4" s="1"/>
  <c r="AH355" i="4"/>
  <c r="AG355" i="4" s="1"/>
  <c r="AH356" i="4"/>
  <c r="AG356" i="4" s="1"/>
  <c r="K193" i="20"/>
  <c r="AR144" i="21"/>
  <c r="AR143" i="21"/>
  <c r="AR150" i="21"/>
  <c r="AR145" i="21"/>
  <c r="AR146" i="21"/>
  <c r="AR147" i="21"/>
  <c r="AO150" i="21"/>
  <c r="AO151" i="21"/>
  <c r="AO144" i="21"/>
  <c r="AO145" i="21"/>
  <c r="AO146" i="21"/>
  <c r="AO147" i="21"/>
  <c r="AO149" i="21"/>
  <c r="AO143" i="21"/>
  <c r="AT140" i="21"/>
  <c r="AP143" i="21"/>
  <c r="AP150" i="21"/>
  <c r="AP144" i="21"/>
  <c r="AP145" i="21"/>
  <c r="AP146" i="21"/>
  <c r="AP147" i="21"/>
  <c r="AQ143" i="21"/>
  <c r="AQ150" i="21"/>
  <c r="AQ144" i="21"/>
  <c r="AQ145" i="21"/>
  <c r="AQ146" i="21"/>
  <c r="AQ147" i="21"/>
  <c r="V44" i="21"/>
  <c r="Z44" i="21"/>
  <c r="Z58" i="21" s="1"/>
  <c r="Z59" i="21" s="1"/>
  <c r="AD44" i="21"/>
  <c r="AD58" i="21" s="1"/>
  <c r="AD59" i="21" s="1"/>
  <c r="AH44" i="21"/>
  <c r="AH58" i="21" s="1"/>
  <c r="AH59" i="21" s="1"/>
  <c r="AL44" i="21"/>
  <c r="AP11" i="21"/>
  <c r="AP298" i="21" s="1"/>
  <c r="W44" i="21"/>
  <c r="W58" i="21" s="1"/>
  <c r="AA44" i="21"/>
  <c r="AA58" i="21" s="1"/>
  <c r="AA59" i="21" s="1"/>
  <c r="AE44" i="21"/>
  <c r="AE58" i="21" s="1"/>
  <c r="AI44" i="21"/>
  <c r="AI58" i="21" s="1"/>
  <c r="AI59" i="21" s="1"/>
  <c r="AM44" i="21"/>
  <c r="T44" i="21"/>
  <c r="T58" i="21" s="1"/>
  <c r="X44" i="21"/>
  <c r="X58" i="21" s="1"/>
  <c r="AB44" i="21"/>
  <c r="AB58" i="21" s="1"/>
  <c r="AF44" i="21"/>
  <c r="AF58" i="21" s="1"/>
  <c r="W26" i="21"/>
  <c r="AE26" i="21"/>
  <c r="S4" i="21"/>
  <c r="T4" i="21" s="1"/>
  <c r="X4" i="21" s="1"/>
  <c r="AB4" i="21" s="1"/>
  <c r="AF4" i="21" s="1"/>
  <c r="AJ4" i="21" s="1"/>
  <c r="AN4" i="21" s="1"/>
  <c r="AR4" i="21" s="1"/>
  <c r="AV4" i="21" s="1"/>
  <c r="AZ4" i="21" s="1"/>
  <c r="AP34" i="21"/>
  <c r="AP306" i="21" s="1"/>
  <c r="AO135" i="21"/>
  <c r="AP135" i="21" s="1"/>
  <c r="AQ135" i="21" s="1"/>
  <c r="AR135" i="21" s="1"/>
  <c r="AL52" i="21"/>
  <c r="AL56" i="21" s="1"/>
  <c r="AL58" i="21" s="1"/>
  <c r="AL59" i="21" s="1"/>
  <c r="AJ26" i="21"/>
  <c r="T26" i="21"/>
  <c r="X26" i="21"/>
  <c r="AB26" i="21"/>
  <c r="AF26" i="21"/>
  <c r="K75" i="20"/>
  <c r="J75" i="20"/>
  <c r="AD114" i="21"/>
  <c r="V114" i="21"/>
  <c r="AH114" i="21"/>
  <c r="AA114" i="21"/>
  <c r="AM114" i="21"/>
  <c r="Z114" i="21"/>
  <c r="AL114" i="21"/>
  <c r="W114" i="21"/>
  <c r="AE114" i="21"/>
  <c r="AI114" i="21"/>
  <c r="AP8" i="21"/>
  <c r="AP112" i="21" s="1"/>
  <c r="T114" i="21"/>
  <c r="X114" i="21"/>
  <c r="AB114" i="21"/>
  <c r="AF114" i="21"/>
  <c r="AJ114" i="21"/>
  <c r="AN114" i="21"/>
  <c r="U114" i="21"/>
  <c r="Y114" i="21"/>
  <c r="AC114" i="21"/>
  <c r="AG114" i="21"/>
  <c r="AK114" i="21"/>
  <c r="AN14" i="21"/>
  <c r="AN26" i="21" s="1"/>
  <c r="AN110" i="21"/>
  <c r="AP20" i="21"/>
  <c r="U26" i="21"/>
  <c r="Y26" i="21"/>
  <c r="AC26" i="21"/>
  <c r="AG26" i="21"/>
  <c r="AK26" i="21"/>
  <c r="G2" i="21"/>
  <c r="H1" i="21"/>
  <c r="U44" i="21"/>
  <c r="U58" i="21" s="1"/>
  <c r="Y44" i="21"/>
  <c r="Y58" i="21" s="1"/>
  <c r="AC44" i="21"/>
  <c r="AC58" i="21" s="1"/>
  <c r="AG44" i="21"/>
  <c r="AG58" i="21" s="1"/>
  <c r="AK44" i="21"/>
  <c r="AK58" i="21" s="1"/>
  <c r="V58" i="21"/>
  <c r="V59" i="21" s="1"/>
  <c r="AO137" i="21"/>
  <c r="AP151" i="21" s="1"/>
  <c r="AP40" i="21"/>
  <c r="AP309" i="21" s="1"/>
  <c r="AP41" i="21"/>
  <c r="AU140" i="21"/>
  <c r="AV140" i="21"/>
  <c r="AS140" i="21"/>
  <c r="AL314" i="4" l="1"/>
  <c r="AH311" i="4"/>
  <c r="AM314" i="4"/>
  <c r="J176" i="21"/>
  <c r="J163" i="21"/>
  <c r="K163" i="21"/>
  <c r="K176" i="21"/>
  <c r="AN314" i="4"/>
  <c r="AO319" i="21"/>
  <c r="AR319" i="21"/>
  <c r="AV319" i="21" s="1"/>
  <c r="AZ319" i="21" s="1"/>
  <c r="AJ314" i="4"/>
  <c r="AO30" i="21"/>
  <c r="AO100" i="21" s="1"/>
  <c r="AO39" i="21"/>
  <c r="AX140" i="21"/>
  <c r="AP30" i="21"/>
  <c r="AR30" i="21"/>
  <c r="AQ30" i="21"/>
  <c r="AQ11" i="21"/>
  <c r="AR11" i="21" s="1"/>
  <c r="AH220" i="6"/>
  <c r="AH218" i="6"/>
  <c r="AH226" i="6"/>
  <c r="AS150" i="21"/>
  <c r="AS144" i="21"/>
  <c r="AS145" i="21"/>
  <c r="AS146" i="21"/>
  <c r="AS147" i="21"/>
  <c r="AS149" i="21"/>
  <c r="AS143" i="21"/>
  <c r="AV149" i="21"/>
  <c r="AV147" i="21"/>
  <c r="AV150" i="21"/>
  <c r="AV145" i="21"/>
  <c r="AV146" i="21"/>
  <c r="AV143" i="21"/>
  <c r="AV144" i="21"/>
  <c r="AQ149" i="21"/>
  <c r="AU149" i="21"/>
  <c r="AU143" i="21"/>
  <c r="AU150" i="21"/>
  <c r="AU144" i="21"/>
  <c r="AU145" i="21"/>
  <c r="AU146" i="21"/>
  <c r="AU147" i="21"/>
  <c r="AP149" i="21"/>
  <c r="AT143" i="21"/>
  <c r="AT150" i="21"/>
  <c r="AT144" i="21"/>
  <c r="AT145" i="21"/>
  <c r="AT146" i="21"/>
  <c r="AT147" i="21"/>
  <c r="AR149" i="21"/>
  <c r="AS135" i="21"/>
  <c r="AT149" i="21" s="1"/>
  <c r="AQ298" i="21"/>
  <c r="W59" i="21"/>
  <c r="AQ34" i="21"/>
  <c r="AQ306" i="21" s="1"/>
  <c r="W4" i="21"/>
  <c r="AA4" i="21" s="1"/>
  <c r="AE4" i="21" s="1"/>
  <c r="AI4" i="21" s="1"/>
  <c r="AM4" i="21" s="1"/>
  <c r="AQ4" i="21" s="1"/>
  <c r="AU4" i="21" s="1"/>
  <c r="AY4" i="21" s="1"/>
  <c r="AE59" i="21"/>
  <c r="AF59" i="21"/>
  <c r="U59" i="21"/>
  <c r="AG59" i="21"/>
  <c r="AB59" i="21"/>
  <c r="T59" i="21"/>
  <c r="X59" i="21"/>
  <c r="AP116" i="21"/>
  <c r="AK59" i="21"/>
  <c r="AC59" i="21"/>
  <c r="Y59" i="21"/>
  <c r="AQ8" i="21"/>
  <c r="AQ112" i="21" s="1"/>
  <c r="AC181" i="21"/>
  <c r="AZ140" i="21"/>
  <c r="AM52" i="21"/>
  <c r="AM56" i="21" s="1"/>
  <c r="AM58" i="21" s="1"/>
  <c r="AM59" i="21" s="1"/>
  <c r="AQ20" i="21"/>
  <c r="AW140" i="21"/>
  <c r="AY140" i="21"/>
  <c r="AP137" i="21"/>
  <c r="AQ151" i="21" s="1"/>
  <c r="AP310" i="21"/>
  <c r="AQ41" i="21"/>
  <c r="AJ312" i="21"/>
  <c r="AQ40" i="21"/>
  <c r="AQ309" i="21" s="1"/>
  <c r="I1" i="21"/>
  <c r="H2" i="21"/>
  <c r="AN143" i="5"/>
  <c r="K412" i="4"/>
  <c r="K413" i="4"/>
  <c r="K414" i="4"/>
  <c r="K415" i="4"/>
  <c r="K416" i="4"/>
  <c r="K417" i="4"/>
  <c r="H297" i="4"/>
  <c r="I297" i="4"/>
  <c r="G297" i="4"/>
  <c r="K268" i="4"/>
  <c r="K265" i="6"/>
  <c r="K114" i="6" s="1"/>
  <c r="J198" i="20"/>
  <c r="J106" i="20" s="1"/>
  <c r="J251" i="6" s="1"/>
  <c r="I198" i="20"/>
  <c r="I106" i="20" s="1"/>
  <c r="I251" i="6" s="1"/>
  <c r="AN175" i="20"/>
  <c r="AM175" i="20"/>
  <c r="AL175" i="20"/>
  <c r="AK175" i="20"/>
  <c r="AJ175" i="20"/>
  <c r="AI175" i="20"/>
  <c r="J175" i="20"/>
  <c r="I175" i="20"/>
  <c r="B174" i="20"/>
  <c r="AN169" i="20"/>
  <c r="AP169" i="20" s="1"/>
  <c r="T169" i="20"/>
  <c r="S169" i="20"/>
  <c r="R169" i="20"/>
  <c r="J169" i="20"/>
  <c r="T168" i="20"/>
  <c r="S168" i="20"/>
  <c r="R168" i="20"/>
  <c r="J167" i="20"/>
  <c r="AO127" i="20"/>
  <c r="AO118" i="20"/>
  <c r="AP118" i="20" s="1"/>
  <c r="AQ118" i="20" s="1"/>
  <c r="AR118" i="20" s="1"/>
  <c r="AS118" i="20" s="1"/>
  <c r="AT118" i="20" s="1"/>
  <c r="AU118" i="20" s="1"/>
  <c r="AV118" i="20" s="1"/>
  <c r="AW118" i="20" s="1"/>
  <c r="AX118" i="20" s="1"/>
  <c r="AY118" i="20" s="1"/>
  <c r="AZ118" i="20" s="1"/>
  <c r="AN108" i="20"/>
  <c r="AM108" i="20"/>
  <c r="AL108" i="20"/>
  <c r="AK108" i="20"/>
  <c r="AJ108" i="20"/>
  <c r="AI108" i="20"/>
  <c r="AN107" i="20"/>
  <c r="AN253" i="6" s="1"/>
  <c r="AM107" i="20"/>
  <c r="AM253" i="6" s="1"/>
  <c r="AL107" i="20"/>
  <c r="AL253" i="6" s="1"/>
  <c r="AK107" i="20"/>
  <c r="AK253" i="6" s="1"/>
  <c r="AJ107" i="20"/>
  <c r="AJ253" i="6" s="1"/>
  <c r="AI107" i="20"/>
  <c r="AI253" i="6" s="1"/>
  <c r="J107" i="20"/>
  <c r="J253" i="6" s="1"/>
  <c r="I107" i="20"/>
  <c r="I253" i="6" s="1"/>
  <c r="J97" i="20"/>
  <c r="J96" i="20" s="1"/>
  <c r="J247" i="6" s="1"/>
  <c r="I97" i="20"/>
  <c r="I96" i="20" s="1"/>
  <c r="I247" i="6" s="1"/>
  <c r="I83" i="20"/>
  <c r="H83" i="20"/>
  <c r="AN75" i="20"/>
  <c r="AM75" i="20"/>
  <c r="AL75" i="20"/>
  <c r="AK75" i="20"/>
  <c r="AJ75" i="20"/>
  <c r="AI75" i="20"/>
  <c r="AH75" i="20"/>
  <c r="AF75" i="20"/>
  <c r="AE75" i="20"/>
  <c r="AD75" i="20"/>
  <c r="AC75" i="20"/>
  <c r="AB75" i="20"/>
  <c r="AB82" i="20" s="1"/>
  <c r="AA75" i="20"/>
  <c r="AA82" i="20" s="1"/>
  <c r="Z75" i="20"/>
  <c r="Z82" i="20" s="1"/>
  <c r="Y75" i="20"/>
  <c r="Y82" i="20" s="1"/>
  <c r="X75" i="20"/>
  <c r="X82" i="20" s="1"/>
  <c r="W75" i="20"/>
  <c r="W82" i="20" s="1"/>
  <c r="V75" i="20"/>
  <c r="V82" i="20" s="1"/>
  <c r="U75" i="20"/>
  <c r="U82" i="20" s="1"/>
  <c r="T75" i="20"/>
  <c r="T82" i="20" s="1"/>
  <c r="S75" i="20"/>
  <c r="R75" i="20"/>
  <c r="Q75" i="20"/>
  <c r="I75" i="20"/>
  <c r="AN9" i="20"/>
  <c r="AM9" i="20"/>
  <c r="AK9" i="20"/>
  <c r="J9" i="20"/>
  <c r="I9" i="20"/>
  <c r="AK8" i="20"/>
  <c r="J8" i="20"/>
  <c r="I8" i="20"/>
  <c r="AK7" i="20"/>
  <c r="J7" i="20"/>
  <c r="I7" i="20"/>
  <c r="U4" i="20"/>
  <c r="Y4" i="20" s="1"/>
  <c r="AC4" i="20" s="1"/>
  <c r="AG4" i="20" s="1"/>
  <c r="AK4" i="20" s="1"/>
  <c r="AO4" i="20" s="1"/>
  <c r="AS4" i="20" s="1"/>
  <c r="AW4" i="20" s="1"/>
  <c r="R4" i="20"/>
  <c r="V4" i="20" s="1"/>
  <c r="Z4" i="20" s="1"/>
  <c r="AD4" i="20" s="1"/>
  <c r="AH4" i="20" s="1"/>
  <c r="AL4" i="20" s="1"/>
  <c r="AP4" i="20" s="1"/>
  <c r="AT4" i="20" s="1"/>
  <c r="AX4" i="20" s="1"/>
  <c r="G4" i="20"/>
  <c r="H4" i="20" s="1"/>
  <c r="I4" i="20" s="1"/>
  <c r="J4" i="20" s="1"/>
  <c r="K4" i="20" s="1"/>
  <c r="L4" i="20" s="1"/>
  <c r="M4" i="20" s="1"/>
  <c r="N4" i="20" s="1"/>
  <c r="F2" i="20"/>
  <c r="G1" i="20"/>
  <c r="AR34" i="21" l="1"/>
  <c r="AR306" i="21" s="1"/>
  <c r="Z83" i="20"/>
  <c r="AA83" i="20"/>
  <c r="X83" i="20"/>
  <c r="AB83" i="20"/>
  <c r="AQ169" i="20"/>
  <c r="AP165" i="20"/>
  <c r="AP163" i="20" s="1"/>
  <c r="Y83" i="20"/>
  <c r="AK163" i="21"/>
  <c r="AK176" i="21"/>
  <c r="J255" i="6"/>
  <c r="J260" i="6" s="1"/>
  <c r="AJ255" i="6"/>
  <c r="AJ260" i="6" s="1"/>
  <c r="AN255" i="6"/>
  <c r="AN260" i="6" s="1"/>
  <c r="AL163" i="21"/>
  <c r="AL176" i="21"/>
  <c r="AK255" i="6"/>
  <c r="AK260" i="6" s="1"/>
  <c r="AD82" i="20"/>
  <c r="AD83" i="20" s="1"/>
  <c r="AD176" i="21"/>
  <c r="AD163" i="21"/>
  <c r="AI176" i="21"/>
  <c r="AI163" i="21"/>
  <c r="AM163" i="21"/>
  <c r="AM176" i="21"/>
  <c r="AP127" i="20"/>
  <c r="AQ127" i="20" s="1"/>
  <c r="AR127" i="20" s="1"/>
  <c r="AS127" i="20" s="1"/>
  <c r="AT127" i="20" s="1"/>
  <c r="AU127" i="20" s="1"/>
  <c r="AV127" i="20" s="1"/>
  <c r="AW127" i="20" s="1"/>
  <c r="AX127" i="20" s="1"/>
  <c r="AY127" i="20" s="1"/>
  <c r="AZ127" i="20" s="1"/>
  <c r="AO54" i="21"/>
  <c r="AL255" i="6"/>
  <c r="AL260" i="6" s="1"/>
  <c r="AF82" i="20"/>
  <c r="AF163" i="21"/>
  <c r="AF176" i="21"/>
  <c r="AC82" i="20"/>
  <c r="AC176" i="21"/>
  <c r="AC163" i="21"/>
  <c r="AH176" i="21"/>
  <c r="AH163" i="21"/>
  <c r="AE82" i="20"/>
  <c r="AE163" i="21"/>
  <c r="AE176" i="21"/>
  <c r="AJ314" i="21"/>
  <c r="AJ176" i="21"/>
  <c r="AJ163" i="21"/>
  <c r="AN314" i="21"/>
  <c r="AO314" i="21" s="1"/>
  <c r="AN176" i="21"/>
  <c r="AN163" i="21"/>
  <c r="I255" i="6"/>
  <c r="I260" i="6" s="1"/>
  <c r="AI255" i="6"/>
  <c r="AI260" i="6" s="1"/>
  <c r="AM255" i="6"/>
  <c r="AM260" i="6" s="1"/>
  <c r="AS319" i="21"/>
  <c r="AW319" i="21" s="1"/>
  <c r="AP319" i="21"/>
  <c r="AP39" i="21"/>
  <c r="AP100" i="21" s="1"/>
  <c r="AX39" i="21"/>
  <c r="AX30" i="21"/>
  <c r="AU39" i="21"/>
  <c r="AV39" i="21"/>
  <c r="AT39" i="21"/>
  <c r="AX147" i="21"/>
  <c r="AS30" i="21"/>
  <c r="AR298" i="21"/>
  <c r="AS11" i="21"/>
  <c r="AS298" i="21" s="1"/>
  <c r="AF355" i="4"/>
  <c r="AG218" i="6"/>
  <c r="AL227" i="6"/>
  <c r="AF356" i="4"/>
  <c r="AG220" i="6"/>
  <c r="AF357" i="4"/>
  <c r="AG226" i="6"/>
  <c r="AL221" i="6"/>
  <c r="AZ149" i="21"/>
  <c r="AZ150" i="21"/>
  <c r="AZ151" i="21"/>
  <c r="AZ144" i="21"/>
  <c r="AZ145" i="21"/>
  <c r="AZ146" i="21"/>
  <c r="AZ147" i="21"/>
  <c r="AZ143" i="21"/>
  <c r="AW150" i="21"/>
  <c r="AW144" i="21"/>
  <c r="AW145" i="21"/>
  <c r="AW146" i="21"/>
  <c r="AW147" i="21"/>
  <c r="AW149" i="21"/>
  <c r="AW143" i="21"/>
  <c r="AX146" i="21"/>
  <c r="AX150" i="21"/>
  <c r="AY149" i="21"/>
  <c r="AY143" i="21"/>
  <c r="AY150" i="21"/>
  <c r="AY151" i="21"/>
  <c r="AY144" i="21"/>
  <c r="AY145" i="21"/>
  <c r="AY146" i="21"/>
  <c r="AY147" i="21"/>
  <c r="AX145" i="21"/>
  <c r="AX143" i="21"/>
  <c r="AX149" i="21"/>
  <c r="AX144" i="21"/>
  <c r="AO42" i="21"/>
  <c r="AR8" i="21"/>
  <c r="AR112" i="21" s="1"/>
  <c r="AR20" i="21"/>
  <c r="AQ116" i="21"/>
  <c r="AQ310" i="21"/>
  <c r="AR41" i="21"/>
  <c r="AT11" i="21"/>
  <c r="AT298" i="21" s="1"/>
  <c r="AO153" i="21"/>
  <c r="AO116" i="20" s="1"/>
  <c r="I2" i="21"/>
  <c r="J1" i="21"/>
  <c r="AR40" i="21"/>
  <c r="AR309" i="21" s="1"/>
  <c r="AQ137" i="21"/>
  <c r="AN52" i="21"/>
  <c r="AN56" i="21" s="1"/>
  <c r="AO48" i="21"/>
  <c r="Q82" i="20"/>
  <c r="U83" i="20" s="1"/>
  <c r="R82" i="20"/>
  <c r="V83" i="20" s="1"/>
  <c r="S82" i="20"/>
  <c r="W83" i="20" s="1"/>
  <c r="AN30" i="20"/>
  <c r="J21" i="20"/>
  <c r="J22" i="20"/>
  <c r="J23" i="20"/>
  <c r="I10" i="20"/>
  <c r="S4" i="20"/>
  <c r="G2" i="20"/>
  <c r="H1" i="20"/>
  <c r="J83" i="20"/>
  <c r="AK190" i="20"/>
  <c r="AL190" i="20"/>
  <c r="I202" i="20"/>
  <c r="I201" i="20"/>
  <c r="AI190" i="20"/>
  <c r="AM190" i="20"/>
  <c r="AH82" i="20"/>
  <c r="J202" i="20"/>
  <c r="J201" i="20"/>
  <c r="AN190" i="20"/>
  <c r="I197" i="20"/>
  <c r="I105" i="20" s="1"/>
  <c r="I249" i="6" s="1"/>
  <c r="J197" i="20"/>
  <c r="J105" i="20" s="1"/>
  <c r="J249" i="6" s="1"/>
  <c r="F366" i="4"/>
  <c r="AS34" i="21" l="1"/>
  <c r="AS306" i="21" s="1"/>
  <c r="AP42" i="21"/>
  <c r="AC83" i="20"/>
  <c r="AG83" i="20"/>
  <c r="AR169" i="20"/>
  <c r="AQ165" i="20"/>
  <c r="AQ163" i="20" s="1"/>
  <c r="AH83" i="20"/>
  <c r="AL83" i="20"/>
  <c r="AE83" i="20"/>
  <c r="AI83" i="20"/>
  <c r="AF83" i="20"/>
  <c r="AJ83" i="20"/>
  <c r="AO176" i="21"/>
  <c r="AQ319" i="21"/>
  <c r="AU319" i="21" s="1"/>
  <c r="AY319" i="21" s="1"/>
  <c r="AT319" i="21"/>
  <c r="AX319" i="21" s="1"/>
  <c r="AR314" i="21"/>
  <c r="AU314" i="21" s="1"/>
  <c r="AX314" i="21" s="1"/>
  <c r="AP314" i="21"/>
  <c r="J262" i="6"/>
  <c r="AP54" i="21"/>
  <c r="AQ54" i="21" s="1"/>
  <c r="AR54" i="21" s="1"/>
  <c r="AS54" i="21" s="1"/>
  <c r="AT54" i="21" s="1"/>
  <c r="AU54" i="21" s="1"/>
  <c r="AV54" i="21" s="1"/>
  <c r="AW54" i="21" s="1"/>
  <c r="AX54" i="21" s="1"/>
  <c r="AY54" i="21" s="1"/>
  <c r="AZ54" i="21" s="1"/>
  <c r="AY39" i="21"/>
  <c r="AY30" i="21"/>
  <c r="AZ30" i="21"/>
  <c r="AZ39" i="21"/>
  <c r="AW39" i="21"/>
  <c r="AR151" i="21"/>
  <c r="AQ39" i="21"/>
  <c r="AQ100" i="21" s="1"/>
  <c r="AK227" i="6"/>
  <c r="AE357" i="4"/>
  <c r="AF226" i="6"/>
  <c r="AK221" i="6"/>
  <c r="AE356" i="4"/>
  <c r="AF220" i="6"/>
  <c r="AE355" i="4"/>
  <c r="AF218" i="6"/>
  <c r="AS8" i="21"/>
  <c r="AS112" i="21" s="1"/>
  <c r="AT34" i="21"/>
  <c r="AR137" i="21"/>
  <c r="AP153" i="21"/>
  <c r="AP116" i="20" s="1"/>
  <c r="AO138" i="21"/>
  <c r="AO106" i="21" s="1"/>
  <c r="AR116" i="21"/>
  <c r="AS20" i="21"/>
  <c r="AP48" i="21"/>
  <c r="AS40" i="21"/>
  <c r="AS309" i="21" s="1"/>
  <c r="K1" i="21"/>
  <c r="J2" i="21"/>
  <c r="J9" i="21" s="1"/>
  <c r="J300" i="21" s="1"/>
  <c r="AU11" i="21"/>
  <c r="AU298" i="21" s="1"/>
  <c r="AR310" i="21"/>
  <c r="AS41" i="21"/>
  <c r="I11" i="20"/>
  <c r="AL7" i="20"/>
  <c r="AI198" i="20"/>
  <c r="AI106" i="20" s="1"/>
  <c r="AI251" i="6" s="1"/>
  <c r="AI186" i="20"/>
  <c r="AK186" i="20"/>
  <c r="T4" i="20"/>
  <c r="X4" i="20" s="1"/>
  <c r="AB4" i="20" s="1"/>
  <c r="AF4" i="20" s="1"/>
  <c r="AJ4" i="20" s="1"/>
  <c r="AN4" i="20" s="1"/>
  <c r="AR4" i="20" s="1"/>
  <c r="AV4" i="20" s="1"/>
  <c r="AZ4" i="20" s="1"/>
  <c r="W4" i="20"/>
  <c r="AA4" i="20" s="1"/>
  <c r="AE4" i="20" s="1"/>
  <c r="AI4" i="20" s="1"/>
  <c r="AM4" i="20" s="1"/>
  <c r="AQ4" i="20" s="1"/>
  <c r="AU4" i="20" s="1"/>
  <c r="AY4" i="20" s="1"/>
  <c r="AL8" i="20"/>
  <c r="AN186" i="20"/>
  <c r="AM186" i="20"/>
  <c r="AL186" i="20"/>
  <c r="AJ190" i="20"/>
  <c r="J10" i="20"/>
  <c r="H2" i="20"/>
  <c r="I1" i="20"/>
  <c r="AZ100" i="21" l="1"/>
  <c r="AY100" i="21"/>
  <c r="AP176" i="21"/>
  <c r="AS176" i="21"/>
  <c r="AW176" i="21" s="1"/>
  <c r="AS169" i="20"/>
  <c r="AR165" i="20"/>
  <c r="AR163" i="20" s="1"/>
  <c r="AS314" i="21"/>
  <c r="AV314" i="21" s="1"/>
  <c r="AY314" i="21" s="1"/>
  <c r="AQ314" i="21"/>
  <c r="AT314" i="21" s="1"/>
  <c r="AW314" i="21" s="1"/>
  <c r="AZ314" i="21" s="1"/>
  <c r="AS151" i="21"/>
  <c r="AR39" i="21"/>
  <c r="AR100" i="21" s="1"/>
  <c r="AJ227" i="6"/>
  <c r="AJ221" i="6"/>
  <c r="AD356" i="4"/>
  <c r="AC356" i="4" s="1"/>
  <c r="AE220" i="6"/>
  <c r="AD357" i="4"/>
  <c r="AC357" i="4" s="1"/>
  <c r="AE226" i="6"/>
  <c r="AD355" i="4"/>
  <c r="AC355" i="4" s="1"/>
  <c r="AE218" i="6"/>
  <c r="J113" i="21"/>
  <c r="J36" i="21"/>
  <c r="J308" i="21" s="1"/>
  <c r="AQ42" i="21"/>
  <c r="AT8" i="21"/>
  <c r="AT112" i="21" s="1"/>
  <c r="AS116" i="21"/>
  <c r="AQ153" i="21"/>
  <c r="AQ116" i="20" s="1"/>
  <c r="AP138" i="21"/>
  <c r="I114" i="21"/>
  <c r="AV11" i="21"/>
  <c r="AV298" i="21" s="1"/>
  <c r="AT20" i="21"/>
  <c r="J50" i="21"/>
  <c r="J54" i="21"/>
  <c r="J41" i="21"/>
  <c r="J310" i="21" s="1"/>
  <c r="J40" i="21"/>
  <c r="J309" i="21" s="1"/>
  <c r="J39" i="21"/>
  <c r="J51" i="21"/>
  <c r="J48" i="21"/>
  <c r="J46" i="21"/>
  <c r="J35" i="21"/>
  <c r="J34" i="21"/>
  <c r="J306" i="21" s="1"/>
  <c r="J31" i="21"/>
  <c r="J30" i="21"/>
  <c r="J29" i="21"/>
  <c r="J13" i="21"/>
  <c r="J12" i="21"/>
  <c r="J299" i="21" s="1"/>
  <c r="J11" i="21"/>
  <c r="J298" i="21" s="1"/>
  <c r="J10" i="21"/>
  <c r="J297" i="21" s="1"/>
  <c r="J8" i="21"/>
  <c r="J112" i="21" s="1"/>
  <c r="J7" i="21"/>
  <c r="J111" i="21" s="1"/>
  <c r="J49" i="21"/>
  <c r="J23" i="21"/>
  <c r="J301" i="21" s="1"/>
  <c r="J19" i="21"/>
  <c r="J21" i="21"/>
  <c r="J302" i="21" s="1"/>
  <c r="J20" i="21"/>
  <c r="J16" i="21"/>
  <c r="J22" i="21"/>
  <c r="J18" i="21"/>
  <c r="J17" i="21"/>
  <c r="J171" i="21" s="1"/>
  <c r="J167" i="21" s="1"/>
  <c r="AS310" i="21"/>
  <c r="AT41" i="21"/>
  <c r="L1" i="21"/>
  <c r="K2" i="21"/>
  <c r="AT40" i="21"/>
  <c r="AT309" i="21" s="1"/>
  <c r="AQ48" i="21"/>
  <c r="AS137" i="21"/>
  <c r="AT306" i="21"/>
  <c r="AU34" i="21"/>
  <c r="I14" i="20"/>
  <c r="I16" i="20"/>
  <c r="I17" i="20"/>
  <c r="I15" i="20"/>
  <c r="I109" i="20"/>
  <c r="I2" i="20"/>
  <c r="J1" i="20"/>
  <c r="J24" i="20"/>
  <c r="J11" i="20"/>
  <c r="AJ202" i="20"/>
  <c r="AJ198" i="20"/>
  <c r="AJ106" i="20" s="1"/>
  <c r="AJ251" i="6" s="1"/>
  <c r="AJ186" i="20"/>
  <c r="AL201" i="20"/>
  <c r="AI8" i="20"/>
  <c r="AL29" i="20"/>
  <c r="AI9" i="20"/>
  <c r="AN201" i="20"/>
  <c r="AM8" i="20"/>
  <c r="AK201" i="20"/>
  <c r="AL28" i="20"/>
  <c r="AM201" i="20"/>
  <c r="AJ9" i="20"/>
  <c r="AK10" i="20"/>
  <c r="AI201" i="20"/>
  <c r="AI197" i="20"/>
  <c r="AI105" i="20" s="1"/>
  <c r="AS145" i="6"/>
  <c r="AW145" i="6" s="1"/>
  <c r="AW191" i="6"/>
  <c r="AR180" i="6"/>
  <c r="AP167" i="6"/>
  <c r="AQ167" i="6"/>
  <c r="AR167" i="6"/>
  <c r="AS167" i="6"/>
  <c r="AT167" i="6"/>
  <c r="AU167" i="6"/>
  <c r="AV167" i="6"/>
  <c r="AW167" i="6"/>
  <c r="AX167" i="6"/>
  <c r="AY167" i="6"/>
  <c r="AZ167" i="6"/>
  <c r="AX180" i="6"/>
  <c r="AT169" i="20" l="1"/>
  <c r="AS165" i="20"/>
  <c r="AS163" i="20" s="1"/>
  <c r="AQ176" i="21"/>
  <c r="AT176" i="21"/>
  <c r="AX176" i="21" s="1"/>
  <c r="AI109" i="20"/>
  <c r="AI249" i="6"/>
  <c r="J33" i="21"/>
  <c r="J305" i="21" s="1"/>
  <c r="AT151" i="21"/>
  <c r="AS39" i="21"/>
  <c r="AS100" i="21" s="1"/>
  <c r="L274" i="21"/>
  <c r="L258" i="21"/>
  <c r="L257" i="21"/>
  <c r="AI221" i="6"/>
  <c r="J175" i="21"/>
  <c r="I171" i="21"/>
  <c r="I167" i="21" s="1"/>
  <c r="AC167" i="21" s="1"/>
  <c r="AI227" i="6"/>
  <c r="AD226" i="6"/>
  <c r="AD218" i="6"/>
  <c r="AD220" i="6"/>
  <c r="L147" i="21"/>
  <c r="L143" i="21"/>
  <c r="L144" i="21"/>
  <c r="L146" i="21"/>
  <c r="L145" i="21"/>
  <c r="K9" i="21"/>
  <c r="K300" i="21" s="1"/>
  <c r="K135" i="21"/>
  <c r="K131" i="21"/>
  <c r="K130" i="21"/>
  <c r="K132" i="21"/>
  <c r="K137" i="21"/>
  <c r="K133" i="21"/>
  <c r="K136" i="21"/>
  <c r="J307" i="21"/>
  <c r="K36" i="21"/>
  <c r="K308" i="21" s="1"/>
  <c r="K319" i="21" s="1"/>
  <c r="AU8" i="21"/>
  <c r="AU112" i="21" s="1"/>
  <c r="AR153" i="21"/>
  <c r="AQ138" i="21"/>
  <c r="L170" i="21"/>
  <c r="L160" i="21"/>
  <c r="L150" i="21"/>
  <c r="L151" i="21"/>
  <c r="M1" i="21"/>
  <c r="L2" i="21"/>
  <c r="AT310" i="21"/>
  <c r="AU41" i="21"/>
  <c r="AU20" i="21"/>
  <c r="AW11" i="21"/>
  <c r="AW298" i="21" s="1"/>
  <c r="AT116" i="21"/>
  <c r="J14" i="21"/>
  <c r="J42" i="21"/>
  <c r="J161" i="21"/>
  <c r="J157" i="21" s="1"/>
  <c r="J24" i="21"/>
  <c r="AU306" i="21"/>
  <c r="AV34" i="21"/>
  <c r="AT137" i="21"/>
  <c r="AR48" i="21"/>
  <c r="AU40" i="21"/>
  <c r="AU309" i="21" s="1"/>
  <c r="K129" i="21"/>
  <c r="K54" i="21"/>
  <c r="K41" i="21"/>
  <c r="K310" i="21" s="1"/>
  <c r="K40" i="21"/>
  <c r="K309" i="21" s="1"/>
  <c r="K39" i="21"/>
  <c r="K51" i="21"/>
  <c r="K48" i="21"/>
  <c r="K46" i="21"/>
  <c r="K49" i="21"/>
  <c r="K31" i="21"/>
  <c r="K30" i="21"/>
  <c r="K29" i="21"/>
  <c r="K13" i="21"/>
  <c r="K12" i="21"/>
  <c r="K299" i="21" s="1"/>
  <c r="K11" i="21"/>
  <c r="K298" i="21" s="1"/>
  <c r="K10" i="21"/>
  <c r="K297" i="21" s="1"/>
  <c r="K8" i="21"/>
  <c r="K112" i="21" s="1"/>
  <c r="K7" i="21"/>
  <c r="K34" i="21"/>
  <c r="K306" i="21" s="1"/>
  <c r="K50" i="21"/>
  <c r="K35" i="21"/>
  <c r="K307" i="21" s="1"/>
  <c r="K23" i="21"/>
  <c r="K301" i="21" s="1"/>
  <c r="K22" i="21"/>
  <c r="K21" i="21"/>
  <c r="K302" i="21" s="1"/>
  <c r="K20" i="21"/>
  <c r="K19" i="21"/>
  <c r="K18" i="21"/>
  <c r="K17" i="21"/>
  <c r="K171" i="21" s="1"/>
  <c r="K16" i="21"/>
  <c r="K161" i="21" s="1"/>
  <c r="K167" i="21"/>
  <c r="J52" i="21"/>
  <c r="J56" i="21" s="1"/>
  <c r="I116" i="21"/>
  <c r="I18" i="20"/>
  <c r="AK11" i="20"/>
  <c r="J25" i="20"/>
  <c r="J16" i="20"/>
  <c r="J15" i="20"/>
  <c r="J14" i="20"/>
  <c r="AJ30" i="20"/>
  <c r="AN23" i="20"/>
  <c r="AK30" i="20"/>
  <c r="AI7" i="20"/>
  <c r="AI10" i="20"/>
  <c r="AM29" i="20"/>
  <c r="AM22" i="20"/>
  <c r="AJ201" i="20"/>
  <c r="AJ197" i="20"/>
  <c r="AJ105" i="20" s="1"/>
  <c r="J17" i="20"/>
  <c r="AJ8" i="20"/>
  <c r="AN8" i="20"/>
  <c r="AM23" i="20"/>
  <c r="J109" i="20"/>
  <c r="K1" i="20"/>
  <c r="K108" i="20" s="1"/>
  <c r="J2" i="20"/>
  <c r="AW32" i="5"/>
  <c r="AX32" i="5"/>
  <c r="AY32" i="5"/>
  <c r="AZ32" i="5"/>
  <c r="AW33" i="5"/>
  <c r="AX33" i="5"/>
  <c r="AY33" i="5"/>
  <c r="AZ33" i="5"/>
  <c r="AW143" i="5"/>
  <c r="AW31" i="5" s="1"/>
  <c r="AX143" i="5"/>
  <c r="AX31" i="5" s="1"/>
  <c r="AY143" i="5"/>
  <c r="AY31" i="5" s="1"/>
  <c r="AZ143" i="5"/>
  <c r="AZ31" i="5" s="1"/>
  <c r="AW155" i="5"/>
  <c r="AX155" i="5"/>
  <c r="AY155" i="5"/>
  <c r="AZ155" i="5"/>
  <c r="AW157" i="5"/>
  <c r="AX157" i="5"/>
  <c r="AY157" i="5"/>
  <c r="AZ157" i="5"/>
  <c r="AW158" i="5"/>
  <c r="AX158" i="5"/>
  <c r="AY158" i="5"/>
  <c r="AZ158" i="5"/>
  <c r="AZ255" i="5"/>
  <c r="AV4" i="8"/>
  <c r="AW4" i="8"/>
  <c r="AX4" i="8"/>
  <c r="AY4" i="8"/>
  <c r="AY10" i="8"/>
  <c r="AV19" i="8"/>
  <c r="AW19" i="8"/>
  <c r="AX19" i="8"/>
  <c r="AY19" i="8"/>
  <c r="AV20" i="8"/>
  <c r="AW20" i="8"/>
  <c r="AX20" i="8"/>
  <c r="AY20" i="8"/>
  <c r="AV21" i="8"/>
  <c r="AW21" i="8"/>
  <c r="AX21" i="8"/>
  <c r="AY21" i="8"/>
  <c r="AV24" i="8"/>
  <c r="AW24" i="8"/>
  <c r="AX24" i="8"/>
  <c r="AY24" i="8"/>
  <c r="AV25" i="8"/>
  <c r="AW25" i="8"/>
  <c r="AX25" i="8"/>
  <c r="AY25" i="8"/>
  <c r="AV26" i="8"/>
  <c r="AW26" i="8"/>
  <c r="AX26" i="8"/>
  <c r="AY26" i="8"/>
  <c r="AV27" i="8"/>
  <c r="AW27" i="8"/>
  <c r="AX27" i="8"/>
  <c r="AY27" i="8"/>
  <c r="AV31" i="8"/>
  <c r="AW31" i="8"/>
  <c r="AX31" i="8"/>
  <c r="AY31" i="8"/>
  <c r="AV32" i="8"/>
  <c r="AW32" i="8"/>
  <c r="AX32" i="8"/>
  <c r="AY32" i="8"/>
  <c r="AV33" i="8"/>
  <c r="AW33" i="8"/>
  <c r="AX33" i="8"/>
  <c r="AY33" i="8"/>
  <c r="AV36" i="8"/>
  <c r="AW36" i="8"/>
  <c r="AX36" i="8"/>
  <c r="AY36" i="8"/>
  <c r="AV37" i="8"/>
  <c r="AW37" i="8"/>
  <c r="AX37" i="8"/>
  <c r="AY37" i="8"/>
  <c r="AV38" i="8"/>
  <c r="AW38" i="8"/>
  <c r="AX38" i="8"/>
  <c r="AY38" i="8"/>
  <c r="AV39" i="8"/>
  <c r="AW39" i="8"/>
  <c r="AX39" i="8"/>
  <c r="AY39" i="8"/>
  <c r="AW28" i="6"/>
  <c r="AX28" i="6"/>
  <c r="AY28" i="6"/>
  <c r="AZ28" i="6"/>
  <c r="AW180" i="6"/>
  <c r="AY180" i="6"/>
  <c r="AZ180" i="6"/>
  <c r="AX191" i="6"/>
  <c r="AY191" i="6"/>
  <c r="AZ191" i="6"/>
  <c r="BB36" i="6"/>
  <c r="AZ303" i="4" l="1"/>
  <c r="AZ329" i="4" s="1"/>
  <c r="AY34" i="8"/>
  <c r="AK17" i="20"/>
  <c r="AR176" i="21"/>
  <c r="AV176" i="21" s="1"/>
  <c r="AZ176" i="21" s="1"/>
  <c r="AU176" i="21"/>
  <c r="AY176" i="21" s="1"/>
  <c r="AU169" i="20"/>
  <c r="AT165" i="20"/>
  <c r="AT163" i="20" s="1"/>
  <c r="AJ109" i="20"/>
  <c r="AJ249" i="6"/>
  <c r="K314" i="21"/>
  <c r="J311" i="21"/>
  <c r="K318" i="21"/>
  <c r="J37" i="21"/>
  <c r="J44" i="21" s="1"/>
  <c r="J58" i="21" s="1"/>
  <c r="AJ37" i="21"/>
  <c r="AJ44" i="21" s="1"/>
  <c r="AJ58" i="21" s="1"/>
  <c r="AJ59" i="21" s="1"/>
  <c r="K33" i="21"/>
  <c r="K305" i="21" s="1"/>
  <c r="K311" i="21" s="1"/>
  <c r="AU151" i="21"/>
  <c r="AT30" i="21"/>
  <c r="AT100" i="21" s="1"/>
  <c r="L153" i="21"/>
  <c r="AR116" i="20"/>
  <c r="M274" i="21"/>
  <c r="M258" i="21"/>
  <c r="L215" i="21"/>
  <c r="L212" i="21"/>
  <c r="AH221" i="6"/>
  <c r="AH227" i="6"/>
  <c r="AC171" i="21"/>
  <c r="AD167" i="21" s="1"/>
  <c r="AC175" i="21"/>
  <c r="I161" i="21"/>
  <c r="I157" i="21" s="1"/>
  <c r="AC157" i="21" s="1"/>
  <c r="AB356" i="4"/>
  <c r="AC220" i="6"/>
  <c r="AB357" i="4"/>
  <c r="AC226" i="6"/>
  <c r="AB355" i="4"/>
  <c r="AC218" i="6"/>
  <c r="K113" i="21"/>
  <c r="M146" i="21"/>
  <c r="M143" i="21"/>
  <c r="M147" i="21"/>
  <c r="M145" i="21"/>
  <c r="M144" i="21"/>
  <c r="L9" i="21"/>
  <c r="L136" i="21"/>
  <c r="L132" i="21"/>
  <c r="L131" i="21"/>
  <c r="L133" i="21"/>
  <c r="L130" i="21"/>
  <c r="L135" i="21"/>
  <c r="L137" i="21"/>
  <c r="J26" i="21"/>
  <c r="AV8" i="21"/>
  <c r="AV112" i="21" s="1"/>
  <c r="K157" i="21"/>
  <c r="J114" i="21"/>
  <c r="K110" i="21"/>
  <c r="AX11" i="21"/>
  <c r="AX298" i="21" s="1"/>
  <c r="M170" i="21"/>
  <c r="M160" i="21"/>
  <c r="M2" i="21"/>
  <c r="N1" i="21"/>
  <c r="N274" i="21" s="1"/>
  <c r="K42" i="21"/>
  <c r="AS48" i="21"/>
  <c r="AV306" i="21"/>
  <c r="AW34" i="21"/>
  <c r="AU310" i="21"/>
  <c r="AV41" i="21"/>
  <c r="K111" i="21"/>
  <c r="K14" i="21"/>
  <c r="K52" i="21"/>
  <c r="K56" i="21" s="1"/>
  <c r="K138" i="21"/>
  <c r="AV40" i="21"/>
  <c r="AV309" i="21" s="1"/>
  <c r="J164" i="21"/>
  <c r="K175" i="21"/>
  <c r="AV20" i="21"/>
  <c r="K24" i="21"/>
  <c r="AU137" i="21"/>
  <c r="AU116" i="21"/>
  <c r="L129" i="21"/>
  <c r="L51" i="21"/>
  <c r="L48" i="21"/>
  <c r="L46" i="21"/>
  <c r="L41" i="21"/>
  <c r="L310" i="21" s="1"/>
  <c r="L40" i="21"/>
  <c r="L309" i="21" s="1"/>
  <c r="L20" i="21"/>
  <c r="L19" i="21"/>
  <c r="L18" i="21"/>
  <c r="L30" i="21"/>
  <c r="L34" i="21"/>
  <c r="L306" i="21" s="1"/>
  <c r="L39" i="21"/>
  <c r="L11" i="21"/>
  <c r="L298" i="21" s="1"/>
  <c r="L8" i="21"/>
  <c r="L112" i="21" s="1"/>
  <c r="AM7" i="20"/>
  <c r="AM10" i="20"/>
  <c r="AI11" i="20"/>
  <c r="AJ7" i="20"/>
  <c r="AJ10" i="20"/>
  <c r="J18" i="20"/>
  <c r="AJ29" i="20"/>
  <c r="AK29" i="20"/>
  <c r="K8" i="20"/>
  <c r="K2" i="20"/>
  <c r="L1" i="20"/>
  <c r="AK14" i="20"/>
  <c r="AK15" i="20"/>
  <c r="AK16" i="20"/>
  <c r="AN29" i="20"/>
  <c r="AN22" i="20"/>
  <c r="AY22" i="8"/>
  <c r="AS255" i="5"/>
  <c r="AW10" i="8"/>
  <c r="AV10" i="8"/>
  <c r="G257" i="4"/>
  <c r="H257" i="4"/>
  <c r="I257" i="4"/>
  <c r="J257" i="4"/>
  <c r="F257" i="4"/>
  <c r="AG7" i="4"/>
  <c r="AG8" i="4" s="1"/>
  <c r="AK7" i="4"/>
  <c r="AG10" i="4"/>
  <c r="AK10" i="4"/>
  <c r="AG11" i="4"/>
  <c r="AK11" i="4"/>
  <c r="H43" i="4"/>
  <c r="I43" i="4"/>
  <c r="I64" i="4" s="1"/>
  <c r="H44" i="4"/>
  <c r="H65" i="4" s="1"/>
  <c r="I44" i="4"/>
  <c r="H45" i="4"/>
  <c r="H46" i="4"/>
  <c r="H67" i="4" s="1"/>
  <c r="I46" i="4"/>
  <c r="I67" i="4" s="1"/>
  <c r="G46" i="4"/>
  <c r="G45" i="4"/>
  <c r="G44" i="4"/>
  <c r="G43" i="4"/>
  <c r="G10" i="4"/>
  <c r="H10" i="4"/>
  <c r="H28" i="4" s="1"/>
  <c r="I10" i="4"/>
  <c r="I28" i="4" s="1"/>
  <c r="J10" i="4"/>
  <c r="J28" i="4" s="1"/>
  <c r="G11" i="4"/>
  <c r="H11" i="4"/>
  <c r="H29" i="4" s="1"/>
  <c r="I11" i="4"/>
  <c r="I29" i="4" s="1"/>
  <c r="J11" i="4"/>
  <c r="J29" i="4" s="1"/>
  <c r="H7" i="4"/>
  <c r="I7" i="4"/>
  <c r="I25" i="4" s="1"/>
  <c r="J7" i="4"/>
  <c r="J25" i="4" s="1"/>
  <c r="G7" i="4"/>
  <c r="H66" i="4" l="1"/>
  <c r="H64" i="4"/>
  <c r="H25" i="4"/>
  <c r="I65" i="4"/>
  <c r="I8" i="4"/>
  <c r="G8" i="4"/>
  <c r="H8" i="4"/>
  <c r="AI14" i="20"/>
  <c r="AV169" i="20"/>
  <c r="AU165" i="20"/>
  <c r="AU163" i="20" s="1"/>
  <c r="K37" i="21"/>
  <c r="K44" i="21" s="1"/>
  <c r="K58" i="21" s="1"/>
  <c r="AN37" i="21"/>
  <c r="AN44" i="21" s="1"/>
  <c r="AN58" i="21" s="1"/>
  <c r="AN59" i="21" s="1"/>
  <c r="AV151" i="21"/>
  <c r="AU30" i="21"/>
  <c r="AU100" i="21" s="1"/>
  <c r="L113" i="21"/>
  <c r="L300" i="21"/>
  <c r="AG227" i="6"/>
  <c r="AD171" i="21"/>
  <c r="AE167" i="21" s="1"/>
  <c r="AD175" i="21"/>
  <c r="AC161" i="21"/>
  <c r="AD157" i="21" s="1"/>
  <c r="AC164" i="21"/>
  <c r="K160" i="21"/>
  <c r="AK160" i="21" s="1"/>
  <c r="AA357" i="4"/>
  <c r="AB226" i="6"/>
  <c r="AF227" i="6" s="1"/>
  <c r="AG221" i="6"/>
  <c r="AA355" i="4"/>
  <c r="AB218" i="6"/>
  <c r="AA356" i="4"/>
  <c r="AB220" i="6"/>
  <c r="AF221" i="6" s="1"/>
  <c r="AK28" i="4"/>
  <c r="G50" i="4"/>
  <c r="AK25" i="4"/>
  <c r="N147" i="21"/>
  <c r="N143" i="21"/>
  <c r="N146" i="21"/>
  <c r="N145" i="21"/>
  <c r="N144" i="21"/>
  <c r="M9" i="21"/>
  <c r="M133" i="21"/>
  <c r="M136" i="21"/>
  <c r="M132" i="21"/>
  <c r="M135" i="21"/>
  <c r="M131" i="21"/>
  <c r="M130" i="21"/>
  <c r="K312" i="21"/>
  <c r="J59" i="21"/>
  <c r="K106" i="21"/>
  <c r="AW8" i="21"/>
  <c r="AW112" i="21" s="1"/>
  <c r="K26" i="21"/>
  <c r="L157" i="21"/>
  <c r="K164" i="21"/>
  <c r="AV310" i="21"/>
  <c r="AW41" i="21"/>
  <c r="N160" i="21"/>
  <c r="N170" i="21"/>
  <c r="N2" i="21"/>
  <c r="J116" i="21"/>
  <c r="AW40" i="21"/>
  <c r="AW309" i="21" s="1"/>
  <c r="K114" i="21"/>
  <c r="K116" i="21" s="1"/>
  <c r="L110" i="21"/>
  <c r="AY11" i="21"/>
  <c r="AY298" i="21" s="1"/>
  <c r="K170" i="21"/>
  <c r="AK170" i="21" s="1"/>
  <c r="AV116" i="21"/>
  <c r="AV137" i="21"/>
  <c r="AV30" i="21" s="1"/>
  <c r="M150" i="21"/>
  <c r="AW20" i="21"/>
  <c r="AW306" i="21"/>
  <c r="AX34" i="21"/>
  <c r="AT48" i="21"/>
  <c r="M129" i="21"/>
  <c r="M41" i="21"/>
  <c r="M310" i="21" s="1"/>
  <c r="M40" i="21"/>
  <c r="M309" i="21" s="1"/>
  <c r="M39" i="21"/>
  <c r="M20" i="21"/>
  <c r="M19" i="21"/>
  <c r="M18" i="21"/>
  <c r="M34" i="21"/>
  <c r="M306" i="21" s="1"/>
  <c r="M46" i="21"/>
  <c r="M51" i="21"/>
  <c r="M11" i="21"/>
  <c r="M298" i="21" s="1"/>
  <c r="M8" i="21"/>
  <c r="M112" i="21" s="1"/>
  <c r="AI17" i="20"/>
  <c r="AK29" i="4"/>
  <c r="AK18" i="20"/>
  <c r="AJ28" i="20"/>
  <c r="AJ11" i="20"/>
  <c r="AK28" i="20"/>
  <c r="K175" i="20"/>
  <c r="K255" i="6" s="1"/>
  <c r="K260" i="6" s="1"/>
  <c r="K262" i="6" s="1"/>
  <c r="AI16" i="20"/>
  <c r="AI15" i="20"/>
  <c r="AM24" i="20"/>
  <c r="AL9" i="20"/>
  <c r="AN7" i="20"/>
  <c r="L118" i="20"/>
  <c r="L127" i="20"/>
  <c r="L117" i="20"/>
  <c r="L92" i="20"/>
  <c r="M1" i="20"/>
  <c r="L2" i="20"/>
  <c r="AM21" i="20"/>
  <c r="AM28" i="20"/>
  <c r="AM11" i="20"/>
  <c r="AT168" i="20"/>
  <c r="K9" i="20"/>
  <c r="K22" i="20"/>
  <c r="K198" i="20"/>
  <c r="AJ31" i="20"/>
  <c r="AK31" i="20"/>
  <c r="AW34" i="8"/>
  <c r="AX303" i="4" s="1"/>
  <c r="AX329" i="4" s="1"/>
  <c r="AW22" i="8"/>
  <c r="AV34" i="8"/>
  <c r="AW303" i="4"/>
  <c r="AW329" i="4" s="1"/>
  <c r="AV22" i="8"/>
  <c r="G51" i="4"/>
  <c r="I50" i="4"/>
  <c r="H50" i="4"/>
  <c r="I51" i="4"/>
  <c r="G47" i="4"/>
  <c r="G58" i="4" s="1"/>
  <c r="H47" i="4"/>
  <c r="H68" i="4" s="1"/>
  <c r="H52" i="4"/>
  <c r="H51" i="4"/>
  <c r="G52" i="4"/>
  <c r="AN232" i="5"/>
  <c r="AN233" i="5"/>
  <c r="AN234" i="5"/>
  <c r="AN235" i="5"/>
  <c r="AN237" i="5"/>
  <c r="AN238" i="5"/>
  <c r="AN239" i="5"/>
  <c r="AN240" i="5"/>
  <c r="AN241" i="5"/>
  <c r="AN244" i="5"/>
  <c r="AN245" i="5"/>
  <c r="AN247" i="5"/>
  <c r="AN248" i="5"/>
  <c r="AN249" i="5"/>
  <c r="AN250" i="5"/>
  <c r="AM8" i="8"/>
  <c r="AM20" i="8" s="1"/>
  <c r="AM32" i="8" s="1"/>
  <c r="AM10" i="8"/>
  <c r="AM22" i="8" s="1"/>
  <c r="AM34" i="8" s="1"/>
  <c r="AN203" i="5"/>
  <c r="AN193" i="5"/>
  <c r="AN165" i="5"/>
  <c r="AN160" i="5" s="1"/>
  <c r="AN153" i="5"/>
  <c r="AN146" i="5"/>
  <c r="AN147" i="5" s="1"/>
  <c r="AN87" i="4"/>
  <c r="AN11" i="4" s="1"/>
  <c r="AN214" i="6"/>
  <c r="AN191" i="6"/>
  <c r="AM14" i="8" s="1"/>
  <c r="AM26" i="8" s="1"/>
  <c r="AM38" i="8" s="1"/>
  <c r="AN190" i="6"/>
  <c r="K11" i="6"/>
  <c r="AN141" i="6"/>
  <c r="AN265" i="6"/>
  <c r="AN271" i="6"/>
  <c r="AN120" i="6" s="1"/>
  <c r="AN273" i="6"/>
  <c r="AN275" i="6"/>
  <c r="AN126" i="6" s="1"/>
  <c r="AN279" i="6"/>
  <c r="AN12" i="6"/>
  <c r="AN10" i="6"/>
  <c r="AN9" i="6"/>
  <c r="AM7" i="8" s="1"/>
  <c r="AM19" i="8" s="1"/>
  <c r="AM31" i="8" s="1"/>
  <c r="AN216" i="5"/>
  <c r="AN199" i="5"/>
  <c r="AN132" i="5"/>
  <c r="AN135" i="5" s="1"/>
  <c r="AN133" i="5"/>
  <c r="AN134" i="5"/>
  <c r="AN136" i="5"/>
  <c r="AN38" i="5"/>
  <c r="AN246" i="5" s="1"/>
  <c r="AN35" i="5"/>
  <c r="AN243" i="5" s="1"/>
  <c r="AN260" i="4"/>
  <c r="AN261" i="4"/>
  <c r="AN262" i="4"/>
  <c r="AN82" i="4"/>
  <c r="AN118" i="4"/>
  <c r="AN119" i="4"/>
  <c r="AN128" i="4"/>
  <c r="AN268" i="4"/>
  <c r="H26" i="4" l="1"/>
  <c r="I26" i="4"/>
  <c r="AN285" i="6"/>
  <c r="AN136" i="6" s="1"/>
  <c r="AO198" i="4"/>
  <c r="AN148" i="5"/>
  <c r="AN149" i="5" s="1"/>
  <c r="M30" i="21"/>
  <c r="AV100" i="21"/>
  <c r="AM14" i="20"/>
  <c r="AJ14" i="20"/>
  <c r="AW169" i="20"/>
  <c r="AV165" i="20"/>
  <c r="AV163" i="20" s="1"/>
  <c r="M113" i="21"/>
  <c r="M300" i="21"/>
  <c r="AN254" i="6"/>
  <c r="AN258" i="6"/>
  <c r="AO258" i="6" s="1"/>
  <c r="AP258" i="6" s="1"/>
  <c r="AQ258" i="6" s="1"/>
  <c r="AR258" i="6" s="1"/>
  <c r="AS258" i="6" s="1"/>
  <c r="AT258" i="6" s="1"/>
  <c r="AU258" i="6" s="1"/>
  <c r="AV258" i="6" s="1"/>
  <c r="AW258" i="6" s="1"/>
  <c r="AX258" i="6" s="1"/>
  <c r="AY258" i="6" s="1"/>
  <c r="AZ258" i="6" s="1"/>
  <c r="AN256" i="6"/>
  <c r="AN261" i="6"/>
  <c r="AN216" i="6"/>
  <c r="AN232" i="6"/>
  <c r="AN231" i="6"/>
  <c r="AN233" i="6"/>
  <c r="AE171" i="21"/>
  <c r="AF167" i="21" s="1"/>
  <c r="AE175" i="21"/>
  <c r="AL170" i="21"/>
  <c r="AM170" i="21" s="1"/>
  <c r="AN170" i="21" s="1"/>
  <c r="AD164" i="21"/>
  <c r="AD161" i="21"/>
  <c r="AE157" i="21" s="1"/>
  <c r="AL160" i="21"/>
  <c r="AM160" i="21" s="1"/>
  <c r="AN160" i="21" s="1"/>
  <c r="AN237" i="6"/>
  <c r="AN92" i="20" s="1"/>
  <c r="Z356" i="4"/>
  <c r="AA220" i="6"/>
  <c r="AE221" i="6" s="1"/>
  <c r="Z355" i="4"/>
  <c r="AA218" i="6"/>
  <c r="Z357" i="4"/>
  <c r="AA226" i="6"/>
  <c r="AE227" i="6" s="1"/>
  <c r="AN200" i="5"/>
  <c r="M137" i="21"/>
  <c r="AW151" i="21"/>
  <c r="N9" i="21"/>
  <c r="N130" i="21"/>
  <c r="N133" i="21"/>
  <c r="N136" i="21"/>
  <c r="N135" i="21"/>
  <c r="N132" i="21"/>
  <c r="N137" i="21"/>
  <c r="N131" i="21"/>
  <c r="AN150" i="5"/>
  <c r="AN157" i="5"/>
  <c r="AN161" i="5"/>
  <c r="AN158" i="5"/>
  <c r="AN162" i="5"/>
  <c r="AN159" i="5"/>
  <c r="AN156" i="5"/>
  <c r="AX8" i="21"/>
  <c r="AX112" i="21" s="1"/>
  <c r="K59" i="21"/>
  <c r="AW137" i="21"/>
  <c r="AX40" i="21"/>
  <c r="AX309" i="21" s="1"/>
  <c r="AW310" i="21"/>
  <c r="AX41" i="21"/>
  <c r="AU48" i="21"/>
  <c r="AX20" i="21"/>
  <c r="AW116" i="21"/>
  <c r="AX306" i="21"/>
  <c r="AY34" i="21"/>
  <c r="AZ11" i="21"/>
  <c r="AZ298" i="21" s="1"/>
  <c r="M151" i="21"/>
  <c r="N129" i="21"/>
  <c r="N51" i="21"/>
  <c r="N46" i="21"/>
  <c r="N29" i="21"/>
  <c r="N18" i="21"/>
  <c r="N19" i="21"/>
  <c r="AI18" i="20"/>
  <c r="AJ17" i="20"/>
  <c r="AN205" i="5"/>
  <c r="AN267" i="6"/>
  <c r="AN89" i="4"/>
  <c r="AN280" i="6" s="1"/>
  <c r="K197" i="20"/>
  <c r="K23" i="20"/>
  <c r="AL10" i="20"/>
  <c r="AL11" i="20" s="1"/>
  <c r="K10" i="20"/>
  <c r="M127" i="20"/>
  <c r="M117" i="20"/>
  <c r="M118" i="20"/>
  <c r="M92" i="20"/>
  <c r="M2" i="20"/>
  <c r="N1" i="20"/>
  <c r="AL30" i="20"/>
  <c r="AM30" i="20"/>
  <c r="AN10" i="20"/>
  <c r="AN11" i="20" s="1"/>
  <c r="AJ32" i="20"/>
  <c r="AJ16" i="20"/>
  <c r="AK32" i="20"/>
  <c r="AJ15" i="20"/>
  <c r="AU168" i="20"/>
  <c r="AM25" i="20"/>
  <c r="AM16" i="20"/>
  <c r="AM15" i="20"/>
  <c r="K7" i="20"/>
  <c r="AN21" i="20"/>
  <c r="AN28" i="20"/>
  <c r="AM17" i="20"/>
  <c r="H57" i="4"/>
  <c r="AZ261" i="5"/>
  <c r="AN144" i="6"/>
  <c r="AN145" i="6" s="1"/>
  <c r="H61" i="4"/>
  <c r="H58" i="4"/>
  <c r="H59" i="4"/>
  <c r="G61" i="4"/>
  <c r="G60" i="4"/>
  <c r="G57" i="4"/>
  <c r="G59" i="4"/>
  <c r="H60" i="4"/>
  <c r="AN142" i="6"/>
  <c r="AN166" i="5"/>
  <c r="AN269" i="6" l="1"/>
  <c r="AN100" i="4" s="1"/>
  <c r="AN116" i="6"/>
  <c r="AM32" i="20"/>
  <c r="AX169" i="20"/>
  <c r="AW165" i="20"/>
  <c r="AW163" i="20" s="1"/>
  <c r="AX151" i="21"/>
  <c r="AW30" i="21"/>
  <c r="N113" i="21"/>
  <c r="N300" i="21"/>
  <c r="AF171" i="21"/>
  <c r="AG167" i="21" s="1"/>
  <c r="AF175" i="21"/>
  <c r="AE161" i="21"/>
  <c r="AF157" i="21" s="1"/>
  <c r="AE164" i="21"/>
  <c r="Y357" i="4"/>
  <c r="Y226" i="6" s="1"/>
  <c r="Z226" i="6"/>
  <c r="AD227" i="6" s="1"/>
  <c r="Y356" i="4"/>
  <c r="Y220" i="6" s="1"/>
  <c r="Z220" i="6"/>
  <c r="AD221" i="6" s="1"/>
  <c r="Y355" i="4"/>
  <c r="Y218" i="6" s="1"/>
  <c r="Z218" i="6"/>
  <c r="AN278" i="6"/>
  <c r="AN266" i="6"/>
  <c r="AN276" i="6"/>
  <c r="N11" i="21"/>
  <c r="N298" i="21" s="1"/>
  <c r="AY8" i="21"/>
  <c r="AY112" i="21" s="1"/>
  <c r="AY306" i="21"/>
  <c r="AZ34" i="21"/>
  <c r="AV48" i="21"/>
  <c r="AY40" i="21"/>
  <c r="AY309" i="21" s="1"/>
  <c r="AX116" i="21"/>
  <c r="AY20" i="21"/>
  <c r="AX310" i="21"/>
  <c r="AY41" i="21"/>
  <c r="AM18" i="20"/>
  <c r="AJ18" i="20"/>
  <c r="AN274" i="6"/>
  <c r="AN99" i="4"/>
  <c r="AN286" i="6"/>
  <c r="AV168" i="20"/>
  <c r="AN32" i="20"/>
  <c r="AN25" i="20"/>
  <c r="AN16" i="20"/>
  <c r="AN15" i="20"/>
  <c r="N127" i="20"/>
  <c r="N117" i="20"/>
  <c r="N118" i="20"/>
  <c r="N92" i="20"/>
  <c r="N2" i="20"/>
  <c r="K11" i="20"/>
  <c r="K21" i="20"/>
  <c r="AL32" i="20"/>
  <c r="AL15" i="20"/>
  <c r="AL14" i="20"/>
  <c r="K24" i="20"/>
  <c r="AL17" i="20"/>
  <c r="AL31" i="20"/>
  <c r="AM31" i="20"/>
  <c r="AN14" i="20"/>
  <c r="AN31" i="20"/>
  <c r="AN17" i="20"/>
  <c r="AN24" i="20"/>
  <c r="AL16" i="20"/>
  <c r="AN139" i="6"/>
  <c r="AN140" i="6" s="1"/>
  <c r="D27" i="3"/>
  <c r="D17" i="3"/>
  <c r="AN92" i="4" l="1"/>
  <c r="AN94" i="4" s="1"/>
  <c r="AO179" i="4"/>
  <c r="AN270" i="6"/>
  <c r="AW100" i="21"/>
  <c r="AX100" i="21"/>
  <c r="K14" i="20"/>
  <c r="AY169" i="20"/>
  <c r="AX165" i="20"/>
  <c r="AX163" i="20" s="1"/>
  <c r="AC227" i="6"/>
  <c r="AC221" i="6"/>
  <c r="AG171" i="21"/>
  <c r="AH167" i="21" s="1"/>
  <c r="AG175" i="21"/>
  <c r="AF164" i="21"/>
  <c r="AF161" i="21"/>
  <c r="AG157" i="21" s="1"/>
  <c r="AW42" i="21"/>
  <c r="AZ8" i="21"/>
  <c r="AZ112" i="21" s="1"/>
  <c r="AY310" i="21"/>
  <c r="AZ41" i="21"/>
  <c r="AW48" i="21"/>
  <c r="M48" i="21"/>
  <c r="AZ306" i="21"/>
  <c r="N34" i="21"/>
  <c r="N306" i="21" s="1"/>
  <c r="AZ20" i="21"/>
  <c r="AZ40" i="21"/>
  <c r="AZ309" i="21" s="1"/>
  <c r="AY116" i="21"/>
  <c r="AN100" i="20"/>
  <c r="AN35" i="20" s="1"/>
  <c r="AN85" i="20"/>
  <c r="AN87" i="20" s="1"/>
  <c r="O91" i="20"/>
  <c r="K83" i="20"/>
  <c r="K17" i="20"/>
  <c r="AW168" i="20"/>
  <c r="AN18" i="20"/>
  <c r="K25" i="20"/>
  <c r="K15" i="20"/>
  <c r="K16" i="20"/>
  <c r="K202" i="20"/>
  <c r="K201" i="20"/>
  <c r="AL18" i="20"/>
  <c r="AN161" i="4" l="1"/>
  <c r="AN162" i="4"/>
  <c r="AN165" i="4"/>
  <c r="AN166" i="4"/>
  <c r="AN167" i="4"/>
  <c r="AN147" i="4"/>
  <c r="AN150" i="4"/>
  <c r="AN151" i="4"/>
  <c r="AN152" i="4"/>
  <c r="AN153" i="4"/>
  <c r="AN154" i="4"/>
  <c r="AN155" i="4"/>
  <c r="AN170" i="4"/>
  <c r="AN168" i="4"/>
  <c r="AN172" i="4"/>
  <c r="AN149" i="4"/>
  <c r="AN44" i="20"/>
  <c r="AZ169" i="20"/>
  <c r="AY165" i="20"/>
  <c r="AY163" i="20" s="1"/>
  <c r="AH171" i="21"/>
  <c r="AI167" i="21" s="1"/>
  <c r="AH175" i="21"/>
  <c r="AG164" i="21"/>
  <c r="AG161" i="21"/>
  <c r="AH157" i="21" s="1"/>
  <c r="AX42" i="21"/>
  <c r="N8" i="21"/>
  <c r="N112" i="21" s="1"/>
  <c r="N40" i="21"/>
  <c r="N309" i="21" s="1"/>
  <c r="N20" i="21"/>
  <c r="AX48" i="21"/>
  <c r="AW138" i="21"/>
  <c r="AZ116" i="21"/>
  <c r="AZ310" i="21"/>
  <c r="N41" i="21"/>
  <c r="N310" i="21" s="1"/>
  <c r="AN176" i="20"/>
  <c r="AN138" i="20"/>
  <c r="AN38" i="20" s="1"/>
  <c r="AN102" i="20"/>
  <c r="AN101" i="20"/>
  <c r="K18" i="20"/>
  <c r="AX168" i="20"/>
  <c r="AS37" i="6"/>
  <c r="AT37" i="6" s="1"/>
  <c r="AU37" i="6" s="1"/>
  <c r="AV37" i="6" s="1"/>
  <c r="AW37" i="6" s="1"/>
  <c r="AN47" i="20" l="1"/>
  <c r="AZ165" i="20"/>
  <c r="AZ163" i="20" s="1"/>
  <c r="AI171" i="21"/>
  <c r="AJ167" i="21" s="1"/>
  <c r="AI175" i="21"/>
  <c r="AH164" i="21"/>
  <c r="AH161" i="21"/>
  <c r="AI157" i="21" s="1"/>
  <c r="AY42" i="21"/>
  <c r="N150" i="21"/>
  <c r="AY153" i="21"/>
  <c r="AY116" i="20" s="1"/>
  <c r="AX138" i="21"/>
  <c r="AY48" i="21"/>
  <c r="AX153" i="21"/>
  <c r="AX116" i="20" s="1"/>
  <c r="N151" i="21"/>
  <c r="AN140" i="20"/>
  <c r="AN139" i="20"/>
  <c r="AY168" i="20"/>
  <c r="F142" i="4"/>
  <c r="AJ171" i="21" l="1"/>
  <c r="AK167" i="21" s="1"/>
  <c r="AJ175" i="21"/>
  <c r="AI161" i="21"/>
  <c r="AJ157" i="21" s="1"/>
  <c r="AI164" i="21"/>
  <c r="AZ48" i="21"/>
  <c r="AY138" i="21"/>
  <c r="AZ168" i="20"/>
  <c r="N39" i="21" l="1"/>
  <c r="N30" i="21"/>
  <c r="AK175" i="21"/>
  <c r="AK171" i="21"/>
  <c r="AL167" i="21" s="1"/>
  <c r="AJ164" i="21"/>
  <c r="AJ161" i="21"/>
  <c r="AK157" i="21" s="1"/>
  <c r="N48" i="21"/>
  <c r="N138" i="21"/>
  <c r="AZ153" i="21"/>
  <c r="AZ116" i="20" s="1"/>
  <c r="AZ138" i="21"/>
  <c r="AZ42" i="21" l="1"/>
  <c r="AL175" i="21"/>
  <c r="AL171" i="21"/>
  <c r="AM167" i="21" s="1"/>
  <c r="AK164" i="21"/>
  <c r="AK161" i="21"/>
  <c r="AL157" i="21" s="1"/>
  <c r="N42" i="21"/>
  <c r="L167" i="21"/>
  <c r="AM171" i="21" l="1"/>
  <c r="AN167" i="21" s="1"/>
  <c r="AM175" i="21"/>
  <c r="AL161" i="21"/>
  <c r="AM157" i="21" s="1"/>
  <c r="AL164" i="21"/>
  <c r="F4" i="8"/>
  <c r="G4" i="8" s="1"/>
  <c r="H4" i="8" s="1"/>
  <c r="I4" i="8" s="1"/>
  <c r="J4" i="8" s="1"/>
  <c r="K4" i="8" s="1"/>
  <c r="L4" i="8" s="1"/>
  <c r="M4" i="8" s="1"/>
  <c r="Q4" i="8"/>
  <c r="R4" i="8" s="1"/>
  <c r="T4" i="8"/>
  <c r="X4" i="8" s="1"/>
  <c r="AB4" i="8" s="1"/>
  <c r="AF4" i="8" s="1"/>
  <c r="AJ4" i="8" s="1"/>
  <c r="AN4" i="8" s="1"/>
  <c r="AR4" i="8" s="1"/>
  <c r="U4" i="8"/>
  <c r="Y4" i="8" s="1"/>
  <c r="AC4" i="8"/>
  <c r="AG4" i="8" s="1"/>
  <c r="AK4" i="8" s="1"/>
  <c r="AO4" i="8" s="1"/>
  <c r="AS4" i="8" s="1"/>
  <c r="X8" i="8"/>
  <c r="X20" i="8" s="1"/>
  <c r="X32" i="8" s="1"/>
  <c r="Y8" i="8"/>
  <c r="Y20" i="8" s="1"/>
  <c r="Y32" i="8" s="1"/>
  <c r="Z8" i="8"/>
  <c r="Z20" i="8" s="1"/>
  <c r="Z32" i="8" s="1"/>
  <c r="AA8" i="8"/>
  <c r="AA20" i="8" s="1"/>
  <c r="AA32" i="8" s="1"/>
  <c r="AB8" i="8"/>
  <c r="AB20" i="8" s="1"/>
  <c r="AB32" i="8" s="1"/>
  <c r="AC8" i="8"/>
  <c r="AC20" i="8" s="1"/>
  <c r="AC32" i="8" s="1"/>
  <c r="AD8" i="8"/>
  <c r="AD20" i="8" s="1"/>
  <c r="AD32" i="8" s="1"/>
  <c r="AE8" i="8"/>
  <c r="AE20" i="8" s="1"/>
  <c r="AE32" i="8" s="1"/>
  <c r="AF8" i="8"/>
  <c r="AF20" i="8" s="1"/>
  <c r="AF32" i="8" s="1"/>
  <c r="AG8" i="8"/>
  <c r="AG20" i="8" s="1"/>
  <c r="AG32" i="8" s="1"/>
  <c r="AH8" i="8"/>
  <c r="AH20" i="8" s="1"/>
  <c r="AH32" i="8" s="1"/>
  <c r="AI8" i="8"/>
  <c r="AI20" i="8" s="1"/>
  <c r="AI32" i="8" s="1"/>
  <c r="AJ8" i="8"/>
  <c r="AJ20" i="8" s="1"/>
  <c r="AJ32" i="8" s="1"/>
  <c r="AK8" i="8"/>
  <c r="AK20" i="8" s="1"/>
  <c r="AK32" i="8" s="1"/>
  <c r="AL8" i="8"/>
  <c r="AL20" i="8" s="1"/>
  <c r="AL32" i="8" s="1"/>
  <c r="AN19" i="8"/>
  <c r="AO19" i="8"/>
  <c r="AP19" i="8"/>
  <c r="AQ19" i="8"/>
  <c r="AR19" i="8"/>
  <c r="AS19" i="8"/>
  <c r="AT19" i="8"/>
  <c r="AU19" i="8"/>
  <c r="T20" i="8"/>
  <c r="T32" i="8" s="1"/>
  <c r="U20" i="8"/>
  <c r="V20" i="8"/>
  <c r="V32" i="8" s="1"/>
  <c r="W20" i="8"/>
  <c r="W32" i="8" s="1"/>
  <c r="AN20" i="8"/>
  <c r="AO20" i="8"/>
  <c r="AP20" i="8"/>
  <c r="AQ20" i="8"/>
  <c r="AR20" i="8"/>
  <c r="AS20" i="8"/>
  <c r="AT20" i="8"/>
  <c r="AU20" i="8"/>
  <c r="AN21" i="8"/>
  <c r="AO21" i="8"/>
  <c r="AP21" i="8"/>
  <c r="AQ21" i="8"/>
  <c r="AR21" i="8"/>
  <c r="AS21" i="8"/>
  <c r="AT21" i="8"/>
  <c r="AU21" i="8"/>
  <c r="AN22" i="8"/>
  <c r="AO22" i="8"/>
  <c r="AP22" i="8"/>
  <c r="AQ22" i="8"/>
  <c r="AR22" i="8"/>
  <c r="AS22" i="8"/>
  <c r="AU22" i="8"/>
  <c r="AN24" i="8"/>
  <c r="AO24" i="8"/>
  <c r="AP24" i="8"/>
  <c r="AQ24" i="8"/>
  <c r="AR24" i="8"/>
  <c r="AS24" i="8"/>
  <c r="AT24" i="8"/>
  <c r="AU24" i="8"/>
  <c r="AN25" i="8"/>
  <c r="AO25" i="8"/>
  <c r="AP25" i="8"/>
  <c r="AQ25" i="8"/>
  <c r="AR25" i="8"/>
  <c r="AS25" i="8"/>
  <c r="AT25" i="8"/>
  <c r="AU25" i="8"/>
  <c r="AN26" i="8"/>
  <c r="AO26" i="8"/>
  <c r="AP26" i="8"/>
  <c r="AQ26" i="8"/>
  <c r="AR26" i="8"/>
  <c r="AS26" i="8"/>
  <c r="AT26" i="8"/>
  <c r="AU26" i="8"/>
  <c r="AN27" i="8"/>
  <c r="AO27" i="8"/>
  <c r="AP27" i="8"/>
  <c r="AQ27" i="8"/>
  <c r="AR27" i="8"/>
  <c r="AS27" i="8"/>
  <c r="AT27" i="8"/>
  <c r="AU27" i="8"/>
  <c r="AN31" i="8"/>
  <c r="AO31" i="8"/>
  <c r="AP31" i="8"/>
  <c r="AQ31" i="8"/>
  <c r="AR31" i="8"/>
  <c r="AS31" i="8"/>
  <c r="AT31" i="8"/>
  <c r="AU31" i="8"/>
  <c r="U32" i="8"/>
  <c r="AN32" i="8"/>
  <c r="AO32" i="8"/>
  <c r="AP32" i="8"/>
  <c r="AQ32" i="8"/>
  <c r="AR32" i="8"/>
  <c r="AS32" i="8"/>
  <c r="AT32" i="8"/>
  <c r="AU32" i="8"/>
  <c r="AN33" i="8"/>
  <c r="AO33" i="8"/>
  <c r="AP33" i="8"/>
  <c r="AQ33" i="8"/>
  <c r="AR33" i="8"/>
  <c r="AS33" i="8"/>
  <c r="AT33" i="8"/>
  <c r="AU33" i="8"/>
  <c r="AN34" i="8"/>
  <c r="AO303" i="4" s="1"/>
  <c r="AO329" i="4" s="1"/>
  <c r="AO34" i="8"/>
  <c r="AP303" i="4" s="1"/>
  <c r="AP329" i="4" s="1"/>
  <c r="AP34" i="8"/>
  <c r="AQ34" i="8"/>
  <c r="AR303" i="4" s="1"/>
  <c r="AR34" i="8"/>
  <c r="AS303" i="4" s="1"/>
  <c r="AS34" i="8"/>
  <c r="AT303" i="4" s="1"/>
  <c r="AT329" i="4" s="1"/>
  <c r="AU34" i="8"/>
  <c r="AV303" i="4" s="1"/>
  <c r="AN36" i="8"/>
  <c r="AO36" i="8"/>
  <c r="AP36" i="8"/>
  <c r="AQ36" i="8"/>
  <c r="AR36" i="8"/>
  <c r="AS36" i="8"/>
  <c r="AT36" i="8"/>
  <c r="AU36" i="8"/>
  <c r="AN37" i="8"/>
  <c r="AO37" i="8"/>
  <c r="AP37" i="8"/>
  <c r="AQ37" i="8"/>
  <c r="AR37" i="8"/>
  <c r="AS37" i="8"/>
  <c r="AT37" i="8"/>
  <c r="AU37" i="8"/>
  <c r="AN38" i="8"/>
  <c r="AO38" i="8"/>
  <c r="AP38" i="8"/>
  <c r="AQ38" i="8"/>
  <c r="AR38" i="8"/>
  <c r="AS38" i="8"/>
  <c r="AT38" i="8"/>
  <c r="AU38" i="8"/>
  <c r="AN39" i="8"/>
  <c r="AO39" i="8"/>
  <c r="AP39" i="8"/>
  <c r="AQ39" i="8"/>
  <c r="AR39" i="8"/>
  <c r="AS39" i="8"/>
  <c r="AT39" i="8"/>
  <c r="AU39" i="8"/>
  <c r="G1" i="6"/>
  <c r="F2" i="6"/>
  <c r="F4" i="6"/>
  <c r="G4" i="6" s="1"/>
  <c r="H4" i="6" s="1"/>
  <c r="I4" i="6" s="1"/>
  <c r="J4" i="6" s="1"/>
  <c r="K4" i="6" s="1"/>
  <c r="L4" i="6" s="1"/>
  <c r="M4" i="6" s="1"/>
  <c r="N4" i="6" s="1"/>
  <c r="R4" i="6"/>
  <c r="S4" i="6" s="1"/>
  <c r="U4" i="6"/>
  <c r="Y4" i="6" s="1"/>
  <c r="AC4" i="6" s="1"/>
  <c r="AG4" i="6" s="1"/>
  <c r="AK4" i="6" s="1"/>
  <c r="AO4" i="6" s="1"/>
  <c r="AS4" i="6" s="1"/>
  <c r="AW4" i="6" s="1"/>
  <c r="BB7" i="6" a="1"/>
  <c r="BB8" i="6" s="1"/>
  <c r="BB26" i="6" s="1"/>
  <c r="BA8" i="6"/>
  <c r="BA26" i="6" s="1"/>
  <c r="F9" i="6"/>
  <c r="G9" i="6"/>
  <c r="H9" i="6"/>
  <c r="I9" i="6"/>
  <c r="J9" i="6"/>
  <c r="U9" i="6"/>
  <c r="T7" i="8" s="1"/>
  <c r="T19" i="8" s="1"/>
  <c r="T31" i="8" s="1"/>
  <c r="V9" i="6"/>
  <c r="U7" i="8" s="1"/>
  <c r="U19" i="8" s="1"/>
  <c r="U31" i="8" s="1"/>
  <c r="W9" i="6"/>
  <c r="V7" i="8" s="1"/>
  <c r="V19" i="8" s="1"/>
  <c r="V31" i="8" s="1"/>
  <c r="X9" i="6"/>
  <c r="W7" i="8" s="1"/>
  <c r="W19" i="8" s="1"/>
  <c r="W31" i="8" s="1"/>
  <c r="Y9" i="6"/>
  <c r="X7" i="8" s="1"/>
  <c r="X19" i="8" s="1"/>
  <c r="X31" i="8" s="1"/>
  <c r="Z9" i="6"/>
  <c r="Y7" i="8" s="1"/>
  <c r="Y19" i="8" s="1"/>
  <c r="Y31" i="8" s="1"/>
  <c r="AA9" i="6"/>
  <c r="Z7" i="8" s="1"/>
  <c r="Z19" i="8" s="1"/>
  <c r="Z31" i="8" s="1"/>
  <c r="AB9" i="6"/>
  <c r="AA7" i="8" s="1"/>
  <c r="AA19" i="8" s="1"/>
  <c r="AA31" i="8" s="1"/>
  <c r="AC9" i="6"/>
  <c r="AB7" i="8" s="1"/>
  <c r="AB19" i="8" s="1"/>
  <c r="AB31" i="8" s="1"/>
  <c r="AD9" i="6"/>
  <c r="AC7" i="8" s="1"/>
  <c r="AC19" i="8" s="1"/>
  <c r="AC31" i="8" s="1"/>
  <c r="AE9" i="6"/>
  <c r="AD7" i="8" s="1"/>
  <c r="AD19" i="8" s="1"/>
  <c r="AD31" i="8" s="1"/>
  <c r="AF9" i="6"/>
  <c r="AE7" i="8" s="1"/>
  <c r="AE19" i="8" s="1"/>
  <c r="AE31" i="8" s="1"/>
  <c r="AG9" i="6"/>
  <c r="AF7" i="8" s="1"/>
  <c r="AF19" i="8" s="1"/>
  <c r="AF31" i="8" s="1"/>
  <c r="AH9" i="6"/>
  <c r="AG7" i="8" s="1"/>
  <c r="AG19" i="8" s="1"/>
  <c r="AG31" i="8" s="1"/>
  <c r="AI9" i="6"/>
  <c r="AH7" i="8" s="1"/>
  <c r="AH19" i="8" s="1"/>
  <c r="AH31" i="8" s="1"/>
  <c r="AJ9" i="6"/>
  <c r="AI7" i="8" s="1"/>
  <c r="AI19" i="8" s="1"/>
  <c r="AI31" i="8" s="1"/>
  <c r="AK9" i="6"/>
  <c r="AJ7" i="8" s="1"/>
  <c r="AJ19" i="8" s="1"/>
  <c r="AJ31" i="8" s="1"/>
  <c r="AL9" i="6"/>
  <c r="AK7" i="8" s="1"/>
  <c r="AK19" i="8" s="1"/>
  <c r="AK31" i="8" s="1"/>
  <c r="AM9" i="6"/>
  <c r="AL7" i="8" s="1"/>
  <c r="AL19" i="8" s="1"/>
  <c r="AL31" i="8" s="1"/>
  <c r="AO8" i="6"/>
  <c r="AP8" i="6"/>
  <c r="AP12" i="6" s="1"/>
  <c r="AQ8" i="6"/>
  <c r="BA9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F11" i="6"/>
  <c r="G11" i="6"/>
  <c r="H11" i="6"/>
  <c r="I11" i="6"/>
  <c r="J11" i="6"/>
  <c r="L11" i="6" s="1"/>
  <c r="M11" i="6" s="1"/>
  <c r="N11" i="6" s="1"/>
  <c r="BA11" i="6"/>
  <c r="BA29" i="6" s="1"/>
  <c r="AG12" i="6"/>
  <c r="AH12" i="6"/>
  <c r="AH13" i="6" s="1"/>
  <c r="AI12" i="6"/>
  <c r="AI13" i="6" s="1"/>
  <c r="AJ12" i="6"/>
  <c r="AK12" i="6"/>
  <c r="AK13" i="6" s="1"/>
  <c r="AL12" i="6"/>
  <c r="AL13" i="6" s="1"/>
  <c r="AM12" i="6"/>
  <c r="AM13" i="6" s="1"/>
  <c r="BA12" i="6"/>
  <c r="BA30" i="6" s="1"/>
  <c r="AC14" i="6"/>
  <c r="AC15" i="6" s="1"/>
  <c r="AD14" i="6"/>
  <c r="AD15" i="6" s="1"/>
  <c r="AE14" i="6"/>
  <c r="AE15" i="6" s="1"/>
  <c r="AF14" i="6"/>
  <c r="AF15" i="6" s="1"/>
  <c r="E16" i="6"/>
  <c r="F16" i="6"/>
  <c r="BA18" i="6"/>
  <c r="BA19" i="6" s="1"/>
  <c r="BA20" i="6" s="1"/>
  <c r="BA21" i="6" s="1"/>
  <c r="BA22" i="6" s="1"/>
  <c r="E19" i="6"/>
  <c r="BA25" i="6"/>
  <c r="Z25" i="6"/>
  <c r="AA25" i="6" s="1"/>
  <c r="AB25" i="6" s="1"/>
  <c r="AC25" i="6" s="1"/>
  <c r="AD25" i="6" s="1"/>
  <c r="AE25" i="6" s="1"/>
  <c r="AF25" i="6" s="1"/>
  <c r="AG25" i="6" s="1"/>
  <c r="AH25" i="6" s="1"/>
  <c r="AI25" i="6" s="1"/>
  <c r="AJ25" i="6" s="1"/>
  <c r="AK25" i="6" s="1"/>
  <c r="AL25" i="6" s="1"/>
  <c r="AM25" i="6" s="1"/>
  <c r="AO28" i="6"/>
  <c r="AP28" i="6"/>
  <c r="AQ28" i="6"/>
  <c r="AR28" i="6"/>
  <c r="AS28" i="6"/>
  <c r="AT28" i="6"/>
  <c r="AU28" i="6"/>
  <c r="AV28" i="6"/>
  <c r="H31" i="6"/>
  <c r="I32" i="6" s="1"/>
  <c r="Y31" i="6"/>
  <c r="Z31" i="6"/>
  <c r="AA31" i="6"/>
  <c r="AB31" i="6"/>
  <c r="J32" i="6"/>
  <c r="AG32" i="6"/>
  <c r="AH32" i="6"/>
  <c r="AI32" i="6"/>
  <c r="AJ32" i="6"/>
  <c r="BB34" i="6"/>
  <c r="J33" i="6"/>
  <c r="BB35" i="6"/>
  <c r="F55" i="6"/>
  <c r="AG55" i="6"/>
  <c r="AK55" i="6" s="1"/>
  <c r="AH55" i="6"/>
  <c r="AL55" i="6" s="1"/>
  <c r="AI55" i="6"/>
  <c r="AM55" i="6" s="1"/>
  <c r="Z56" i="6"/>
  <c r="AA56" i="6"/>
  <c r="AC56" i="6"/>
  <c r="AD56" i="6"/>
  <c r="AE56" i="6"/>
  <c r="AJ61" i="6"/>
  <c r="AK61" i="6"/>
  <c r="AL61" i="6"/>
  <c r="F74" i="6"/>
  <c r="AM81" i="6"/>
  <c r="AM350" i="4" s="1"/>
  <c r="AO180" i="6"/>
  <c r="AP180" i="6"/>
  <c r="AQ180" i="6"/>
  <c r="AT180" i="6"/>
  <c r="AU180" i="6"/>
  <c r="AV180" i="6"/>
  <c r="AH190" i="6"/>
  <c r="AI190" i="6"/>
  <c r="AJ190" i="6"/>
  <c r="AK190" i="6"/>
  <c r="AL190" i="6"/>
  <c r="AM190" i="6"/>
  <c r="AF191" i="6"/>
  <c r="AE14" i="8" s="1"/>
  <c r="AE26" i="8" s="1"/>
  <c r="AE38" i="8" s="1"/>
  <c r="AG191" i="6"/>
  <c r="AF14" i="8" s="1"/>
  <c r="AF26" i="8" s="1"/>
  <c r="AF38" i="8" s="1"/>
  <c r="AH191" i="6"/>
  <c r="AG14" i="8" s="1"/>
  <c r="AG26" i="8" s="1"/>
  <c r="AG38" i="8" s="1"/>
  <c r="AI191" i="6"/>
  <c r="AH14" i="8" s="1"/>
  <c r="AH26" i="8" s="1"/>
  <c r="AH38" i="8" s="1"/>
  <c r="AJ191" i="6"/>
  <c r="AI14" i="8" s="1"/>
  <c r="AI26" i="8" s="1"/>
  <c r="AI38" i="8" s="1"/>
  <c r="AK191" i="6"/>
  <c r="AJ14" i="8" s="1"/>
  <c r="AJ26" i="8" s="1"/>
  <c r="AJ38" i="8" s="1"/>
  <c r="AL191" i="6"/>
  <c r="AK14" i="8" s="1"/>
  <c r="AK26" i="8" s="1"/>
  <c r="AK38" i="8" s="1"/>
  <c r="AM191" i="6"/>
  <c r="AL14" i="8" s="1"/>
  <c r="AL26" i="8" s="1"/>
  <c r="AL38" i="8" s="1"/>
  <c r="AP191" i="6"/>
  <c r="AQ191" i="6"/>
  <c r="AR191" i="6"/>
  <c r="AS191" i="6"/>
  <c r="AT191" i="6"/>
  <c r="AU191" i="6"/>
  <c r="AV191" i="6"/>
  <c r="AO197" i="6"/>
  <c r="AP197" i="6"/>
  <c r="AF199" i="6"/>
  <c r="AG199" i="6" s="1"/>
  <c r="AH199" i="6" s="1"/>
  <c r="AI199" i="6" s="1"/>
  <c r="AJ199" i="6" s="1"/>
  <c r="AK199" i="6" s="1"/>
  <c r="AL199" i="6" s="1"/>
  <c r="AM199" i="6" s="1"/>
  <c r="AP199" i="6" s="1"/>
  <c r="AQ199" i="6" s="1"/>
  <c r="AR199" i="6" s="1"/>
  <c r="AS199" i="6" s="1"/>
  <c r="AT199" i="6" s="1"/>
  <c r="AU199" i="6" s="1"/>
  <c r="AV199" i="6" s="1"/>
  <c r="AW199" i="6" s="1"/>
  <c r="AX199" i="6" s="1"/>
  <c r="AY199" i="6" s="1"/>
  <c r="AZ199" i="6" s="1"/>
  <c r="AO199" i="6"/>
  <c r="AK200" i="6"/>
  <c r="AL200" i="6" s="1"/>
  <c r="AM200" i="6" s="1"/>
  <c r="AP200" i="6" s="1"/>
  <c r="AQ200" i="6" s="1"/>
  <c r="AR200" i="6" s="1"/>
  <c r="AS200" i="6" s="1"/>
  <c r="AT200" i="6" s="1"/>
  <c r="AU200" i="6" s="1"/>
  <c r="AV200" i="6" s="1"/>
  <c r="AW200" i="6" s="1"/>
  <c r="AX200" i="6" s="1"/>
  <c r="AY200" i="6" s="1"/>
  <c r="AZ200" i="6" s="1"/>
  <c r="AN200" i="6"/>
  <c r="AO200" i="6" s="1"/>
  <c r="AK201" i="6"/>
  <c r="AL201" i="6" s="1"/>
  <c r="AM201" i="6" s="1"/>
  <c r="AP201" i="6" s="1"/>
  <c r="AQ201" i="6" s="1"/>
  <c r="AR201" i="6" s="1"/>
  <c r="AS201" i="6" s="1"/>
  <c r="AT201" i="6" s="1"/>
  <c r="AU201" i="6" s="1"/>
  <c r="AV201" i="6" s="1"/>
  <c r="AW201" i="6" s="1"/>
  <c r="AX201" i="6" s="1"/>
  <c r="AY201" i="6" s="1"/>
  <c r="AZ201" i="6" s="1"/>
  <c r="AN201" i="6"/>
  <c r="AO201" i="6" s="1"/>
  <c r="AO206" i="6"/>
  <c r="AP206" i="6"/>
  <c r="AQ206" i="6" s="1"/>
  <c r="AR206" i="6" s="1"/>
  <c r="AS206" i="6" s="1"/>
  <c r="AT206" i="6" s="1"/>
  <c r="AU206" i="6" s="1"/>
  <c r="AV206" i="6" s="1"/>
  <c r="AW206" i="6" s="1"/>
  <c r="AX206" i="6" s="1"/>
  <c r="AY206" i="6" s="1"/>
  <c r="AZ206" i="6" s="1"/>
  <c r="AK207" i="6"/>
  <c r="AL207" i="6"/>
  <c r="AM207" i="6"/>
  <c r="AP207" i="6" s="1"/>
  <c r="AQ207" i="6" s="1"/>
  <c r="AR207" i="6" s="1"/>
  <c r="AS207" i="6" s="1"/>
  <c r="AT207" i="6" s="1"/>
  <c r="AU207" i="6" s="1"/>
  <c r="AV207" i="6" s="1"/>
  <c r="AW207" i="6" s="1"/>
  <c r="AX207" i="6" s="1"/>
  <c r="AY207" i="6" s="1"/>
  <c r="AZ207" i="6" s="1"/>
  <c r="AN207" i="6"/>
  <c r="AO207" i="6" s="1"/>
  <c r="AK208" i="6"/>
  <c r="AL208" i="6"/>
  <c r="AM208" i="6"/>
  <c r="AP208" i="6" s="1"/>
  <c r="AQ208" i="6" s="1"/>
  <c r="AR208" i="6" s="1"/>
  <c r="AS208" i="6" s="1"/>
  <c r="AT208" i="6" s="1"/>
  <c r="AU208" i="6" s="1"/>
  <c r="AV208" i="6" s="1"/>
  <c r="AW208" i="6" s="1"/>
  <c r="AX208" i="6" s="1"/>
  <c r="AY208" i="6" s="1"/>
  <c r="AZ208" i="6" s="1"/>
  <c r="AN208" i="6"/>
  <c r="AO208" i="6" s="1"/>
  <c r="AK209" i="6"/>
  <c r="AL209" i="6"/>
  <c r="AM209" i="6"/>
  <c r="AP209" i="6" s="1"/>
  <c r="AQ209" i="6" s="1"/>
  <c r="AR209" i="6" s="1"/>
  <c r="AS209" i="6" s="1"/>
  <c r="AT209" i="6" s="1"/>
  <c r="AU209" i="6" s="1"/>
  <c r="AV209" i="6" s="1"/>
  <c r="AW209" i="6" s="1"/>
  <c r="AX209" i="6" s="1"/>
  <c r="AY209" i="6" s="1"/>
  <c r="AZ209" i="6" s="1"/>
  <c r="AN209" i="6"/>
  <c r="AO209" i="6" s="1"/>
  <c r="AF211" i="6"/>
  <c r="AG211" i="6" s="1"/>
  <c r="U214" i="6"/>
  <c r="U216" i="6" s="1"/>
  <c r="V214" i="6"/>
  <c r="V216" i="6" s="1"/>
  <c r="W214" i="6"/>
  <c r="W216" i="6" s="1"/>
  <c r="X214" i="6"/>
  <c r="X216" i="6" s="1"/>
  <c r="AM214" i="6"/>
  <c r="AC219" i="6"/>
  <c r="AD196" i="6"/>
  <c r="AE196" i="6"/>
  <c r="AG196" i="6"/>
  <c r="AH196" i="6"/>
  <c r="AI196" i="6"/>
  <c r="F95" i="6"/>
  <c r="U96" i="6"/>
  <c r="V96" i="6"/>
  <c r="W96" i="6"/>
  <c r="X96" i="6"/>
  <c r="Y96" i="6"/>
  <c r="Z96" i="6"/>
  <c r="AA96" i="6"/>
  <c r="AB96" i="6"/>
  <c r="AC96" i="6"/>
  <c r="AD96" i="6"/>
  <c r="AE96" i="6"/>
  <c r="AF96" i="6"/>
  <c r="Q97" i="6"/>
  <c r="R97" i="6"/>
  <c r="R99" i="6" s="1"/>
  <c r="S97" i="6"/>
  <c r="T97" i="6"/>
  <c r="T361" i="4" s="1"/>
  <c r="U97" i="6"/>
  <c r="V97" i="6"/>
  <c r="W97" i="6"/>
  <c r="X97" i="6"/>
  <c r="Y97" i="6"/>
  <c r="Z97" i="6"/>
  <c r="AA97" i="6"/>
  <c r="AB97" i="6"/>
  <c r="AC97" i="6"/>
  <c r="AD97" i="6"/>
  <c r="AE97" i="6"/>
  <c r="U107" i="6"/>
  <c r="V107" i="6"/>
  <c r="W107" i="6"/>
  <c r="X107" i="6"/>
  <c r="B265" i="6"/>
  <c r="F265" i="6"/>
  <c r="G265" i="6"/>
  <c r="H265" i="6"/>
  <c r="I265" i="6"/>
  <c r="I114" i="6" s="1"/>
  <c r="J265" i="6"/>
  <c r="J114" i="6" s="1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F265" i="6"/>
  <c r="AG265" i="6"/>
  <c r="AH265" i="6"/>
  <c r="AI265" i="6"/>
  <c r="AJ265" i="6"/>
  <c r="AK265" i="6"/>
  <c r="AL265" i="6"/>
  <c r="AM265" i="6"/>
  <c r="B271" i="6"/>
  <c r="F271" i="6"/>
  <c r="G271" i="6"/>
  <c r="G272" i="6" s="1"/>
  <c r="H271" i="6"/>
  <c r="H272" i="6" s="1"/>
  <c r="I271" i="6"/>
  <c r="J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F271" i="6"/>
  <c r="AG271" i="6"/>
  <c r="AG272" i="6" s="1"/>
  <c r="AH271" i="6"/>
  <c r="AI271" i="6"/>
  <c r="AI120" i="6" s="1"/>
  <c r="AJ271" i="6"/>
  <c r="AJ120" i="6" s="1"/>
  <c r="AK271" i="6"/>
  <c r="AL271" i="6"/>
  <c r="AL120" i="6" s="1"/>
  <c r="AM271" i="6"/>
  <c r="AM120" i="6" s="1"/>
  <c r="B273" i="6"/>
  <c r="F273" i="6"/>
  <c r="F274" i="6" s="1"/>
  <c r="G273" i="6"/>
  <c r="G274" i="6" s="1"/>
  <c r="H273" i="6"/>
  <c r="H274" i="6" s="1"/>
  <c r="I273" i="6"/>
  <c r="J273" i="6"/>
  <c r="J122" i="6" s="1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F273" i="6"/>
  <c r="AG273" i="6"/>
  <c r="AH273" i="6"/>
  <c r="AI273" i="6"/>
  <c r="AJ273" i="6"/>
  <c r="AK273" i="6"/>
  <c r="AL273" i="6"/>
  <c r="AM273" i="6"/>
  <c r="B275" i="6"/>
  <c r="F275" i="6"/>
  <c r="F276" i="6" s="1"/>
  <c r="G275" i="6"/>
  <c r="G276" i="6" s="1"/>
  <c r="H275" i="6"/>
  <c r="H276" i="6" s="1"/>
  <c r="I275" i="6"/>
  <c r="J275" i="6"/>
  <c r="J126" i="6" s="1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F275" i="6"/>
  <c r="AG275" i="6"/>
  <c r="AH275" i="6"/>
  <c r="AI275" i="6"/>
  <c r="AI126" i="6" s="1"/>
  <c r="AJ275" i="6"/>
  <c r="AJ126" i="6" s="1"/>
  <c r="AK275" i="6"/>
  <c r="AK126" i="6" s="1"/>
  <c r="AL275" i="6"/>
  <c r="AL126" i="6" s="1"/>
  <c r="AM275" i="6"/>
  <c r="AM126" i="6" s="1"/>
  <c r="B277" i="6"/>
  <c r="F277" i="6"/>
  <c r="G277" i="6"/>
  <c r="G278" i="6" s="1"/>
  <c r="H277" i="6"/>
  <c r="H278" i="6" s="1"/>
  <c r="I277" i="6"/>
  <c r="J277" i="6"/>
  <c r="J128" i="6" s="1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F277" i="6"/>
  <c r="AG277" i="6"/>
  <c r="AH277" i="6"/>
  <c r="AI277" i="6"/>
  <c r="AJ277" i="6"/>
  <c r="AK277" i="6"/>
  <c r="AL277" i="6"/>
  <c r="AM277" i="6"/>
  <c r="F278" i="6"/>
  <c r="B279" i="6"/>
  <c r="F279" i="6"/>
  <c r="F280" i="6" s="1"/>
  <c r="G279" i="6"/>
  <c r="G280" i="6" s="1"/>
  <c r="H279" i="6"/>
  <c r="H280" i="6" s="1"/>
  <c r="I279" i="6"/>
  <c r="I280" i="6" s="1"/>
  <c r="J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F279" i="6"/>
  <c r="AG279" i="6"/>
  <c r="AH279" i="6"/>
  <c r="AI279" i="6"/>
  <c r="AJ279" i="6"/>
  <c r="AK279" i="6"/>
  <c r="AL279" i="6"/>
  <c r="AM279" i="6"/>
  <c r="F290" i="6"/>
  <c r="G290" i="6"/>
  <c r="H290" i="6"/>
  <c r="I290" i="6"/>
  <c r="J290" i="6"/>
  <c r="F293" i="6"/>
  <c r="G293" i="6"/>
  <c r="H293" i="6"/>
  <c r="I293" i="6"/>
  <c r="J293" i="6"/>
  <c r="F296" i="6"/>
  <c r="G296" i="6"/>
  <c r="H296" i="6"/>
  <c r="I296" i="6"/>
  <c r="J296" i="6"/>
  <c r="F299" i="6"/>
  <c r="G299" i="6"/>
  <c r="H299" i="6"/>
  <c r="I299" i="6"/>
  <c r="J299" i="6"/>
  <c r="F302" i="6"/>
  <c r="G302" i="6"/>
  <c r="H302" i="6"/>
  <c r="I302" i="6"/>
  <c r="J302" i="6"/>
  <c r="F310" i="6"/>
  <c r="G310" i="6"/>
  <c r="H310" i="6"/>
  <c r="I310" i="6"/>
  <c r="J310" i="6"/>
  <c r="K311" i="6" s="1"/>
  <c r="Q141" i="6"/>
  <c r="R141" i="6"/>
  <c r="S141" i="6"/>
  <c r="T141" i="6"/>
  <c r="U141" i="6"/>
  <c r="V141" i="6"/>
  <c r="W141" i="6"/>
  <c r="X141" i="6"/>
  <c r="Y141" i="6"/>
  <c r="Z141" i="6"/>
  <c r="Z143" i="6" s="1"/>
  <c r="AA141" i="6"/>
  <c r="AB141" i="6"/>
  <c r="AC141" i="6"/>
  <c r="AD141" i="6"/>
  <c r="AE141" i="6"/>
  <c r="AF141" i="6"/>
  <c r="AG141" i="6"/>
  <c r="AH141" i="6"/>
  <c r="AI141" i="6"/>
  <c r="AJ141" i="6"/>
  <c r="AN143" i="6" s="1"/>
  <c r="AK141" i="6"/>
  <c r="AL141" i="6"/>
  <c r="AM141" i="6"/>
  <c r="E144" i="6"/>
  <c r="G1" i="5"/>
  <c r="H1" i="5" s="1"/>
  <c r="H227" i="5" s="1"/>
  <c r="F2" i="5"/>
  <c r="F18" i="5" s="1"/>
  <c r="F203" i="5" s="1"/>
  <c r="G197" i="5" s="1"/>
  <c r="G4" i="5"/>
  <c r="H4" i="5" s="1"/>
  <c r="I4" i="5" s="1"/>
  <c r="J4" i="5" s="1"/>
  <c r="K4" i="5" s="1"/>
  <c r="L4" i="5" s="1"/>
  <c r="M4" i="5" s="1"/>
  <c r="N4" i="5" s="1"/>
  <c r="R4" i="5"/>
  <c r="U4" i="5"/>
  <c r="Y4" i="5" s="1"/>
  <c r="AC4" i="5" s="1"/>
  <c r="AG4" i="5" s="1"/>
  <c r="AK4" i="5" s="1"/>
  <c r="AO4" i="5" s="1"/>
  <c r="AS4" i="5" s="1"/>
  <c r="AW4" i="5" s="1"/>
  <c r="AO8" i="5"/>
  <c r="AP8" i="5" s="1"/>
  <c r="AQ8" i="5" s="1"/>
  <c r="AR8" i="5" s="1"/>
  <c r="AS8" i="5" s="1"/>
  <c r="AT8" i="5" s="1"/>
  <c r="AU8" i="5" s="1"/>
  <c r="AV8" i="5" s="1"/>
  <c r="AO9" i="5"/>
  <c r="AP9" i="5" s="1"/>
  <c r="AQ9" i="5" s="1"/>
  <c r="AR9" i="5" s="1"/>
  <c r="AS9" i="5" s="1"/>
  <c r="AT9" i="5" s="1"/>
  <c r="AU9" i="5" s="1"/>
  <c r="AV9" i="5" s="1"/>
  <c r="AW9" i="5" s="1"/>
  <c r="AO11" i="5"/>
  <c r="AP11" i="5" s="1"/>
  <c r="AQ11" i="5" s="1"/>
  <c r="AR11" i="5" s="1"/>
  <c r="AS11" i="5" s="1"/>
  <c r="AT11" i="5" s="1"/>
  <c r="AU11" i="5" s="1"/>
  <c r="AV11" i="5" s="1"/>
  <c r="AN14" i="5"/>
  <c r="AN236" i="5" s="1"/>
  <c r="AN251" i="5" s="1"/>
  <c r="AO15" i="5"/>
  <c r="AP15" i="5" s="1"/>
  <c r="AQ15" i="5" s="1"/>
  <c r="AR15" i="5" s="1"/>
  <c r="AS15" i="5" s="1"/>
  <c r="AT15" i="5" s="1"/>
  <c r="AU15" i="5" s="1"/>
  <c r="AV15" i="5" s="1"/>
  <c r="AW15" i="5" s="1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O20" i="5"/>
  <c r="AP20" i="5" s="1"/>
  <c r="AQ20" i="5" s="1"/>
  <c r="AR20" i="5" s="1"/>
  <c r="AS20" i="5" s="1"/>
  <c r="AT20" i="5" s="1"/>
  <c r="AU20" i="5" s="1"/>
  <c r="AV20" i="5" s="1"/>
  <c r="AW20" i="5" s="1"/>
  <c r="AX20" i="5" s="1"/>
  <c r="AY20" i="5" s="1"/>
  <c r="AZ20" i="5" s="1"/>
  <c r="AO21" i="5"/>
  <c r="AP21" i="5" s="1"/>
  <c r="AQ21" i="5" s="1"/>
  <c r="AR21" i="5" s="1"/>
  <c r="AS21" i="5" s="1"/>
  <c r="AT21" i="5" s="1"/>
  <c r="AU21" i="5" s="1"/>
  <c r="AV21" i="5" s="1"/>
  <c r="AW21" i="5" s="1"/>
  <c r="AX21" i="5" s="1"/>
  <c r="AY21" i="5" s="1"/>
  <c r="AZ21" i="5" s="1"/>
  <c r="AO22" i="5"/>
  <c r="AP22" i="5" s="1"/>
  <c r="AQ22" i="5" s="1"/>
  <c r="AR22" i="5" s="1"/>
  <c r="AS22" i="5" s="1"/>
  <c r="AT22" i="5" s="1"/>
  <c r="AU22" i="5" s="1"/>
  <c r="AV22" i="5" s="1"/>
  <c r="AW22" i="5" s="1"/>
  <c r="AO23" i="5"/>
  <c r="AP23" i="5" s="1"/>
  <c r="AQ23" i="5" s="1"/>
  <c r="AR23" i="5" s="1"/>
  <c r="AS23" i="5" s="1"/>
  <c r="AT23" i="5" s="1"/>
  <c r="AU23" i="5" s="1"/>
  <c r="AV23" i="5" s="1"/>
  <c r="AW23" i="5" s="1"/>
  <c r="T26" i="5"/>
  <c r="U26" i="5"/>
  <c r="V26" i="5"/>
  <c r="V28" i="5" s="1"/>
  <c r="W26" i="5"/>
  <c r="W28" i="5" s="1"/>
  <c r="X26" i="5"/>
  <c r="Y26" i="5"/>
  <c r="Z26" i="5"/>
  <c r="AA26" i="5"/>
  <c r="AA28" i="5" s="1"/>
  <c r="AB26" i="5"/>
  <c r="AC26" i="5"/>
  <c r="AD26" i="5"/>
  <c r="AD28" i="5" s="1"/>
  <c r="AE26" i="5"/>
  <c r="AE28" i="5" s="1"/>
  <c r="AF26" i="5"/>
  <c r="AG26" i="5"/>
  <c r="AH26" i="5"/>
  <c r="AI26" i="5"/>
  <c r="AI28" i="5" s="1"/>
  <c r="AJ26" i="5"/>
  <c r="AK26" i="5"/>
  <c r="AL26" i="5"/>
  <c r="AM26" i="5"/>
  <c r="AM28" i="5" s="1"/>
  <c r="T28" i="5"/>
  <c r="X28" i="5"/>
  <c r="AB28" i="5"/>
  <c r="AO32" i="5"/>
  <c r="AP32" i="5"/>
  <c r="AQ32" i="5"/>
  <c r="AR32" i="5"/>
  <c r="AS32" i="5"/>
  <c r="AT32" i="5"/>
  <c r="AU32" i="5"/>
  <c r="AV32" i="5"/>
  <c r="AO33" i="5"/>
  <c r="AP33" i="5"/>
  <c r="AQ33" i="5"/>
  <c r="AR33" i="5"/>
  <c r="AS33" i="5"/>
  <c r="AT33" i="5"/>
  <c r="AU33" i="5"/>
  <c r="AV33" i="5"/>
  <c r="AO34" i="5"/>
  <c r="AP34" i="5" s="1"/>
  <c r="AQ34" i="5" s="1"/>
  <c r="AO36" i="5"/>
  <c r="AP36" i="5" s="1"/>
  <c r="AQ36" i="5" s="1"/>
  <c r="AR36" i="5" s="1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O45" i="5"/>
  <c r="AO46" i="5"/>
  <c r="AP46" i="5" s="1"/>
  <c r="AO47" i="5"/>
  <c r="AN48" i="5"/>
  <c r="AO48" i="5" s="1"/>
  <c r="AP48" i="5" s="1"/>
  <c r="AQ48" i="5" s="1"/>
  <c r="AR48" i="5" s="1"/>
  <c r="AS48" i="5" s="1"/>
  <c r="AT48" i="5" s="1"/>
  <c r="AU48" i="5" s="1"/>
  <c r="AV48" i="5" s="1"/>
  <c r="AW48" i="5" s="1"/>
  <c r="AX48" i="5" s="1"/>
  <c r="AY48" i="5" s="1"/>
  <c r="AZ48" i="5" s="1"/>
  <c r="T49" i="5"/>
  <c r="U49" i="5"/>
  <c r="V49" i="5"/>
  <c r="W49" i="5"/>
  <c r="W51" i="5" s="1"/>
  <c r="X49" i="5"/>
  <c r="Y49" i="5"/>
  <c r="Z49" i="5"/>
  <c r="AA49" i="5"/>
  <c r="AA51" i="5" s="1"/>
  <c r="AB49" i="5"/>
  <c r="AC49" i="5"/>
  <c r="AD49" i="5"/>
  <c r="AE49" i="5"/>
  <c r="AF49" i="5"/>
  <c r="AG49" i="5"/>
  <c r="AH49" i="5"/>
  <c r="AI49" i="5"/>
  <c r="AJ49" i="5"/>
  <c r="AK49" i="5"/>
  <c r="AL49" i="5"/>
  <c r="AM49" i="5"/>
  <c r="AM51" i="5" s="1"/>
  <c r="AO53" i="5"/>
  <c r="AP53" i="5" s="1"/>
  <c r="AQ53" i="5" s="1"/>
  <c r="AR53" i="5" s="1"/>
  <c r="AS53" i="5" s="1"/>
  <c r="AT53" i="5" s="1"/>
  <c r="AU53" i="5" s="1"/>
  <c r="AV53" i="5" s="1"/>
  <c r="AW53" i="5" s="1"/>
  <c r="AX53" i="5" s="1"/>
  <c r="AY53" i="5" s="1"/>
  <c r="AZ53" i="5" s="1"/>
  <c r="AL55" i="5"/>
  <c r="AL56" i="5" s="1"/>
  <c r="AL57" i="5"/>
  <c r="AL59" i="5" s="1"/>
  <c r="AL63" i="5" s="1"/>
  <c r="AM57" i="5"/>
  <c r="AO58" i="5"/>
  <c r="AP58" i="5" s="1"/>
  <c r="AQ58" i="5" s="1"/>
  <c r="AR58" i="5" s="1"/>
  <c r="AS58" i="5" s="1"/>
  <c r="AT58" i="5" s="1"/>
  <c r="AU58" i="5" s="1"/>
  <c r="AV58" i="5" s="1"/>
  <c r="AW58" i="5" s="1"/>
  <c r="AX58" i="5" s="1"/>
  <c r="AY58" i="5" s="1"/>
  <c r="AZ58" i="5" s="1"/>
  <c r="T59" i="5"/>
  <c r="T63" i="5" s="1"/>
  <c r="U59" i="5"/>
  <c r="U63" i="5" s="1"/>
  <c r="V59" i="5"/>
  <c r="V63" i="5" s="1"/>
  <c r="W59" i="5"/>
  <c r="W63" i="5" s="1"/>
  <c r="X59" i="5"/>
  <c r="X63" i="5" s="1"/>
  <c r="Y59" i="5"/>
  <c r="Y63" i="5" s="1"/>
  <c r="Z59" i="5"/>
  <c r="Z63" i="5" s="1"/>
  <c r="AA59" i="5"/>
  <c r="AA63" i="5" s="1"/>
  <c r="AB59" i="5"/>
  <c r="AB63" i="5" s="1"/>
  <c r="AC59" i="5"/>
  <c r="AC63" i="5" s="1"/>
  <c r="AD59" i="5"/>
  <c r="AD63" i="5" s="1"/>
  <c r="AE59" i="5"/>
  <c r="AE63" i="5" s="1"/>
  <c r="AF59" i="5"/>
  <c r="AF63" i="5" s="1"/>
  <c r="AG59" i="5"/>
  <c r="AG63" i="5" s="1"/>
  <c r="AH59" i="5"/>
  <c r="AH63" i="5" s="1"/>
  <c r="AI59" i="5"/>
  <c r="AI63" i="5" s="1"/>
  <c r="AJ59" i="5"/>
  <c r="AJ63" i="5" s="1"/>
  <c r="AK59" i="5"/>
  <c r="AK63" i="5" s="1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B133" i="5"/>
  <c r="E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B134" i="5"/>
  <c r="E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O134" i="5"/>
  <c r="AP134" i="5"/>
  <c r="AR134" i="5"/>
  <c r="AS134" i="5"/>
  <c r="AT134" i="5"/>
  <c r="AV134" i="5"/>
  <c r="F136" i="5"/>
  <c r="G136" i="5"/>
  <c r="H136" i="5"/>
  <c r="I136" i="5"/>
  <c r="J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U158" i="5"/>
  <c r="AO168" i="5"/>
  <c r="AP168" i="5"/>
  <c r="AQ168" i="5"/>
  <c r="AR168" i="5"/>
  <c r="AK193" i="5"/>
  <c r="AL193" i="5"/>
  <c r="AM193" i="5"/>
  <c r="F197" i="5"/>
  <c r="R197" i="5"/>
  <c r="S197" i="5"/>
  <c r="T197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F200" i="5"/>
  <c r="AF225" i="5" s="1"/>
  <c r="T203" i="5"/>
  <c r="U197" i="5" s="1"/>
  <c r="U203" i="5"/>
  <c r="V197" i="5" s="1"/>
  <c r="V203" i="5"/>
  <c r="W197" i="5" s="1"/>
  <c r="W203" i="5"/>
  <c r="X197" i="5" s="1"/>
  <c r="X203" i="5"/>
  <c r="Y197" i="5" s="1"/>
  <c r="Y207" i="5" s="1"/>
  <c r="Y203" i="5"/>
  <c r="Z197" i="5" s="1"/>
  <c r="Z203" i="5"/>
  <c r="AA197" i="5" s="1"/>
  <c r="AA203" i="5"/>
  <c r="AB197" i="5" s="1"/>
  <c r="AB203" i="5"/>
  <c r="AC197" i="5" s="1"/>
  <c r="AC206" i="5" s="1"/>
  <c r="AC203" i="5"/>
  <c r="AD197" i="5" s="1"/>
  <c r="AD206" i="5" s="1"/>
  <c r="AD203" i="5"/>
  <c r="AE203" i="5"/>
  <c r="AF197" i="5" s="1"/>
  <c r="AF203" i="5"/>
  <c r="AG197" i="5" s="1"/>
  <c r="AG206" i="5" s="1"/>
  <c r="AG203" i="5"/>
  <c r="AH197" i="5" s="1"/>
  <c r="AH206" i="5" s="1"/>
  <c r="AH203" i="5"/>
  <c r="AI197" i="5" s="1"/>
  <c r="AI203" i="5"/>
  <c r="AJ197" i="5" s="1"/>
  <c r="AJ203" i="5"/>
  <c r="AK197" i="5" s="1"/>
  <c r="AK206" i="5" s="1"/>
  <c r="AK203" i="5"/>
  <c r="AL203" i="5"/>
  <c r="AM197" i="5" s="1"/>
  <c r="AM203" i="5"/>
  <c r="AN197" i="5" s="1"/>
  <c r="F211" i="5"/>
  <c r="R211" i="5"/>
  <c r="S211" i="5"/>
  <c r="T211" i="5"/>
  <c r="T216" i="5"/>
  <c r="U211" i="5" s="1"/>
  <c r="U216" i="5"/>
  <c r="V211" i="5" s="1"/>
  <c r="V216" i="5"/>
  <c r="W211" i="5" s="1"/>
  <c r="W216" i="5"/>
  <c r="X211" i="5" s="1"/>
  <c r="X216" i="5"/>
  <c r="Y211" i="5" s="1"/>
  <c r="Y216" i="5"/>
  <c r="Z211" i="5" s="1"/>
  <c r="Z216" i="5"/>
  <c r="AA211" i="5" s="1"/>
  <c r="AA216" i="5"/>
  <c r="AB211" i="5" s="1"/>
  <c r="AB216" i="5"/>
  <c r="AC211" i="5" s="1"/>
  <c r="AC219" i="5" s="1"/>
  <c r="AC216" i="5"/>
  <c r="AD216" i="5"/>
  <c r="AE211" i="5" s="1"/>
  <c r="AE219" i="5" s="1"/>
  <c r="AE216" i="5"/>
  <c r="AF211" i="5" s="1"/>
  <c r="AF219" i="5" s="1"/>
  <c r="AF216" i="5"/>
  <c r="AG211" i="5" s="1"/>
  <c r="AG219" i="5" s="1"/>
  <c r="AG216" i="5"/>
  <c r="AH211" i="5" s="1"/>
  <c r="AH219" i="5" s="1"/>
  <c r="AH216" i="5"/>
  <c r="AI216" i="5"/>
  <c r="AJ211" i="5" s="1"/>
  <c r="AJ219" i="5" s="1"/>
  <c r="AJ216" i="5"/>
  <c r="AK211" i="5" s="1"/>
  <c r="AK219" i="5" s="1"/>
  <c r="AK216" i="5"/>
  <c r="AL211" i="5" s="1"/>
  <c r="AL219" i="5" s="1"/>
  <c r="AL216" i="5"/>
  <c r="AM211" i="5" s="1"/>
  <c r="AM219" i="5" s="1"/>
  <c r="AM216" i="5"/>
  <c r="AN211" i="5" s="1"/>
  <c r="AN219" i="5" s="1"/>
  <c r="F218" i="5"/>
  <c r="Q218" i="5" s="1"/>
  <c r="F221" i="5"/>
  <c r="Q221" i="5" s="1"/>
  <c r="Q214" i="5" s="1"/>
  <c r="G221" i="5"/>
  <c r="U221" i="5" s="1"/>
  <c r="U214" i="5" s="1"/>
  <c r="H221" i="5"/>
  <c r="Y221" i="5" s="1"/>
  <c r="I221" i="5"/>
  <c r="AC221" i="5" s="1"/>
  <c r="J221" i="5"/>
  <c r="AG221" i="5" s="1"/>
  <c r="B224" i="5"/>
  <c r="B225" i="5"/>
  <c r="B226" i="5"/>
  <c r="AC226" i="5"/>
  <c r="AD226" i="5"/>
  <c r="AE226" i="5"/>
  <c r="AF226" i="5"/>
  <c r="AF275" i="4" s="1"/>
  <c r="AG226" i="5"/>
  <c r="AH226" i="5"/>
  <c r="AI226" i="5"/>
  <c r="AJ226" i="5"/>
  <c r="AJ275" i="4" s="1"/>
  <c r="AK226" i="5"/>
  <c r="AL226" i="5"/>
  <c r="AM226" i="5"/>
  <c r="F227" i="5"/>
  <c r="B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B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B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T235" i="5"/>
  <c r="U235" i="5"/>
  <c r="V235" i="5"/>
  <c r="W235" i="5"/>
  <c r="W256" i="5" s="1"/>
  <c r="X235" i="5"/>
  <c r="X256" i="5" s="1"/>
  <c r="Y235" i="5"/>
  <c r="Z235" i="5"/>
  <c r="AA235" i="5"/>
  <c r="AA256" i="5" s="1"/>
  <c r="AB235" i="5"/>
  <c r="AB256" i="5" s="1"/>
  <c r="AC235" i="5"/>
  <c r="AD235" i="5"/>
  <c r="AE235" i="5"/>
  <c r="AF235" i="5"/>
  <c r="AF256" i="5" s="1"/>
  <c r="AG235" i="5"/>
  <c r="AH235" i="5"/>
  <c r="AI235" i="5"/>
  <c r="AI256" i="5" s="1"/>
  <c r="AJ235" i="5"/>
  <c r="AJ256" i="5" s="1"/>
  <c r="AK235" i="5"/>
  <c r="AL235" i="5"/>
  <c r="AM235" i="5"/>
  <c r="B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T237" i="5"/>
  <c r="U237" i="5"/>
  <c r="U257" i="5" s="1"/>
  <c r="V237" i="5"/>
  <c r="V257" i="5" s="1"/>
  <c r="W237" i="5"/>
  <c r="W257" i="5" s="1"/>
  <c r="X237" i="5"/>
  <c r="Y237" i="5"/>
  <c r="Z237" i="5"/>
  <c r="Z257" i="5" s="1"/>
  <c r="AA237" i="5"/>
  <c r="AA257" i="5" s="1"/>
  <c r="AB237" i="5"/>
  <c r="AC237" i="5"/>
  <c r="AC257" i="5" s="1"/>
  <c r="AD237" i="5"/>
  <c r="AD257" i="5" s="1"/>
  <c r="AE237" i="5"/>
  <c r="AE257" i="5" s="1"/>
  <c r="AF237" i="5"/>
  <c r="AG237" i="5"/>
  <c r="AG257" i="5" s="1"/>
  <c r="AH237" i="5"/>
  <c r="AH257" i="5" s="1"/>
  <c r="AI237" i="5"/>
  <c r="AI257" i="5" s="1"/>
  <c r="AJ237" i="5"/>
  <c r="AK237" i="5"/>
  <c r="AK257" i="5" s="1"/>
  <c r="AL237" i="5"/>
  <c r="AM237" i="5"/>
  <c r="B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Q238" i="5"/>
  <c r="AU238" i="5"/>
  <c r="B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R239" i="5"/>
  <c r="AV239" i="5"/>
  <c r="B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B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P241" i="5"/>
  <c r="AT241" i="5"/>
  <c r="B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59" i="5" s="1"/>
  <c r="AO259" i="5" s="1"/>
  <c r="AP259" i="5" s="1"/>
  <c r="AQ259" i="5" s="1"/>
  <c r="AR259" i="5" s="1"/>
  <c r="AS259" i="5" s="1"/>
  <c r="AT259" i="5" s="1"/>
  <c r="AU259" i="5" s="1"/>
  <c r="AV259" i="5" s="1"/>
  <c r="AW259" i="5" s="1"/>
  <c r="AX259" i="5" s="1"/>
  <c r="AY259" i="5" s="1"/>
  <c r="AZ259" i="5" s="1"/>
  <c r="B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B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B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B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B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B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B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E251" i="5"/>
  <c r="U256" i="5"/>
  <c r="V256" i="5"/>
  <c r="Y256" i="5"/>
  <c r="Z256" i="5"/>
  <c r="AC256" i="5"/>
  <c r="AD256" i="5"/>
  <c r="AE256" i="5"/>
  <c r="AG256" i="5"/>
  <c r="AH256" i="5"/>
  <c r="AK256" i="5"/>
  <c r="X257" i="5"/>
  <c r="Y257" i="5"/>
  <c r="AB257" i="5"/>
  <c r="AF257" i="5"/>
  <c r="AJ257" i="5"/>
  <c r="G1" i="4"/>
  <c r="F2" i="4"/>
  <c r="G4" i="4"/>
  <c r="H4" i="4" s="1"/>
  <c r="I4" i="4" s="1"/>
  <c r="J4" i="4" s="1"/>
  <c r="K4" i="4" s="1"/>
  <c r="L4" i="4" s="1"/>
  <c r="M4" i="4" s="1"/>
  <c r="N4" i="4" s="1"/>
  <c r="R4" i="4"/>
  <c r="S4" i="4" s="1"/>
  <c r="U4" i="4"/>
  <c r="Y4" i="4" s="1"/>
  <c r="AC4" i="4" s="1"/>
  <c r="AG4" i="4" s="1"/>
  <c r="F82" i="4"/>
  <c r="F289" i="4" s="1"/>
  <c r="G82" i="4"/>
  <c r="H82" i="4"/>
  <c r="H290" i="4" s="1"/>
  <c r="I82" i="4"/>
  <c r="I338" i="4" s="1"/>
  <c r="J82" i="4"/>
  <c r="J338" i="4" s="1"/>
  <c r="Q82" i="4"/>
  <c r="R82" i="4"/>
  <c r="S82" i="4"/>
  <c r="T82" i="4"/>
  <c r="U82" i="4"/>
  <c r="V82" i="4"/>
  <c r="V89" i="4" s="1"/>
  <c r="W82" i="4"/>
  <c r="W89" i="4" s="1"/>
  <c r="X82" i="4"/>
  <c r="Y82" i="4"/>
  <c r="Z82" i="4"/>
  <c r="Z338" i="4" s="1"/>
  <c r="AA82" i="4"/>
  <c r="AA89" i="4" s="1"/>
  <c r="AB82" i="4"/>
  <c r="AC82" i="4"/>
  <c r="AD82" i="4"/>
  <c r="AD281" i="4" s="1"/>
  <c r="AE82" i="4"/>
  <c r="AE281" i="4" s="1"/>
  <c r="AE280" i="4" s="1"/>
  <c r="AF82" i="4"/>
  <c r="AG82" i="4"/>
  <c r="AH82" i="4"/>
  <c r="AH338" i="4" s="1"/>
  <c r="AI82" i="4"/>
  <c r="AI89" i="4" s="1"/>
  <c r="AJ82" i="4"/>
  <c r="AK82" i="4"/>
  <c r="AL82" i="4"/>
  <c r="AL281" i="4" s="1"/>
  <c r="AM82" i="4"/>
  <c r="AM281" i="4" s="1"/>
  <c r="Q87" i="4"/>
  <c r="Q11" i="4" s="1"/>
  <c r="R87" i="4"/>
  <c r="R11" i="4" s="1"/>
  <c r="S87" i="4"/>
  <c r="S11" i="4" s="1"/>
  <c r="T87" i="4"/>
  <c r="T11" i="4" s="1"/>
  <c r="U87" i="4"/>
  <c r="U11" i="4" s="1"/>
  <c r="V87" i="4"/>
  <c r="V11" i="4" s="1"/>
  <c r="W87" i="4"/>
  <c r="W11" i="4" s="1"/>
  <c r="X87" i="4"/>
  <c r="X11" i="4" s="1"/>
  <c r="AM87" i="4"/>
  <c r="AM11" i="4" s="1"/>
  <c r="G88" i="4"/>
  <c r="G12" i="4" s="1"/>
  <c r="H88" i="4"/>
  <c r="H12" i="4" s="1"/>
  <c r="H30" i="4" s="1"/>
  <c r="I88" i="4"/>
  <c r="I12" i="4" s="1"/>
  <c r="I30" i="4" s="1"/>
  <c r="J89" i="4"/>
  <c r="G90" i="4"/>
  <c r="H90" i="4"/>
  <c r="I90" i="4"/>
  <c r="F108" i="4"/>
  <c r="G108" i="4"/>
  <c r="H108" i="4"/>
  <c r="I108" i="4"/>
  <c r="J108" i="4"/>
  <c r="J118" i="4"/>
  <c r="Q118" i="4"/>
  <c r="Q285" i="6" s="1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Q119" i="4"/>
  <c r="R119" i="4"/>
  <c r="R193" i="4" s="1"/>
  <c r="S119" i="4"/>
  <c r="T119" i="4"/>
  <c r="U119" i="4"/>
  <c r="V119" i="4"/>
  <c r="V193" i="4" s="1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Q128" i="4"/>
  <c r="R128" i="4"/>
  <c r="S128" i="4"/>
  <c r="T128" i="4"/>
  <c r="U128" i="4"/>
  <c r="U198" i="4" s="1"/>
  <c r="V128" i="4"/>
  <c r="W128" i="4"/>
  <c r="X128" i="4"/>
  <c r="Y128" i="4"/>
  <c r="Y198" i="4" s="1"/>
  <c r="Z128" i="4"/>
  <c r="AA128" i="4"/>
  <c r="AB128" i="4"/>
  <c r="AC128" i="4"/>
  <c r="AC198" i="4" s="1"/>
  <c r="AD128" i="4"/>
  <c r="AE128" i="4"/>
  <c r="AF128" i="4"/>
  <c r="AG128" i="4"/>
  <c r="AH128" i="4"/>
  <c r="AI128" i="4"/>
  <c r="AJ128" i="4"/>
  <c r="AK128" i="4"/>
  <c r="AL128" i="4"/>
  <c r="AM128" i="4"/>
  <c r="AO129" i="4"/>
  <c r="AO199" i="4" s="1"/>
  <c r="G260" i="4"/>
  <c r="H260" i="4"/>
  <c r="I260" i="4"/>
  <c r="J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L260" i="4"/>
  <c r="AM260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L261" i="4"/>
  <c r="AM261" i="4"/>
  <c r="G262" i="4"/>
  <c r="H262" i="4"/>
  <c r="I262" i="4"/>
  <c r="J262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L262" i="4"/>
  <c r="AM262" i="4"/>
  <c r="AO262" i="4"/>
  <c r="AP262" i="4" s="1"/>
  <c r="AQ262" i="4" s="1"/>
  <c r="AR262" i="4" s="1"/>
  <c r="AS262" i="4" s="1"/>
  <c r="AT262" i="4" s="1"/>
  <c r="AU262" i="4" s="1"/>
  <c r="AV262" i="4" s="1"/>
  <c r="AW262" i="4" s="1"/>
  <c r="AX262" i="4" s="1"/>
  <c r="AY262" i="4" s="1"/>
  <c r="AZ262" i="4" s="1"/>
  <c r="B267" i="4"/>
  <c r="F268" i="4"/>
  <c r="G268" i="4"/>
  <c r="G324" i="4" s="1"/>
  <c r="H268" i="4"/>
  <c r="I268" i="4"/>
  <c r="J268" i="4"/>
  <c r="Q268" i="4"/>
  <c r="R268" i="4"/>
  <c r="S268" i="4"/>
  <c r="T268" i="4"/>
  <c r="U268" i="4"/>
  <c r="U324" i="4" s="1"/>
  <c r="V268" i="4"/>
  <c r="W268" i="4"/>
  <c r="W324" i="4" s="1"/>
  <c r="X268" i="4"/>
  <c r="X324" i="4" s="1"/>
  <c r="Y268" i="4"/>
  <c r="Y324" i="4" s="1"/>
  <c r="Z268" i="4"/>
  <c r="AA268" i="4"/>
  <c r="AB268" i="4"/>
  <c r="AB324" i="4" s="1"/>
  <c r="AC268" i="4"/>
  <c r="AC324" i="4" s="1"/>
  <c r="AD268" i="4"/>
  <c r="AE268" i="4"/>
  <c r="AF268" i="4"/>
  <c r="AF324" i="4" s="1"/>
  <c r="AG268" i="4"/>
  <c r="AG324" i="4" s="1"/>
  <c r="AH268" i="4"/>
  <c r="AI268" i="4"/>
  <c r="AJ268" i="4"/>
  <c r="AJ324" i="4" s="1"/>
  <c r="AK268" i="4"/>
  <c r="AK324" i="4" s="1"/>
  <c r="AL268" i="4"/>
  <c r="AM268" i="4"/>
  <c r="AM324" i="4" s="1"/>
  <c r="AC275" i="4"/>
  <c r="AD275" i="4"/>
  <c r="AG275" i="4"/>
  <c r="AH275" i="4"/>
  <c r="AK275" i="4"/>
  <c r="AL275" i="4"/>
  <c r="F282" i="4"/>
  <c r="F285" i="4" s="1"/>
  <c r="F116" i="4" s="1"/>
  <c r="G282" i="4"/>
  <c r="H282" i="4"/>
  <c r="H285" i="4" s="1"/>
  <c r="H116" i="4" s="1"/>
  <c r="I282" i="4"/>
  <c r="I286" i="4" s="1"/>
  <c r="I117" i="4" s="1"/>
  <c r="J282" i="4"/>
  <c r="J285" i="4" s="1"/>
  <c r="J116" i="4" s="1"/>
  <c r="F292" i="4"/>
  <c r="F118" i="4" s="1"/>
  <c r="G292" i="4"/>
  <c r="G118" i="4" s="1"/>
  <c r="H292" i="4"/>
  <c r="H118" i="4" s="1"/>
  <c r="I292" i="4"/>
  <c r="I118" i="4" s="1"/>
  <c r="I192" i="4" s="1"/>
  <c r="G303" i="4"/>
  <c r="G329" i="4" s="1"/>
  <c r="H303" i="4"/>
  <c r="H329" i="4" s="1"/>
  <c r="I303" i="4"/>
  <c r="I329" i="4" s="1"/>
  <c r="AG73" i="6"/>
  <c r="AK73" i="6"/>
  <c r="J302" i="4"/>
  <c r="J43" i="4" s="1"/>
  <c r="J64" i="4" s="1"/>
  <c r="AK302" i="4"/>
  <c r="AK43" i="4" s="1"/>
  <c r="AM303" i="4"/>
  <c r="AL10" i="8" s="1"/>
  <c r="AL22" i="8" s="1"/>
  <c r="AL34" i="8" s="1"/>
  <c r="G308" i="4"/>
  <c r="H308" i="4"/>
  <c r="I308" i="4"/>
  <c r="J307" i="4"/>
  <c r="J44" i="4" s="1"/>
  <c r="J65" i="4" s="1"/>
  <c r="AG87" i="6"/>
  <c r="AK87" i="6"/>
  <c r="AL306" i="4"/>
  <c r="AG307" i="4"/>
  <c r="AK307" i="4"/>
  <c r="H313" i="4"/>
  <c r="Y311" i="4"/>
  <c r="G313" i="4"/>
  <c r="V314" i="4"/>
  <c r="W314" i="4"/>
  <c r="X314" i="4"/>
  <c r="AS318" i="4"/>
  <c r="G321" i="4"/>
  <c r="H321" i="4"/>
  <c r="AG349" i="4"/>
  <c r="F350" i="4"/>
  <c r="F353" i="4"/>
  <c r="U353" i="4"/>
  <c r="V353" i="4"/>
  <c r="W353" i="4"/>
  <c r="X353" i="4"/>
  <c r="F354" i="4"/>
  <c r="AK367" i="4"/>
  <c r="Q368" i="4"/>
  <c r="R368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W361" i="4"/>
  <c r="Z361" i="4"/>
  <c r="X362" i="4"/>
  <c r="Q363" i="4"/>
  <c r="Q364" i="4" s="1"/>
  <c r="R363" i="4"/>
  <c r="R364" i="4" s="1"/>
  <c r="S363" i="4"/>
  <c r="S364" i="4" s="1"/>
  <c r="T363" i="4"/>
  <c r="T364" i="4" s="1"/>
  <c r="U363" i="4"/>
  <c r="U364" i="4" s="1"/>
  <c r="V363" i="4"/>
  <c r="V364" i="4" s="1"/>
  <c r="W363" i="4"/>
  <c r="W364" i="4" s="1"/>
  <c r="X363" i="4"/>
  <c r="X364" i="4" s="1"/>
  <c r="Y363" i="4"/>
  <c r="Y364" i="4" s="1"/>
  <c r="Z363" i="4"/>
  <c r="Z364" i="4" s="1"/>
  <c r="AA363" i="4"/>
  <c r="AA364" i="4" s="1"/>
  <c r="AB363" i="4"/>
  <c r="AB364" i="4" s="1"/>
  <c r="AC363" i="4"/>
  <c r="AC364" i="4" s="1"/>
  <c r="AD363" i="4"/>
  <c r="AD364" i="4" s="1"/>
  <c r="AE363" i="4"/>
  <c r="AE364" i="4" s="1"/>
  <c r="AF363" i="4"/>
  <c r="AF364" i="4" s="1"/>
  <c r="AG363" i="4"/>
  <c r="AG364" i="4" s="1"/>
  <c r="AH363" i="4"/>
  <c r="AH364" i="4" s="1"/>
  <c r="AI363" i="4"/>
  <c r="AJ363" i="4"/>
  <c r="AK363" i="4"/>
  <c r="AK364" i="4" s="1"/>
  <c r="F365" i="4"/>
  <c r="F369" i="4"/>
  <c r="H412" i="4"/>
  <c r="I412" i="4"/>
  <c r="J412" i="4"/>
  <c r="H413" i="4"/>
  <c r="H426" i="4" s="1"/>
  <c r="H425" i="4" s="1"/>
  <c r="I413" i="4"/>
  <c r="I426" i="4" s="1"/>
  <c r="I425" i="4" s="1"/>
  <c r="J413" i="4"/>
  <c r="H414" i="4"/>
  <c r="H438" i="4" s="1"/>
  <c r="I414" i="4"/>
  <c r="J414" i="4"/>
  <c r="H415" i="4"/>
  <c r="I415" i="4"/>
  <c r="J415" i="4"/>
  <c r="H416" i="4"/>
  <c r="I416" i="4"/>
  <c r="J416" i="4"/>
  <c r="H417" i="4"/>
  <c r="H431" i="4" s="1"/>
  <c r="H429" i="4" s="1"/>
  <c r="I417" i="4"/>
  <c r="J417" i="4"/>
  <c r="G429" i="4"/>
  <c r="G433" i="4"/>
  <c r="G437" i="4"/>
  <c r="AJ193" i="4" l="1"/>
  <c r="AF193" i="4"/>
  <c r="AB193" i="4"/>
  <c r="X193" i="4"/>
  <c r="T193" i="4"/>
  <c r="J186" i="4"/>
  <c r="I186" i="4"/>
  <c r="H186" i="4"/>
  <c r="AK198" i="4"/>
  <c r="AE285" i="6"/>
  <c r="AE192" i="4"/>
  <c r="AJ198" i="4"/>
  <c r="AF198" i="4"/>
  <c r="AB198" i="4"/>
  <c r="X198" i="4"/>
  <c r="T198" i="4"/>
  <c r="AM193" i="4"/>
  <c r="AN193" i="4"/>
  <c r="AI193" i="4"/>
  <c r="AE193" i="4"/>
  <c r="AA193" i="4"/>
  <c r="W193" i="4"/>
  <c r="S193" i="4"/>
  <c r="AL285" i="6"/>
  <c r="AL136" i="6" s="1"/>
  <c r="AL192" i="4"/>
  <c r="AH285" i="6"/>
  <c r="AH192" i="4"/>
  <c r="AD285" i="6"/>
  <c r="AD192" i="4"/>
  <c r="Z285" i="6"/>
  <c r="Z192" i="4"/>
  <c r="V285" i="6"/>
  <c r="V192" i="4"/>
  <c r="R285" i="6"/>
  <c r="R192" i="4"/>
  <c r="AI285" i="6"/>
  <c r="AI136" i="6" s="1"/>
  <c r="AI192" i="4"/>
  <c r="S285" i="6"/>
  <c r="S192" i="4"/>
  <c r="H192" i="4"/>
  <c r="AM198" i="4"/>
  <c r="AN198" i="4"/>
  <c r="AI198" i="4"/>
  <c r="AE198" i="4"/>
  <c r="AA198" i="4"/>
  <c r="W198" i="4"/>
  <c r="S198" i="4"/>
  <c r="AL193" i="4"/>
  <c r="AH193" i="4"/>
  <c r="AD193" i="4"/>
  <c r="Z193" i="4"/>
  <c r="AK285" i="6"/>
  <c r="AK136" i="6" s="1"/>
  <c r="AK192" i="4"/>
  <c r="AG285" i="6"/>
  <c r="AG192" i="4"/>
  <c r="AC285" i="6"/>
  <c r="AC192" i="4"/>
  <c r="Y285" i="6"/>
  <c r="Y192" i="4"/>
  <c r="U285" i="6"/>
  <c r="U192" i="4"/>
  <c r="AG198" i="4"/>
  <c r="AM285" i="6"/>
  <c r="AM136" i="6" s="1"/>
  <c r="AM192" i="4"/>
  <c r="AN192" i="4"/>
  <c r="AA285" i="6"/>
  <c r="AA286" i="6" s="1"/>
  <c r="AA192" i="4"/>
  <c r="W285" i="6"/>
  <c r="W286" i="6" s="1"/>
  <c r="W192" i="4"/>
  <c r="G192" i="4"/>
  <c r="AL198" i="4"/>
  <c r="AH198" i="4"/>
  <c r="AD198" i="4"/>
  <c r="Z198" i="4"/>
  <c r="V198" i="4"/>
  <c r="R198" i="4"/>
  <c r="AK193" i="4"/>
  <c r="AG193" i="4"/>
  <c r="AC193" i="4"/>
  <c r="Y193" i="4"/>
  <c r="U193" i="4"/>
  <c r="AJ285" i="6"/>
  <c r="AJ136" i="6" s="1"/>
  <c r="AJ192" i="4"/>
  <c r="AF285" i="6"/>
  <c r="AF192" i="4"/>
  <c r="AB285" i="6"/>
  <c r="AB192" i="4"/>
  <c r="X285" i="6"/>
  <c r="X192" i="4"/>
  <c r="T285" i="6"/>
  <c r="T192" i="4"/>
  <c r="J192" i="4"/>
  <c r="G186" i="4"/>
  <c r="W338" i="4"/>
  <c r="AL338" i="4"/>
  <c r="V338" i="4"/>
  <c r="H289" i="4"/>
  <c r="F281" i="6"/>
  <c r="F282" i="6" s="1"/>
  <c r="F285" i="6"/>
  <c r="F286" i="6" s="1"/>
  <c r="G285" i="6"/>
  <c r="G286" i="6" s="1"/>
  <c r="I285" i="6"/>
  <c r="I286" i="6" s="1"/>
  <c r="H285" i="6"/>
  <c r="H286" i="6" s="1"/>
  <c r="J285" i="6"/>
  <c r="J136" i="6" s="1"/>
  <c r="I313" i="6"/>
  <c r="I290" i="4"/>
  <c r="AM338" i="4"/>
  <c r="AM344" i="4" s="1"/>
  <c r="H322" i="4"/>
  <c r="I289" i="4"/>
  <c r="V281" i="4"/>
  <c r="V280" i="4" s="1"/>
  <c r="I13" i="4"/>
  <c r="H13" i="4"/>
  <c r="AA338" i="4"/>
  <c r="H338" i="4"/>
  <c r="W281" i="4"/>
  <c r="W286" i="4" s="1"/>
  <c r="G13" i="4"/>
  <c r="AS241" i="5"/>
  <c r="AO241" i="5"/>
  <c r="AU239" i="5"/>
  <c r="AQ239" i="5"/>
  <c r="AV241" i="5"/>
  <c r="AR241" i="5"/>
  <c r="AT239" i="5"/>
  <c r="AP239" i="5"/>
  <c r="AU241" i="5"/>
  <c r="AQ241" i="5"/>
  <c r="AS239" i="5"/>
  <c r="AO239" i="5"/>
  <c r="R361" i="4"/>
  <c r="R301" i="4" s="1"/>
  <c r="R85" i="4" s="1"/>
  <c r="R7" i="4" s="1"/>
  <c r="R8" i="4" s="1"/>
  <c r="Y214" i="6"/>
  <c r="Y216" i="6" s="1"/>
  <c r="V280" i="6"/>
  <c r="J280" i="6"/>
  <c r="AI280" i="6"/>
  <c r="AA280" i="6"/>
  <c r="W280" i="6"/>
  <c r="AK135" i="5"/>
  <c r="U135" i="5"/>
  <c r="AO14" i="5"/>
  <c r="AP14" i="5" s="1"/>
  <c r="AI51" i="5"/>
  <c r="AI65" i="5" s="1"/>
  <c r="AI66" i="5" s="1"/>
  <c r="AH28" i="5"/>
  <c r="V259" i="5"/>
  <c r="AT238" i="5"/>
  <c r="AP238" i="5"/>
  <c r="AD51" i="5"/>
  <c r="AS238" i="5"/>
  <c r="AO238" i="5"/>
  <c r="AE135" i="5"/>
  <c r="W65" i="5"/>
  <c r="AL28" i="5"/>
  <c r="Z28" i="5"/>
  <c r="AV238" i="5"/>
  <c r="AR238" i="5"/>
  <c r="AO133" i="5"/>
  <c r="AQ244" i="5"/>
  <c r="AI135" i="5"/>
  <c r="F46" i="5"/>
  <c r="F249" i="5" s="1"/>
  <c r="F21" i="5"/>
  <c r="AP244" i="5"/>
  <c r="AI259" i="5"/>
  <c r="AA259" i="5"/>
  <c r="W259" i="5"/>
  <c r="AO236" i="5"/>
  <c r="AA65" i="5"/>
  <c r="AA66" i="5" s="1"/>
  <c r="AO249" i="5"/>
  <c r="AO244" i="5"/>
  <c r="AS133" i="5"/>
  <c r="AL51" i="5"/>
  <c r="AH51" i="5"/>
  <c r="Z51" i="5"/>
  <c r="V51" i="5"/>
  <c r="V65" i="5" s="1"/>
  <c r="V66" i="5" s="1"/>
  <c r="F37" i="5"/>
  <c r="F245" i="5" s="1"/>
  <c r="F260" i="5" s="1"/>
  <c r="I276" i="6"/>
  <c r="I126" i="6"/>
  <c r="AK272" i="6"/>
  <c r="AK120" i="6"/>
  <c r="I274" i="6"/>
  <c r="I122" i="6"/>
  <c r="J272" i="6"/>
  <c r="J120" i="6"/>
  <c r="I130" i="6"/>
  <c r="J130" i="6"/>
  <c r="I278" i="6"/>
  <c r="I128" i="6"/>
  <c r="I272" i="6"/>
  <c r="I120" i="6"/>
  <c r="AM254" i="6"/>
  <c r="AM258" i="6"/>
  <c r="AM256" i="6"/>
  <c r="AM261" i="6"/>
  <c r="H1" i="6"/>
  <c r="H62" i="6" s="1"/>
  <c r="G220" i="6"/>
  <c r="G226" i="6"/>
  <c r="AE361" i="4"/>
  <c r="S361" i="4"/>
  <c r="S301" i="4" s="1"/>
  <c r="AA361" i="4"/>
  <c r="AM216" i="6"/>
  <c r="AM233" i="6"/>
  <c r="AM232" i="6"/>
  <c r="AM231" i="6"/>
  <c r="AN171" i="21"/>
  <c r="AO167" i="21" s="1"/>
  <c r="AN175" i="21"/>
  <c r="AO175" i="21" s="1"/>
  <c r="AM161" i="21"/>
  <c r="AN157" i="21" s="1"/>
  <c r="AM164" i="21"/>
  <c r="AM241" i="6"/>
  <c r="AM94" i="20" s="1"/>
  <c r="AM237" i="6"/>
  <c r="AM92" i="20" s="1"/>
  <c r="G216" i="6"/>
  <c r="AL89" i="4"/>
  <c r="AL280" i="6" s="1"/>
  <c r="AH281" i="4"/>
  <c r="AD89" i="4"/>
  <c r="AD280" i="6" s="1"/>
  <c r="Z281" i="4"/>
  <c r="Z286" i="4" s="1"/>
  <c r="Z117" i="4" s="1"/>
  <c r="R281" i="4"/>
  <c r="R286" i="4" s="1"/>
  <c r="R117" i="4" s="1"/>
  <c r="AJ338" i="4"/>
  <c r="AJ365" i="4" s="1"/>
  <c r="AI365" i="4" s="1"/>
  <c r="AI364" i="4" s="1"/>
  <c r="AF89" i="4"/>
  <c r="AF280" i="6" s="1"/>
  <c r="AB338" i="4"/>
  <c r="X338" i="4"/>
  <c r="AM89" i="4"/>
  <c r="AM280" i="6" s="1"/>
  <c r="AI338" i="4"/>
  <c r="AE89" i="4"/>
  <c r="AE280" i="6" s="1"/>
  <c r="AA281" i="4"/>
  <c r="AA280" i="4" s="1"/>
  <c r="S89" i="4"/>
  <c r="S280" i="6" s="1"/>
  <c r="AK200" i="5"/>
  <c r="AK225" i="5" s="1"/>
  <c r="AG200" i="5"/>
  <c r="AG225" i="5" s="1"/>
  <c r="AC200" i="5"/>
  <c r="AC225" i="5" s="1"/>
  <c r="Y224" i="5"/>
  <c r="U224" i="5"/>
  <c r="Q207" i="5"/>
  <c r="AJ200" i="5"/>
  <c r="AJ225" i="5" s="1"/>
  <c r="AF224" i="5"/>
  <c r="AF227" i="5" s="1"/>
  <c r="AB224" i="5"/>
  <c r="X224" i="5"/>
  <c r="T224" i="5"/>
  <c r="AI200" i="5"/>
  <c r="AI225" i="5" s="1"/>
  <c r="AA224" i="5"/>
  <c r="W224" i="5"/>
  <c r="S224" i="5"/>
  <c r="AL224" i="5"/>
  <c r="AH224" i="5"/>
  <c r="AD224" i="5"/>
  <c r="Z224" i="5"/>
  <c r="R224" i="5"/>
  <c r="AK219" i="6"/>
  <c r="Y98" i="6"/>
  <c r="AC99" i="6"/>
  <c r="Z98" i="6"/>
  <c r="AD361" i="4"/>
  <c r="V361" i="4"/>
  <c r="V301" i="4" s="1"/>
  <c r="V73" i="6" s="1"/>
  <c r="V19" i="6" s="1"/>
  <c r="Z99" i="6"/>
  <c r="Q99" i="6"/>
  <c r="U98" i="6"/>
  <c r="AC361" i="4"/>
  <c r="Y361" i="4"/>
  <c r="U361" i="4"/>
  <c r="U301" i="4" s="1"/>
  <c r="U73" i="6" s="1"/>
  <c r="Q361" i="4"/>
  <c r="Q301" i="4" s="1"/>
  <c r="Y99" i="6"/>
  <c r="AC98" i="6"/>
  <c r="BB14" i="6"/>
  <c r="BB32" i="6" s="1"/>
  <c r="V4" i="6"/>
  <c r="Z4" i="6" s="1"/>
  <c r="AD4" i="6" s="1"/>
  <c r="AH4" i="6" s="1"/>
  <c r="AL4" i="6" s="1"/>
  <c r="AP4" i="6" s="1"/>
  <c r="AT4" i="6" s="1"/>
  <c r="AX4" i="6" s="1"/>
  <c r="AB361" i="4"/>
  <c r="X361" i="4"/>
  <c r="U99" i="6"/>
  <c r="U100" i="6" s="1"/>
  <c r="BB16" i="6"/>
  <c r="BA13" i="6"/>
  <c r="BA14" i="6" s="1"/>
  <c r="AD99" i="6"/>
  <c r="AD100" i="6" s="1"/>
  <c r="W99" i="6"/>
  <c r="AD98" i="6"/>
  <c r="W98" i="6"/>
  <c r="F364" i="4"/>
  <c r="J289" i="4"/>
  <c r="V286" i="6"/>
  <c r="J290" i="4"/>
  <c r="AF338" i="4"/>
  <c r="J421" i="4"/>
  <c r="AE338" i="4"/>
  <c r="AI281" i="4"/>
  <c r="AI286" i="4" s="1"/>
  <c r="S281" i="4"/>
  <c r="Y353" i="4"/>
  <c r="AD338" i="4"/>
  <c r="F290" i="4"/>
  <c r="V38" i="4"/>
  <c r="AE267" i="6"/>
  <c r="AE269" i="6" s="1"/>
  <c r="AA267" i="6"/>
  <c r="AA269" i="6" s="1"/>
  <c r="AA100" i="4" s="1"/>
  <c r="W267" i="6"/>
  <c r="W99" i="4" s="1"/>
  <c r="S267" i="6"/>
  <c r="S99" i="4" s="1"/>
  <c r="I316" i="4"/>
  <c r="AD205" i="5"/>
  <c r="Z267" i="6"/>
  <c r="Z99" i="4" s="1"/>
  <c r="R267" i="6"/>
  <c r="R99" i="4" s="1"/>
  <c r="H316" i="4"/>
  <c r="H296" i="4" s="1"/>
  <c r="H298" i="4" s="1"/>
  <c r="F363" i="4"/>
  <c r="AK267" i="6"/>
  <c r="AK89" i="4"/>
  <c r="AK280" i="6" s="1"/>
  <c r="AG89" i="4"/>
  <c r="AG259" i="5" s="1"/>
  <c r="G316" i="4"/>
  <c r="G296" i="4" s="1"/>
  <c r="G298" i="4" s="1"/>
  <c r="AB267" i="6"/>
  <c r="AB99" i="4" s="1"/>
  <c r="J316" i="4"/>
  <c r="J296" i="4" s="1"/>
  <c r="F267" i="6"/>
  <c r="F99" i="4" s="1"/>
  <c r="W258" i="5"/>
  <c r="AL87" i="6"/>
  <c r="AL91" i="6" s="1"/>
  <c r="AQ14" i="5"/>
  <c r="AP236" i="5"/>
  <c r="AM275" i="4"/>
  <c r="AI275" i="4"/>
  <c r="AE275" i="4"/>
  <c r="C171" i="5"/>
  <c r="AR171" i="5" s="1"/>
  <c r="AE51" i="5"/>
  <c r="AE65" i="5" s="1"/>
  <c r="AE66" i="5" s="1"/>
  <c r="AX23" i="5"/>
  <c r="AW239" i="5"/>
  <c r="AJ28" i="5"/>
  <c r="AF28" i="5"/>
  <c r="AT168" i="5"/>
  <c r="AM135" i="5"/>
  <c r="AN137" i="5" s="1"/>
  <c r="W135" i="5"/>
  <c r="AX22" i="5"/>
  <c r="AW238" i="5"/>
  <c r="AX15" i="5"/>
  <c r="AW241" i="5"/>
  <c r="AV233" i="5"/>
  <c r="AW11" i="5"/>
  <c r="AO172" i="5"/>
  <c r="AO190" i="5"/>
  <c r="AO191" i="5"/>
  <c r="AX9" i="5"/>
  <c r="AW134" i="5"/>
  <c r="X251" i="5"/>
  <c r="AV168" i="5"/>
  <c r="AM55" i="5"/>
  <c r="AJ51" i="5"/>
  <c r="AJ65" i="5" s="1"/>
  <c r="AF51" i="5"/>
  <c r="AF65" i="5" s="1"/>
  <c r="AF66" i="5" s="1"/>
  <c r="X51" i="5"/>
  <c r="X65" i="5" s="1"/>
  <c r="X66" i="5" s="1"/>
  <c r="T51" i="5"/>
  <c r="T65" i="5" s="1"/>
  <c r="T66" i="5" s="1"/>
  <c r="AK28" i="5"/>
  <c r="AG28" i="5"/>
  <c r="AC28" i="5"/>
  <c r="Y28" i="5"/>
  <c r="U28" i="5"/>
  <c r="AV133" i="5"/>
  <c r="AW8" i="5"/>
  <c r="V99" i="6"/>
  <c r="BB13" i="6"/>
  <c r="BB31" i="6" s="1"/>
  <c r="S99" i="6"/>
  <c r="V98" i="6"/>
  <c r="AN81" i="6"/>
  <c r="BB15" i="6"/>
  <c r="BB33" i="6" s="1"/>
  <c r="BB12" i="6"/>
  <c r="BB30" i="6" s="1"/>
  <c r="T99" i="6"/>
  <c r="BB11" i="6"/>
  <c r="BB29" i="6" s="1"/>
  <c r="AG254" i="5"/>
  <c r="AG267" i="6"/>
  <c r="AG269" i="6" s="1"/>
  <c r="AG270" i="6" s="1"/>
  <c r="AC89" i="4"/>
  <c r="AC259" i="5" s="1"/>
  <c r="AC267" i="6"/>
  <c r="AC269" i="6" s="1"/>
  <c r="Y89" i="4"/>
  <c r="Y259" i="5" s="1"/>
  <c r="Y267" i="6"/>
  <c r="Y269" i="6" s="1"/>
  <c r="U89" i="4"/>
  <c r="U280" i="6" s="1"/>
  <c r="U267" i="6"/>
  <c r="U269" i="6" s="1"/>
  <c r="Q89" i="4"/>
  <c r="Q280" i="6" s="1"/>
  <c r="Q267" i="6"/>
  <c r="Q269" i="6" s="1"/>
  <c r="G304" i="6"/>
  <c r="G267" i="6"/>
  <c r="G269" i="6" s="1"/>
  <c r="AK303" i="4"/>
  <c r="AN38" i="4"/>
  <c r="AJ267" i="6"/>
  <c r="AF261" i="5"/>
  <c r="AF267" i="6"/>
  <c r="AF269" i="6" s="1"/>
  <c r="AB85" i="20"/>
  <c r="AB87" i="20" s="1"/>
  <c r="X260" i="5"/>
  <c r="X267" i="6"/>
  <c r="X269" i="6" s="1"/>
  <c r="T89" i="4"/>
  <c r="T280" i="6" s="1"/>
  <c r="T267" i="6"/>
  <c r="T269" i="6" s="1"/>
  <c r="J267" i="6"/>
  <c r="J269" i="6" s="1"/>
  <c r="F85" i="20"/>
  <c r="F87" i="20" s="1"/>
  <c r="AK308" i="4"/>
  <c r="AK44" i="4"/>
  <c r="G290" i="4"/>
  <c r="AC281" i="4"/>
  <c r="AC286" i="4" s="1"/>
  <c r="X38" i="4"/>
  <c r="AM267" i="6"/>
  <c r="AI267" i="6"/>
  <c r="AE85" i="20"/>
  <c r="AE87" i="20" s="1"/>
  <c r="AA85" i="20"/>
  <c r="AA87" i="20" s="1"/>
  <c r="W85" i="20"/>
  <c r="W87" i="20" s="1"/>
  <c r="S85" i="20"/>
  <c r="S87" i="20" s="1"/>
  <c r="I304" i="6"/>
  <c r="I267" i="6"/>
  <c r="I269" i="6" s="1"/>
  <c r="G354" i="4"/>
  <c r="G366" i="4"/>
  <c r="AL142" i="6"/>
  <c r="AD142" i="6"/>
  <c r="V142" i="6"/>
  <c r="AG308" i="4"/>
  <c r="AG44" i="4"/>
  <c r="AG51" i="4" s="1"/>
  <c r="AK50" i="4"/>
  <c r="W38" i="4"/>
  <c r="AL205" i="5"/>
  <c r="AL267" i="6"/>
  <c r="AH267" i="6"/>
  <c r="AD254" i="5"/>
  <c r="AD267" i="6"/>
  <c r="Z85" i="20"/>
  <c r="Z87" i="20" s="1"/>
  <c r="V254" i="5"/>
  <c r="V267" i="6"/>
  <c r="R85" i="20"/>
  <c r="R87" i="20" s="1"/>
  <c r="H304" i="6"/>
  <c r="H267" i="6"/>
  <c r="H269" i="6" s="1"/>
  <c r="AF182" i="20"/>
  <c r="AQ303" i="4"/>
  <c r="AQ329" i="4" s="1"/>
  <c r="J425" i="4"/>
  <c r="J426" i="4" s="1"/>
  <c r="G362" i="4"/>
  <c r="I324" i="4"/>
  <c r="G350" i="4"/>
  <c r="G363" i="4"/>
  <c r="G365" i="4"/>
  <c r="AS168" i="5"/>
  <c r="F43" i="5"/>
  <c r="F34" i="5"/>
  <c r="AP180" i="5"/>
  <c r="AS180" i="5"/>
  <c r="AU168" i="5"/>
  <c r="AV185" i="5" s="1"/>
  <c r="F47" i="5"/>
  <c r="F250" i="5" s="1"/>
  <c r="F42" i="5"/>
  <c r="F33" i="5"/>
  <c r="F25" i="5"/>
  <c r="F237" i="5" s="1"/>
  <c r="F257" i="5" s="1"/>
  <c r="F23" i="5"/>
  <c r="F239" i="5" s="1"/>
  <c r="F9" i="5"/>
  <c r="F134" i="5" s="1"/>
  <c r="G227" i="5"/>
  <c r="F61" i="5"/>
  <c r="F57" i="5"/>
  <c r="F45" i="5"/>
  <c r="F248" i="5" s="1"/>
  <c r="F39" i="5"/>
  <c r="F32" i="5"/>
  <c r="F24" i="5"/>
  <c r="F240" i="5" s="1"/>
  <c r="F258" i="5" s="1"/>
  <c r="F15" i="5"/>
  <c r="F241" i="5" s="1"/>
  <c r="F58" i="5"/>
  <c r="F56" i="5"/>
  <c r="F53" i="5"/>
  <c r="F48" i="5"/>
  <c r="F44" i="5"/>
  <c r="F247" i="5" s="1"/>
  <c r="F38" i="5"/>
  <c r="F246" i="5" s="1"/>
  <c r="F261" i="5" s="1"/>
  <c r="F19" i="5"/>
  <c r="F216" i="5" s="1"/>
  <c r="G211" i="5" s="1"/>
  <c r="G218" i="5" s="1"/>
  <c r="U218" i="5" s="1"/>
  <c r="U213" i="5" s="1"/>
  <c r="F11" i="5"/>
  <c r="F233" i="5" s="1"/>
  <c r="G2" i="5"/>
  <c r="G56" i="5" s="1"/>
  <c r="G95" i="6"/>
  <c r="G96" i="6" s="1"/>
  <c r="AI14" i="6"/>
  <c r="AI15" i="6" s="1"/>
  <c r="G218" i="6"/>
  <c r="J50" i="4"/>
  <c r="J51" i="4"/>
  <c r="H286" i="4"/>
  <c r="H117" i="4" s="1"/>
  <c r="I191" i="4" s="1"/>
  <c r="G55" i="5"/>
  <c r="G35" i="5"/>
  <c r="G243" i="5" s="1"/>
  <c r="AN202" i="5"/>
  <c r="AN208" i="5"/>
  <c r="AN207" i="5"/>
  <c r="AS172" i="5"/>
  <c r="G34" i="5"/>
  <c r="AH14" i="6"/>
  <c r="AH15" i="6" s="1"/>
  <c r="F17" i="6"/>
  <c r="G2" i="6"/>
  <c r="AI197" i="6"/>
  <c r="AH15" i="8" s="1"/>
  <c r="AH27" i="8" s="1"/>
  <c r="AH39" i="8" s="1"/>
  <c r="H2" i="6"/>
  <c r="H266" i="6"/>
  <c r="G266" i="6"/>
  <c r="AJ14" i="6"/>
  <c r="AN13" i="6"/>
  <c r="F266" i="6"/>
  <c r="I266" i="6"/>
  <c r="AN25" i="6"/>
  <c r="AO25" i="6" s="1"/>
  <c r="AP25" i="6" s="1"/>
  <c r="AQ25" i="6" s="1"/>
  <c r="AR25" i="6" s="1"/>
  <c r="AS25" i="6" s="1"/>
  <c r="AT25" i="6" s="1"/>
  <c r="AU25" i="6" s="1"/>
  <c r="AV25" i="6" s="1"/>
  <c r="AW25" i="6" s="1"/>
  <c r="AX25" i="6" s="1"/>
  <c r="AY25" i="6" s="1"/>
  <c r="AZ25" i="6" s="1"/>
  <c r="AH143" i="6"/>
  <c r="Q224" i="5"/>
  <c r="H439" i="4"/>
  <c r="I439" i="4" s="1"/>
  <c r="J439" i="4" s="1"/>
  <c r="AK4" i="4"/>
  <c r="H307" i="6"/>
  <c r="H281" i="6"/>
  <c r="H282" i="6" s="1"/>
  <c r="AE144" i="6"/>
  <c r="AE145" i="6" s="1"/>
  <c r="W144" i="6"/>
  <c r="W145" i="6" s="1"/>
  <c r="G53" i="4"/>
  <c r="Y254" i="5"/>
  <c r="G331" i="4"/>
  <c r="G322" i="4"/>
  <c r="J303" i="4"/>
  <c r="J331" i="4" s="1"/>
  <c r="F286" i="4"/>
  <c r="F117" i="4" s="1"/>
  <c r="AG281" i="4"/>
  <c r="AG280" i="4" s="1"/>
  <c r="Q281" i="4"/>
  <c r="Q286" i="4" s="1"/>
  <c r="AL144" i="6"/>
  <c r="AL145" i="6" s="1"/>
  <c r="AH144" i="6"/>
  <c r="AH145" i="6" s="1"/>
  <c r="AD144" i="6"/>
  <c r="AD145" i="6" s="1"/>
  <c r="Z144" i="6"/>
  <c r="Z145" i="6" s="1"/>
  <c r="V144" i="6"/>
  <c r="V145" i="6" s="1"/>
  <c r="R144" i="6"/>
  <c r="R145" i="6" s="1"/>
  <c r="AI276" i="6"/>
  <c r="H1" i="4"/>
  <c r="H366" i="4" s="1"/>
  <c r="G142" i="4"/>
  <c r="U261" i="5"/>
  <c r="AK254" i="5"/>
  <c r="U254" i="5"/>
  <c r="AL261" i="5"/>
  <c r="AP261" i="5" s="1"/>
  <c r="AD261" i="5"/>
  <c r="Z261" i="5"/>
  <c r="V261" i="5"/>
  <c r="AI260" i="5"/>
  <c r="AA260" i="5"/>
  <c r="AK142" i="6"/>
  <c r="AG142" i="6"/>
  <c r="AC142" i="6"/>
  <c r="Y142" i="6"/>
  <c r="U142" i="6"/>
  <c r="Q142" i="6"/>
  <c r="AI144" i="6"/>
  <c r="S144" i="6"/>
  <c r="S145" i="6" s="1"/>
  <c r="U260" i="5"/>
  <c r="G426" i="4"/>
  <c r="G425" i="4" s="1"/>
  <c r="G353" i="4"/>
  <c r="G289" i="4"/>
  <c r="AK281" i="4"/>
  <c r="U281" i="4"/>
  <c r="U286" i="4" s="1"/>
  <c r="AM280" i="4"/>
  <c r="AK144" i="6"/>
  <c r="AK145" i="6" s="1"/>
  <c r="AG144" i="6"/>
  <c r="AG139" i="6" s="1"/>
  <c r="AG140" i="6" s="1"/>
  <c r="AC144" i="6"/>
  <c r="AC145" i="6" s="1"/>
  <c r="Y144" i="6"/>
  <c r="Y145" i="6" s="1"/>
  <c r="Q144" i="6"/>
  <c r="Q145" i="6" s="1"/>
  <c r="I53" i="4"/>
  <c r="AK261" i="5"/>
  <c r="AO261" i="5" s="1"/>
  <c r="AK260" i="5"/>
  <c r="AO260" i="5" s="1"/>
  <c r="AS260" i="5" s="1"/>
  <c r="AW260" i="5" s="1"/>
  <c r="AI258" i="5"/>
  <c r="AC258" i="5"/>
  <c r="AM144" i="6"/>
  <c r="AM145" i="6" s="1"/>
  <c r="AA144" i="6"/>
  <c r="AA145" i="6" s="1"/>
  <c r="AC261" i="5"/>
  <c r="W301" i="4"/>
  <c r="W73" i="6" s="1"/>
  <c r="W19" i="6" s="1"/>
  <c r="AK338" i="4"/>
  <c r="AG338" i="4"/>
  <c r="AC338" i="4"/>
  <c r="Y338" i="4"/>
  <c r="U338" i="4"/>
  <c r="G338" i="4"/>
  <c r="J324" i="4"/>
  <c r="AH306" i="4"/>
  <c r="AH87" i="6" s="1"/>
  <c r="J307" i="6"/>
  <c r="J281" i="6"/>
  <c r="Y281" i="4"/>
  <c r="Y286" i="4" s="1"/>
  <c r="AJ144" i="6"/>
  <c r="AN146" i="6" s="1"/>
  <c r="AF144" i="6"/>
  <c r="AF145" i="6" s="1"/>
  <c r="AB144" i="6"/>
  <c r="AB139" i="6" s="1"/>
  <c r="AB140" i="6" s="1"/>
  <c r="X144" i="6"/>
  <c r="X145" i="6" s="1"/>
  <c r="T144" i="6"/>
  <c r="T145" i="6" s="1"/>
  <c r="H53" i="4"/>
  <c r="AL254" i="5"/>
  <c r="G2" i="4"/>
  <c r="AC260" i="5"/>
  <c r="AC254" i="5"/>
  <c r="G220" i="5"/>
  <c r="AH205" i="5"/>
  <c r="AM142" i="6"/>
  <c r="AO142" i="6" s="1"/>
  <c r="AP142" i="6" s="1"/>
  <c r="AQ142" i="6" s="1"/>
  <c r="AR142" i="6" s="1"/>
  <c r="AS142" i="6" s="1"/>
  <c r="AT142" i="6" s="1"/>
  <c r="AU142" i="6" s="1"/>
  <c r="AV142" i="6" s="1"/>
  <c r="AW142" i="6" s="1"/>
  <c r="AI142" i="6"/>
  <c r="AE142" i="6"/>
  <c r="AA142" i="6"/>
  <c r="W142" i="6"/>
  <c r="S142" i="6"/>
  <c r="F307" i="6"/>
  <c r="AH197" i="6"/>
  <c r="AG15" i="8" s="1"/>
  <c r="AG27" i="8" s="1"/>
  <c r="AG39" i="8" s="1"/>
  <c r="AG224" i="5"/>
  <c r="AL143" i="6"/>
  <c r="V143" i="6"/>
  <c r="AC224" i="5"/>
  <c r="AK224" i="5"/>
  <c r="AR133" i="5"/>
  <c r="AU133" i="5"/>
  <c r="AQ133" i="5"/>
  <c r="AR233" i="5"/>
  <c r="AU134" i="5"/>
  <c r="AQ134" i="5"/>
  <c r="AT133" i="5"/>
  <c r="AP133" i="5"/>
  <c r="AU233" i="5"/>
  <c r="AQ233" i="5"/>
  <c r="AT233" i="5"/>
  <c r="AP233" i="5"/>
  <c r="AS233" i="5"/>
  <c r="AO233" i="5"/>
  <c r="AP129" i="4"/>
  <c r="AH142" i="6"/>
  <c r="Z142" i="6"/>
  <c r="R142" i="6"/>
  <c r="AD143" i="6"/>
  <c r="AG219" i="6"/>
  <c r="W276" i="6"/>
  <c r="AJ224" i="5"/>
  <c r="AH219" i="6"/>
  <c r="AD219" i="6"/>
  <c r="I311" i="6"/>
  <c r="J311" i="6"/>
  <c r="AI219" i="6"/>
  <c r="AI143" i="6"/>
  <c r="AA143" i="6"/>
  <c r="AB207" i="5"/>
  <c r="X207" i="5"/>
  <c r="AM143" i="6"/>
  <c r="AE143" i="6"/>
  <c r="W143" i="6"/>
  <c r="AE219" i="6"/>
  <c r="AG207" i="5"/>
  <c r="AA207" i="5"/>
  <c r="AH200" i="5"/>
  <c r="AH208" i="5" s="1"/>
  <c r="AI224" i="5"/>
  <c r="Q213" i="5"/>
  <c r="AN226" i="5"/>
  <c r="AC207" i="5"/>
  <c r="AL200" i="5"/>
  <c r="AL225" i="5" s="1"/>
  <c r="AD200" i="5"/>
  <c r="AD208" i="5" s="1"/>
  <c r="T207" i="5"/>
  <c r="AE285" i="4"/>
  <c r="AE116" i="4" s="1"/>
  <c r="AE289" i="4"/>
  <c r="AH214" i="6"/>
  <c r="AG214" i="6"/>
  <c r="AB251" i="5"/>
  <c r="AG214" i="5"/>
  <c r="AG220" i="5" s="1"/>
  <c r="AH221" i="5"/>
  <c r="AI221" i="5" s="1"/>
  <c r="AJ221" i="5" s="1"/>
  <c r="AG353" i="4"/>
  <c r="H324" i="4"/>
  <c r="H326" i="4" s="1"/>
  <c r="H327" i="4" s="1"/>
  <c r="AG91" i="6"/>
  <c r="AG302" i="4"/>
  <c r="H421" i="4"/>
  <c r="AE286" i="4"/>
  <c r="AE117" i="4" s="1"/>
  <c r="V266" i="6"/>
  <c r="V258" i="5"/>
  <c r="R218" i="5"/>
  <c r="S218" i="5" s="1"/>
  <c r="AO171" i="5"/>
  <c r="AS36" i="5"/>
  <c r="AR244" i="5"/>
  <c r="AF251" i="5"/>
  <c r="AC214" i="5"/>
  <c r="AC220" i="5" s="1"/>
  <c r="AD221" i="5"/>
  <c r="AP47" i="5"/>
  <c r="AO250" i="5"/>
  <c r="AP45" i="5"/>
  <c r="AO248" i="5"/>
  <c r="AL367" i="4"/>
  <c r="AH324" i="4"/>
  <c r="AK88" i="6"/>
  <c r="AK91" i="6"/>
  <c r="I331" i="4"/>
  <c r="AA276" i="6"/>
  <c r="AA90" i="4"/>
  <c r="J88" i="4"/>
  <c r="J274" i="6"/>
  <c r="J278" i="6"/>
  <c r="J90" i="4"/>
  <c r="AJ205" i="5"/>
  <c r="AJ254" i="5"/>
  <c r="AJ261" i="5"/>
  <c r="AJ89" i="4"/>
  <c r="AJ280" i="6" s="1"/>
  <c r="AJ260" i="5"/>
  <c r="AF205" i="5"/>
  <c r="AF260" i="5"/>
  <c r="AF254" i="5"/>
  <c r="AB254" i="5"/>
  <c r="AB260" i="5"/>
  <c r="AB261" i="5"/>
  <c r="AB89" i="4"/>
  <c r="AB280" i="6" s="1"/>
  <c r="X261" i="5"/>
  <c r="X89" i="4"/>
  <c r="X280" i="6" s="1"/>
  <c r="X254" i="5"/>
  <c r="J304" i="6"/>
  <c r="J220" i="5"/>
  <c r="F220" i="5"/>
  <c r="F304" i="6"/>
  <c r="AA258" i="5"/>
  <c r="Y214" i="5"/>
  <c r="Y220" i="5" s="1"/>
  <c r="Z221" i="5"/>
  <c r="AL65" i="5"/>
  <c r="AL66" i="5" s="1"/>
  <c r="AH65" i="5"/>
  <c r="AH66" i="5" s="1"/>
  <c r="AD65" i="5"/>
  <c r="AD66" i="5" s="1"/>
  <c r="Z65" i="5"/>
  <c r="AH261" i="5"/>
  <c r="AI261" i="5"/>
  <c r="AJ251" i="5"/>
  <c r="T251" i="5"/>
  <c r="T252" i="5" s="1"/>
  <c r="AQ46" i="5"/>
  <c r="AP249" i="5"/>
  <c r="AO44" i="5"/>
  <c r="H331" i="4"/>
  <c r="G326" i="4"/>
  <c r="G327" i="4" s="1"/>
  <c r="AG312" i="4"/>
  <c r="AK74" i="6"/>
  <c r="F119" i="4"/>
  <c r="AM254" i="5"/>
  <c r="AI254" i="5"/>
  <c r="AE254" i="5"/>
  <c r="AA254" i="5"/>
  <c r="W254" i="5"/>
  <c r="AA261" i="5"/>
  <c r="AL197" i="5"/>
  <c r="AL206" i="5" s="1"/>
  <c r="AK202" i="5"/>
  <c r="AM200" i="5"/>
  <c r="AM225" i="5" s="1"/>
  <c r="AM224" i="5"/>
  <c r="AE200" i="5"/>
  <c r="AE225" i="5" s="1"/>
  <c r="AE224" i="5"/>
  <c r="AQ172" i="5"/>
  <c r="AP172" i="5"/>
  <c r="AQ180" i="5"/>
  <c r="W66" i="5"/>
  <c r="G119" i="4"/>
  <c r="U144" i="6"/>
  <c r="AH89" i="4"/>
  <c r="AH259" i="5" s="1"/>
  <c r="R89" i="4"/>
  <c r="R280" i="6" s="1"/>
  <c r="AG266" i="6"/>
  <c r="U276" i="6"/>
  <c r="AM261" i="5"/>
  <c r="AG261" i="5"/>
  <c r="W261" i="5"/>
  <c r="AE260" i="5"/>
  <c r="Y260" i="5"/>
  <c r="AH254" i="5"/>
  <c r="Z254" i="5"/>
  <c r="AL251" i="5"/>
  <c r="AH251" i="5"/>
  <c r="AD251" i="5"/>
  <c r="Z251" i="5"/>
  <c r="V251" i="5"/>
  <c r="AM251" i="5"/>
  <c r="AI251" i="5"/>
  <c r="AE251" i="5"/>
  <c r="AA251" i="5"/>
  <c r="W251" i="5"/>
  <c r="H220" i="5"/>
  <c r="AM205" i="5"/>
  <c r="AI205" i="5"/>
  <c r="AE205" i="5"/>
  <c r="AH202" i="5"/>
  <c r="AD202" i="5"/>
  <c r="AE197" i="5"/>
  <c r="S207" i="5"/>
  <c r="AR184" i="5"/>
  <c r="AA135" i="5"/>
  <c r="F55" i="5"/>
  <c r="G53" i="5"/>
  <c r="G44" i="5"/>
  <c r="G247" i="5" s="1"/>
  <c r="G43" i="5"/>
  <c r="G42" i="5"/>
  <c r="G39" i="5"/>
  <c r="G38" i="5"/>
  <c r="G246" i="5" s="1"/>
  <c r="F36" i="5"/>
  <c r="F244" i="5" s="1"/>
  <c r="F35" i="5"/>
  <c r="F243" i="5" s="1"/>
  <c r="F31" i="5"/>
  <c r="F20" i="5"/>
  <c r="F7" i="5"/>
  <c r="F132" i="5" s="1"/>
  <c r="G131" i="5" s="1"/>
  <c r="S4" i="5"/>
  <c r="T4" i="5" s="1"/>
  <c r="X4" i="5" s="1"/>
  <c r="AB4" i="5" s="1"/>
  <c r="AF4" i="5" s="1"/>
  <c r="AJ4" i="5" s="1"/>
  <c r="AN4" i="5" s="1"/>
  <c r="AR4" i="5" s="1"/>
  <c r="AV4" i="5" s="1"/>
  <c r="AZ4" i="5" s="1"/>
  <c r="V4" i="5"/>
  <c r="Z4" i="5" s="1"/>
  <c r="AD4" i="5" s="1"/>
  <c r="AH4" i="5" s="1"/>
  <c r="AL4" i="5" s="1"/>
  <c r="AP4" i="5" s="1"/>
  <c r="AT4" i="5" s="1"/>
  <c r="AX4" i="5" s="1"/>
  <c r="I1" i="5"/>
  <c r="H2" i="5"/>
  <c r="H7" i="5" s="1"/>
  <c r="AJ142" i="6"/>
  <c r="AJ143" i="6"/>
  <c r="AF142" i="6"/>
  <c r="AF143" i="6"/>
  <c r="AB142" i="6"/>
  <c r="AB143" i="6"/>
  <c r="X142" i="6"/>
  <c r="X143" i="6"/>
  <c r="T142" i="6"/>
  <c r="H311" i="6"/>
  <c r="Z89" i="4"/>
  <c r="Z280" i="6" s="1"/>
  <c r="AE261" i="5"/>
  <c r="Y261" i="5"/>
  <c r="AM260" i="5"/>
  <c r="AG260" i="5"/>
  <c r="W260" i="5"/>
  <c r="AL260" i="5"/>
  <c r="AP260" i="5" s="1"/>
  <c r="AT260" i="5" s="1"/>
  <c r="AX260" i="5" s="1"/>
  <c r="AH260" i="5"/>
  <c r="AD260" i="5"/>
  <c r="Z260" i="5"/>
  <c r="V260" i="5"/>
  <c r="R221" i="5"/>
  <c r="AK205" i="5"/>
  <c r="AG205" i="5"/>
  <c r="AC205" i="5"/>
  <c r="AK207" i="5"/>
  <c r="U207" i="5"/>
  <c r="G199" i="5"/>
  <c r="G224" i="5" s="1"/>
  <c r="W207" i="5"/>
  <c r="AG135" i="5"/>
  <c r="AC135" i="5"/>
  <c r="Y135" i="5"/>
  <c r="G8" i="5"/>
  <c r="G133" i="5" s="1"/>
  <c r="G10" i="5"/>
  <c r="G232" i="5" s="1"/>
  <c r="G12" i="5"/>
  <c r="G234" i="5" s="1"/>
  <c r="G13" i="5"/>
  <c r="G235" i="5" s="1"/>
  <c r="G14" i="5"/>
  <c r="G236" i="5" s="1"/>
  <c r="G9" i="5"/>
  <c r="G134" i="5" s="1"/>
  <c r="G11" i="5"/>
  <c r="G233" i="5" s="1"/>
  <c r="G15" i="5"/>
  <c r="G241" i="5" s="1"/>
  <c r="G21" i="5"/>
  <c r="G24" i="5"/>
  <c r="G240" i="5" s="1"/>
  <c r="G25" i="5"/>
  <c r="G237" i="5" s="1"/>
  <c r="V276" i="6"/>
  <c r="AK251" i="5"/>
  <c r="AG251" i="5"/>
  <c r="AG252" i="5" s="1"/>
  <c r="AC251" i="5"/>
  <c r="AC252" i="5" s="1"/>
  <c r="Y251" i="5"/>
  <c r="U251" i="5"/>
  <c r="Q220" i="5"/>
  <c r="U220" i="5"/>
  <c r="I220" i="5"/>
  <c r="AL135" i="5"/>
  <c r="AM137" i="5" s="1"/>
  <c r="AH135" i="5"/>
  <c r="AI137" i="5" s="1"/>
  <c r="AD135" i="5"/>
  <c r="Z135" i="5"/>
  <c r="AA137" i="5" s="1"/>
  <c r="V135" i="5"/>
  <c r="AB51" i="5"/>
  <c r="AB65" i="5" s="1"/>
  <c r="AB66" i="5" s="1"/>
  <c r="F8" i="5"/>
  <c r="F133" i="5" s="1"/>
  <c r="F10" i="5"/>
  <c r="F232" i="5" s="1"/>
  <c r="F254" i="5" s="1"/>
  <c r="F12" i="5"/>
  <c r="F234" i="5" s="1"/>
  <c r="F13" i="5"/>
  <c r="F235" i="5" s="1"/>
  <c r="F256" i="5" s="1"/>
  <c r="F14" i="5"/>
  <c r="F236" i="5" s="1"/>
  <c r="F22" i="5"/>
  <c r="F238" i="5" s="1"/>
  <c r="AK143" i="6"/>
  <c r="AG143" i="6"/>
  <c r="AC143" i="6"/>
  <c r="H141" i="6"/>
  <c r="H142" i="6" s="1"/>
  <c r="Y143" i="6"/>
  <c r="U143" i="6"/>
  <c r="V274" i="6"/>
  <c r="BA34" i="6"/>
  <c r="BA35" i="6"/>
  <c r="BA36" i="6" s="1"/>
  <c r="G311" i="6"/>
  <c r="V278" i="6"/>
  <c r="AI274" i="6"/>
  <c r="AA274" i="6"/>
  <c r="W274" i="6"/>
  <c r="BA10" i="6"/>
  <c r="BA28" i="6" s="1"/>
  <c r="BA27" i="6"/>
  <c r="AI278" i="6"/>
  <c r="AA278" i="6"/>
  <c r="W278" i="6"/>
  <c r="J266" i="6"/>
  <c r="AE98" i="6"/>
  <c r="AE99" i="6"/>
  <c r="AA98" i="6"/>
  <c r="AA99" i="6"/>
  <c r="AJ13" i="6"/>
  <c r="AG13" i="6"/>
  <c r="AG14" i="6"/>
  <c r="AG15" i="6" s="1"/>
  <c r="J276" i="6"/>
  <c r="U274" i="6"/>
  <c r="AF97" i="6"/>
  <c r="AF98" i="6" s="1"/>
  <c r="AJ219" i="6"/>
  <c r="AF196" i="6"/>
  <c r="AF219" i="6"/>
  <c r="AI266" i="6"/>
  <c r="AA266" i="6"/>
  <c r="W266" i="6"/>
  <c r="V100" i="6"/>
  <c r="G107" i="6"/>
  <c r="G108" i="6" s="1"/>
  <c r="F97" i="6"/>
  <c r="H218" i="6"/>
  <c r="AP13" i="6"/>
  <c r="V4" i="8"/>
  <c r="Z4" i="8" s="1"/>
  <c r="AD4" i="8" s="1"/>
  <c r="AH4" i="8" s="1"/>
  <c r="AL4" i="8" s="1"/>
  <c r="AP4" i="8" s="1"/>
  <c r="AT4" i="8" s="1"/>
  <c r="S4" i="8"/>
  <c r="W4" i="8" s="1"/>
  <c r="AA4" i="8" s="1"/>
  <c r="AE4" i="8" s="1"/>
  <c r="AI4" i="8" s="1"/>
  <c r="AM4" i="8" s="1"/>
  <c r="AQ4" i="8" s="1"/>
  <c r="AU4" i="8" s="1"/>
  <c r="T301" i="4"/>
  <c r="G141" i="6"/>
  <c r="G368" i="4"/>
  <c r="F368" i="4"/>
  <c r="F141" i="6"/>
  <c r="H97" i="6"/>
  <c r="G97" i="6"/>
  <c r="AB98" i="6"/>
  <c r="AB99" i="6"/>
  <c r="X98" i="6"/>
  <c r="X99" i="6"/>
  <c r="AK196" i="6"/>
  <c r="AJ196" i="6"/>
  <c r="AO189" i="6"/>
  <c r="G214" i="6"/>
  <c r="AH211" i="6"/>
  <c r="AG202" i="6"/>
  <c r="AF202" i="6"/>
  <c r="AK16" i="6"/>
  <c r="AK19" i="6"/>
  <c r="AG16" i="6"/>
  <c r="AG19" i="6"/>
  <c r="F19" i="6"/>
  <c r="G55" i="6"/>
  <c r="K9" i="6"/>
  <c r="AR8" i="6"/>
  <c r="L8" i="6" s="1"/>
  <c r="AQ10" i="6"/>
  <c r="AU8" i="6"/>
  <c r="AQ12" i="6"/>
  <c r="AQ13" i="6" s="1"/>
  <c r="AS8" i="6"/>
  <c r="AW8" i="6" s="1"/>
  <c r="AO12" i="6"/>
  <c r="AO13" i="6" s="1"/>
  <c r="AB15" i="6"/>
  <c r="AO10" i="6"/>
  <c r="AT8" i="6"/>
  <c r="AP10" i="6"/>
  <c r="W4" i="6"/>
  <c r="AA4" i="6" s="1"/>
  <c r="AE4" i="6" s="1"/>
  <c r="AI4" i="6" s="1"/>
  <c r="AM4" i="6" s="1"/>
  <c r="AQ4" i="6" s="1"/>
  <c r="AU4" i="6" s="1"/>
  <c r="AY4" i="6" s="1"/>
  <c r="T4" i="6"/>
  <c r="X4" i="6" s="1"/>
  <c r="AB4" i="6" s="1"/>
  <c r="AF4" i="6" s="1"/>
  <c r="AJ4" i="6" s="1"/>
  <c r="AN4" i="6" s="1"/>
  <c r="AR4" i="6" s="1"/>
  <c r="AV4" i="6" s="1"/>
  <c r="AZ4" i="6" s="1"/>
  <c r="BB10" i="6"/>
  <c r="BB28" i="6" s="1"/>
  <c r="BB7" i="6"/>
  <c r="BB9" i="6"/>
  <c r="BB27" i="6" s="1"/>
  <c r="AF252" i="5"/>
  <c r="AD252" i="5"/>
  <c r="Z252" i="5"/>
  <c r="AE252" i="5"/>
  <c r="AJ252" i="5"/>
  <c r="AI211" i="5"/>
  <c r="AI219" i="5" s="1"/>
  <c r="V221" i="5"/>
  <c r="I226" i="5"/>
  <c r="AO219" i="5"/>
  <c r="V224" i="5"/>
  <c r="AD211" i="5"/>
  <c r="AD219" i="5" s="1"/>
  <c r="AJ206" i="5"/>
  <c r="AJ207" i="5"/>
  <c r="AF206" i="5"/>
  <c r="AF207" i="5"/>
  <c r="AF208" i="5"/>
  <c r="H199" i="5"/>
  <c r="F199" i="5"/>
  <c r="AO188" i="5"/>
  <c r="AO161" i="5"/>
  <c r="AG202" i="5"/>
  <c r="AM206" i="5"/>
  <c r="AM207" i="5"/>
  <c r="AC202" i="5"/>
  <c r="AH207" i="5"/>
  <c r="AD207" i="5"/>
  <c r="I199" i="5"/>
  <c r="Z207" i="5"/>
  <c r="V207" i="5"/>
  <c r="R207" i="5"/>
  <c r="AI206" i="5"/>
  <c r="AI207" i="5"/>
  <c r="AO146" i="5"/>
  <c r="AJ202" i="5"/>
  <c r="AF202" i="5"/>
  <c r="AR180" i="5"/>
  <c r="AR172" i="5"/>
  <c r="AM202" i="5"/>
  <c r="AI202" i="5"/>
  <c r="AO143" i="5"/>
  <c r="AO31" i="5" s="1"/>
  <c r="E135" i="5"/>
  <c r="AJ135" i="5"/>
  <c r="AF135" i="5"/>
  <c r="AG137" i="5" s="1"/>
  <c r="AB135" i="5"/>
  <c r="X135" i="5"/>
  <c r="T135" i="5"/>
  <c r="U137" i="5" s="1"/>
  <c r="AK51" i="5"/>
  <c r="AK65" i="5" s="1"/>
  <c r="AK66" i="5" s="1"/>
  <c r="AG51" i="5"/>
  <c r="AG65" i="5" s="1"/>
  <c r="AC51" i="5"/>
  <c r="AC65" i="5" s="1"/>
  <c r="AC66" i="5" s="1"/>
  <c r="Y51" i="5"/>
  <c r="Y65" i="5" s="1"/>
  <c r="U51" i="5"/>
  <c r="U65" i="5" s="1"/>
  <c r="U66" i="5" s="1"/>
  <c r="AR34" i="5"/>
  <c r="AS34" i="5" s="1"/>
  <c r="AT34" i="5" s="1"/>
  <c r="AU34" i="5" s="1"/>
  <c r="AV34" i="5" s="1"/>
  <c r="AW34" i="5" s="1"/>
  <c r="AX34" i="5" s="1"/>
  <c r="AY34" i="5" s="1"/>
  <c r="AZ34" i="5" s="1"/>
  <c r="I438" i="4"/>
  <c r="I437" i="4" s="1"/>
  <c r="J437" i="4" s="1"/>
  <c r="AD280" i="4"/>
  <c r="AD286" i="4"/>
  <c r="AD117" i="4" s="1"/>
  <c r="AS329" i="4"/>
  <c r="AL324" i="4"/>
  <c r="V324" i="4"/>
  <c r="AV329" i="4"/>
  <c r="AR329" i="4"/>
  <c r="I421" i="4"/>
  <c r="AG367" i="4"/>
  <c r="Z324" i="4"/>
  <c r="G318" i="4"/>
  <c r="AL86" i="4"/>
  <c r="AL10" i="4" s="1"/>
  <c r="AM306" i="4"/>
  <c r="AM87" i="6" s="1"/>
  <c r="J286" i="4"/>
  <c r="J117" i="4" s="1"/>
  <c r="J191" i="4" s="1"/>
  <c r="AL280" i="4"/>
  <c r="AO260" i="4"/>
  <c r="J308" i="4"/>
  <c r="I431" i="4"/>
  <c r="AD324" i="4"/>
  <c r="AT318" i="4"/>
  <c r="AH353" i="4"/>
  <c r="Y87" i="4"/>
  <c r="Y11" i="4" s="1"/>
  <c r="Z311" i="4"/>
  <c r="Z214" i="6" s="1"/>
  <c r="Z216" i="6" s="1"/>
  <c r="I285" i="4"/>
  <c r="I116" i="4" s="1"/>
  <c r="I190" i="4" s="1"/>
  <c r="Z280" i="4"/>
  <c r="AI324" i="4"/>
  <c r="AE324" i="4"/>
  <c r="AA324" i="4"/>
  <c r="G285" i="4"/>
  <c r="G116" i="4" s="1"/>
  <c r="G190" i="4" s="1"/>
  <c r="G286" i="4"/>
  <c r="G117" i="4" s="1"/>
  <c r="G191" i="4" s="1"/>
  <c r="V4" i="4"/>
  <c r="Z4" i="4" s="1"/>
  <c r="AD4" i="4" s="1"/>
  <c r="AH4" i="4" s="1"/>
  <c r="T4" i="4"/>
  <c r="X4" i="4" s="1"/>
  <c r="AB4" i="4" s="1"/>
  <c r="AF4" i="4" s="1"/>
  <c r="AJ4" i="4" s="1"/>
  <c r="W4" i="4"/>
  <c r="AA4" i="4" s="1"/>
  <c r="AE4" i="4" s="1"/>
  <c r="AI4" i="4" s="1"/>
  <c r="D7" i="3"/>
  <c r="D20" i="3"/>
  <c r="D30" i="3"/>
  <c r="AK65" i="4" l="1"/>
  <c r="H31" i="4"/>
  <c r="I31" i="4"/>
  <c r="H191" i="4"/>
  <c r="AI286" i="6"/>
  <c r="H190" i="4"/>
  <c r="AE191" i="4"/>
  <c r="AE281" i="6"/>
  <c r="AE282" i="6" s="1"/>
  <c r="AQ129" i="4"/>
  <c r="AP199" i="4"/>
  <c r="J190" i="4"/>
  <c r="Z92" i="4"/>
  <c r="R92" i="4"/>
  <c r="S92" i="4"/>
  <c r="S94" i="4" s="1"/>
  <c r="S179" i="4"/>
  <c r="AB92" i="4"/>
  <c r="W92" i="4"/>
  <c r="W94" i="4" s="1"/>
  <c r="G193" i="4"/>
  <c r="W280" i="4"/>
  <c r="W285" i="4" s="1"/>
  <c r="H318" i="4"/>
  <c r="AG286" i="6"/>
  <c r="H335" i="4"/>
  <c r="AE276" i="6"/>
  <c r="V286" i="4"/>
  <c r="V117" i="4" s="1"/>
  <c r="AD274" i="6"/>
  <c r="AD276" i="6"/>
  <c r="AD266" i="6"/>
  <c r="Q117" i="4"/>
  <c r="R191" i="4" s="1"/>
  <c r="AK276" i="6"/>
  <c r="S276" i="6"/>
  <c r="AH286" i="4"/>
  <c r="AH117" i="4" s="1"/>
  <c r="S266" i="6"/>
  <c r="AM266" i="6"/>
  <c r="S278" i="6"/>
  <c r="AM278" i="6"/>
  <c r="S286" i="6"/>
  <c r="W117" i="4"/>
  <c r="AH280" i="4"/>
  <c r="AH86" i="4"/>
  <c r="AH10" i="4" s="1"/>
  <c r="AM276" i="6"/>
  <c r="AH367" i="4"/>
  <c r="AB276" i="6"/>
  <c r="S274" i="6"/>
  <c r="AM274" i="6"/>
  <c r="AM90" i="4"/>
  <c r="R280" i="4"/>
  <c r="AC274" i="6"/>
  <c r="AC276" i="6"/>
  <c r="AL258" i="5"/>
  <c r="U278" i="6"/>
  <c r="AC266" i="6"/>
  <c r="U266" i="6"/>
  <c r="AC278" i="6"/>
  <c r="AL278" i="6"/>
  <c r="U258" i="5"/>
  <c r="F313" i="6"/>
  <c r="I136" i="6"/>
  <c r="R349" i="4"/>
  <c r="R360" i="4" s="1"/>
  <c r="J286" i="6"/>
  <c r="AI117" i="4"/>
  <c r="AI191" i="4" s="1"/>
  <c r="U280" i="4"/>
  <c r="U289" i="4" s="1"/>
  <c r="AF278" i="6"/>
  <c r="AJ281" i="4"/>
  <c r="X281" i="4"/>
  <c r="X286" i="4" s="1"/>
  <c r="X117" i="4" s="1"/>
  <c r="X191" i="4" s="1"/>
  <c r="AF276" i="6"/>
  <c r="AF286" i="6"/>
  <c r="AF274" i="6"/>
  <c r="AI280" i="4"/>
  <c r="AI285" i="4" s="1"/>
  <c r="AI116" i="4" s="1"/>
  <c r="H283" i="6"/>
  <c r="H284" i="6" s="1"/>
  <c r="Y215" i="6"/>
  <c r="G332" i="4"/>
  <c r="G333" i="4" s="1"/>
  <c r="V333" i="4" s="1"/>
  <c r="W333" i="4" s="1"/>
  <c r="X333" i="4" s="1"/>
  <c r="H332" i="4"/>
  <c r="H333" i="4" s="1"/>
  <c r="Z333" i="4" s="1"/>
  <c r="AA333" i="4" s="1"/>
  <c r="AB333" i="4" s="1"/>
  <c r="AA285" i="4"/>
  <c r="AA116" i="4" s="1"/>
  <c r="AA289" i="4"/>
  <c r="G18" i="4"/>
  <c r="G22" i="4"/>
  <c r="G20" i="4"/>
  <c r="G19" i="4"/>
  <c r="G16" i="4"/>
  <c r="G17" i="4"/>
  <c r="I18" i="4"/>
  <c r="I22" i="4"/>
  <c r="I20" i="4"/>
  <c r="I16" i="4"/>
  <c r="I19" i="4"/>
  <c r="I17" i="4"/>
  <c r="R362" i="4"/>
  <c r="AL266" i="6"/>
  <c r="R73" i="6"/>
  <c r="R111" i="6" s="1"/>
  <c r="AA286" i="4"/>
  <c r="AA117" i="4" s="1"/>
  <c r="AA191" i="4" s="1"/>
  <c r="S304" i="4"/>
  <c r="G21" i="4"/>
  <c r="H22" i="4"/>
  <c r="H18" i="4"/>
  <c r="H19" i="4"/>
  <c r="H20" i="4"/>
  <c r="H16" i="4"/>
  <c r="H17" i="4"/>
  <c r="I21" i="4"/>
  <c r="AG274" i="6"/>
  <c r="AG278" i="6"/>
  <c r="AB266" i="6"/>
  <c r="AL274" i="6"/>
  <c r="AL286" i="6"/>
  <c r="AG258" i="5"/>
  <c r="R304" i="4"/>
  <c r="H21" i="4"/>
  <c r="AB281" i="4"/>
  <c r="AB290" i="4" s="1"/>
  <c r="G335" i="4"/>
  <c r="AI306" i="4"/>
  <c r="AI87" i="6" s="1"/>
  <c r="AI91" i="6" s="1"/>
  <c r="AE266" i="6"/>
  <c r="AK266" i="6"/>
  <c r="AK278" i="6"/>
  <c r="AF266" i="6"/>
  <c r="AE278" i="6"/>
  <c r="AE274" i="6"/>
  <c r="AD278" i="6"/>
  <c r="AL276" i="6"/>
  <c r="AD258" i="5"/>
  <c r="AG276" i="6"/>
  <c r="AF258" i="5"/>
  <c r="AK258" i="5"/>
  <c r="AC286" i="6"/>
  <c r="AD286" i="6"/>
  <c r="AI90" i="4"/>
  <c r="AE258" i="5"/>
  <c r="AE90" i="4"/>
  <c r="R269" i="6"/>
  <c r="R270" i="6" s="1"/>
  <c r="AK252" i="5"/>
  <c r="AI252" i="5"/>
  <c r="F272" i="5"/>
  <c r="F273" i="5" s="1"/>
  <c r="G268" i="5"/>
  <c r="F92" i="4"/>
  <c r="AI208" i="5"/>
  <c r="AK208" i="5"/>
  <c r="AB286" i="6"/>
  <c r="AE286" i="6"/>
  <c r="AE259" i="5"/>
  <c r="AM258" i="5"/>
  <c r="W289" i="4"/>
  <c r="AG66" i="5"/>
  <c r="AE137" i="5"/>
  <c r="W137" i="5"/>
  <c r="U252" i="5"/>
  <c r="AA252" i="5"/>
  <c r="AJ66" i="5"/>
  <c r="AH137" i="5"/>
  <c r="Y252" i="5"/>
  <c r="H95" i="6"/>
  <c r="H96" i="6" s="1"/>
  <c r="I1" i="6"/>
  <c r="AF259" i="5"/>
  <c r="U259" i="5"/>
  <c r="AK259" i="5"/>
  <c r="AL259" i="5"/>
  <c r="Y280" i="6"/>
  <c r="AH280" i="6"/>
  <c r="AM259" i="5"/>
  <c r="AJ259" i="5"/>
  <c r="Z259" i="5"/>
  <c r="AC280" i="6"/>
  <c r="AM286" i="6"/>
  <c r="W90" i="4"/>
  <c r="X259" i="5"/>
  <c r="AD259" i="5"/>
  <c r="AG280" i="6"/>
  <c r="AB259" i="5"/>
  <c r="AT172" i="5"/>
  <c r="AD137" i="5"/>
  <c r="W4" i="5"/>
  <c r="AA4" i="5" s="1"/>
  <c r="AE4" i="5" s="1"/>
  <c r="AI4" i="5" s="1"/>
  <c r="AM4" i="5" s="1"/>
  <c r="AQ4" i="5" s="1"/>
  <c r="AU4" i="5" s="1"/>
  <c r="AY4" i="5" s="1"/>
  <c r="Y66" i="5"/>
  <c r="AT180" i="5"/>
  <c r="Z66" i="5"/>
  <c r="G58" i="5"/>
  <c r="AX168" i="5"/>
  <c r="AV180" i="5"/>
  <c r="G20" i="5"/>
  <c r="AU172" i="5"/>
  <c r="AC137" i="5"/>
  <c r="W252" i="5"/>
  <c r="AM252" i="5"/>
  <c r="AL137" i="5"/>
  <c r="AV172" i="5"/>
  <c r="AH252" i="5"/>
  <c r="AU185" i="5"/>
  <c r="AL252" i="5"/>
  <c r="AG208" i="5"/>
  <c r="G258" i="5"/>
  <c r="AC208" i="5"/>
  <c r="AJ208" i="5"/>
  <c r="F259" i="5"/>
  <c r="G259" i="5"/>
  <c r="S73" i="6"/>
  <c r="S111" i="6" s="1"/>
  <c r="X100" i="6"/>
  <c r="Q85" i="4"/>
  <c r="Q7" i="4" s="1"/>
  <c r="Q8" i="4" s="1"/>
  <c r="R35" i="4" s="1"/>
  <c r="S269" i="6"/>
  <c r="S270" i="6" s="1"/>
  <c r="Q349" i="4"/>
  <c r="Q360" i="4" s="1"/>
  <c r="Q73" i="6"/>
  <c r="Q111" i="6" s="1"/>
  <c r="Q362" i="4"/>
  <c r="S362" i="4"/>
  <c r="AM269" i="6"/>
  <c r="AM270" i="6" s="1"/>
  <c r="AM116" i="6"/>
  <c r="S349" i="4"/>
  <c r="S360" i="4" s="1"/>
  <c r="AK99" i="4"/>
  <c r="AM122" i="6"/>
  <c r="S85" i="4"/>
  <c r="S7" i="4" s="1"/>
  <c r="F361" i="4"/>
  <c r="J282" i="6"/>
  <c r="J132" i="6"/>
  <c r="AI269" i="6"/>
  <c r="AI270" i="6" s="1"/>
  <c r="AJ269" i="6"/>
  <c r="AJ100" i="4" s="1"/>
  <c r="S306" i="4"/>
  <c r="S296" i="4" s="1"/>
  <c r="AA99" i="4"/>
  <c r="AA88" i="20"/>
  <c r="W88" i="20"/>
  <c r="AE88" i="20"/>
  <c r="I226" i="6"/>
  <c r="I220" i="6"/>
  <c r="H220" i="6"/>
  <c r="H226" i="6"/>
  <c r="AE99" i="4"/>
  <c r="AH237" i="6"/>
  <c r="AH216" i="6"/>
  <c r="AH230" i="6" s="1"/>
  <c r="AH232" i="6"/>
  <c r="AH231" i="6"/>
  <c r="AH233" i="6"/>
  <c r="AG216" i="6"/>
  <c r="AG230" i="6" s="1"/>
  <c r="AG231" i="6"/>
  <c r="AG233" i="6"/>
  <c r="AG232" i="6"/>
  <c r="Z269" i="6"/>
  <c r="Z270" i="6" s="1"/>
  <c r="AJ364" i="4"/>
  <c r="AG237" i="6"/>
  <c r="AG241" i="6"/>
  <c r="AP175" i="21"/>
  <c r="AO168" i="21"/>
  <c r="AO180" i="21" s="1"/>
  <c r="AN161" i="21"/>
  <c r="AO157" i="21" s="1"/>
  <c r="AN164" i="21"/>
  <c r="Z278" i="6"/>
  <c r="AK274" i="6"/>
  <c r="R278" i="6"/>
  <c r="T266" i="6"/>
  <c r="Q286" i="6"/>
  <c r="Y301" i="4"/>
  <c r="Y73" i="6" s="1"/>
  <c r="Y19" i="6" s="1"/>
  <c r="AA100" i="6"/>
  <c r="W100" i="6"/>
  <c r="AC100" i="6"/>
  <c r="BA31" i="6"/>
  <c r="Y100" i="6"/>
  <c r="Z100" i="6"/>
  <c r="G361" i="4"/>
  <c r="F99" i="6"/>
  <c r="X301" i="4"/>
  <c r="X73" i="6" s="1"/>
  <c r="G73" i="6" s="1"/>
  <c r="V85" i="4"/>
  <c r="V7" i="4" s="1"/>
  <c r="G305" i="6"/>
  <c r="H305" i="6"/>
  <c r="G364" i="4"/>
  <c r="T274" i="6"/>
  <c r="AJ90" i="4"/>
  <c r="AJ286" i="6"/>
  <c r="AF90" i="4"/>
  <c r="AJ276" i="6"/>
  <c r="Q276" i="6"/>
  <c r="AB269" i="6"/>
  <c r="T276" i="6"/>
  <c r="T286" i="6"/>
  <c r="T278" i="6"/>
  <c r="AE100" i="4"/>
  <c r="AE270" i="6"/>
  <c r="AG362" i="4"/>
  <c r="AG360" i="4"/>
  <c r="Y278" i="6"/>
  <c r="AK269" i="6"/>
  <c r="AK270" i="6" s="1"/>
  <c r="Y274" i="6"/>
  <c r="U90" i="4"/>
  <c r="Y286" i="6"/>
  <c r="V90" i="4"/>
  <c r="R306" i="4"/>
  <c r="R367" i="4" s="1"/>
  <c r="R276" i="6"/>
  <c r="AO163" i="21"/>
  <c r="AS163" i="21" s="1"/>
  <c r="AW163" i="21" s="1"/>
  <c r="Z90" i="4"/>
  <c r="S280" i="4"/>
  <c r="S286" i="4"/>
  <c r="S117" i="4" s="1"/>
  <c r="S191" i="4" s="1"/>
  <c r="AD90" i="4"/>
  <c r="AC280" i="4"/>
  <c r="AC289" i="4" s="1"/>
  <c r="Q306" i="4"/>
  <c r="Q86" i="4" s="1"/>
  <c r="Q10" i="4" s="1"/>
  <c r="Q274" i="6"/>
  <c r="R286" i="6"/>
  <c r="Y276" i="6"/>
  <c r="Y258" i="5"/>
  <c r="AC90" i="4"/>
  <c r="AK286" i="6"/>
  <c r="AF281" i="4"/>
  <c r="AF290" i="4" s="1"/>
  <c r="AC117" i="4"/>
  <c r="V349" i="4"/>
  <c r="V360" i="4" s="1"/>
  <c r="Q266" i="6"/>
  <c r="Q278" i="6"/>
  <c r="AO137" i="5"/>
  <c r="AP137" i="5" s="1"/>
  <c r="Y266" i="6"/>
  <c r="AL88" i="6"/>
  <c r="I305" i="6"/>
  <c r="I296" i="4"/>
  <c r="I298" i="4" s="1"/>
  <c r="I318" i="4"/>
  <c r="H437" i="4"/>
  <c r="F269" i="6"/>
  <c r="F100" i="4" s="1"/>
  <c r="F109" i="4" s="1"/>
  <c r="W269" i="6"/>
  <c r="AK90" i="4"/>
  <c r="AK88" i="4"/>
  <c r="X276" i="6"/>
  <c r="X286" i="6"/>
  <c r="W116" i="4"/>
  <c r="J305" i="6"/>
  <c r="I335" i="4"/>
  <c r="AG88" i="4"/>
  <c r="AG316" i="4" s="1"/>
  <c r="Z286" i="6"/>
  <c r="U286" i="6"/>
  <c r="AG90" i="4"/>
  <c r="AN275" i="4"/>
  <c r="G45" i="5"/>
  <c r="G248" i="5" s="1"/>
  <c r="G47" i="5"/>
  <c r="G250" i="5" s="1"/>
  <c r="AY168" i="5"/>
  <c r="AY182" i="5" s="1"/>
  <c r="AX8" i="5"/>
  <c r="AW133" i="5"/>
  <c r="AZ168" i="5"/>
  <c r="AX11" i="5"/>
  <c r="AW233" i="5"/>
  <c r="AW168" i="5"/>
  <c r="AY22" i="5"/>
  <c r="AX238" i="5"/>
  <c r="G32" i="5"/>
  <c r="G22" i="5"/>
  <c r="G238" i="5" s="1"/>
  <c r="G61" i="5"/>
  <c r="AB137" i="5"/>
  <c r="AM56" i="5"/>
  <c r="AM59" i="5" s="1"/>
  <c r="AM63" i="5" s="1"/>
  <c r="AM65" i="5" s="1"/>
  <c r="AM66" i="5" s="1"/>
  <c r="AN55" i="5"/>
  <c r="AX134" i="5"/>
  <c r="AY9" i="5"/>
  <c r="AY15" i="5"/>
  <c r="AX241" i="5"/>
  <c r="AN252" i="5"/>
  <c r="AY23" i="5"/>
  <c r="AX239" i="5"/>
  <c r="AR14" i="5"/>
  <c r="AQ236" i="5"/>
  <c r="AK100" i="20"/>
  <c r="AF361" i="4"/>
  <c r="AA270" i="6"/>
  <c r="AG100" i="4"/>
  <c r="I97" i="6"/>
  <c r="I98" i="6" s="1"/>
  <c r="T270" i="6"/>
  <c r="T100" i="4"/>
  <c r="AC100" i="4"/>
  <c r="AC270" i="6"/>
  <c r="U100" i="4"/>
  <c r="U270" i="6"/>
  <c r="G256" i="5"/>
  <c r="G257" i="5"/>
  <c r="Q270" i="6"/>
  <c r="Q100" i="4"/>
  <c r="J270" i="6"/>
  <c r="J100" i="4"/>
  <c r="X270" i="6"/>
  <c r="X100" i="4"/>
  <c r="AF270" i="6"/>
  <c r="AF100" i="4"/>
  <c r="Y270" i="6"/>
  <c r="Y100" i="4"/>
  <c r="T73" i="6"/>
  <c r="T111" i="6" s="1"/>
  <c r="G261" i="5"/>
  <c r="J438" i="4"/>
  <c r="Y38" i="4"/>
  <c r="Y29" i="4"/>
  <c r="H99" i="4"/>
  <c r="H85" i="20"/>
  <c r="H87" i="20" s="1"/>
  <c r="V85" i="20"/>
  <c r="V87" i="20" s="1"/>
  <c r="V88" i="20" s="1"/>
  <c r="V99" i="4"/>
  <c r="AD85" i="20"/>
  <c r="AD87" i="20" s="1"/>
  <c r="AD88" i="20" s="1"/>
  <c r="AD99" i="4"/>
  <c r="AL99" i="4"/>
  <c r="AI99" i="4"/>
  <c r="G99" i="4"/>
  <c r="G85" i="20"/>
  <c r="G87" i="20" s="1"/>
  <c r="U99" i="4"/>
  <c r="U109" i="4" s="1"/>
  <c r="U85" i="20"/>
  <c r="U87" i="20" s="1"/>
  <c r="AC99" i="4"/>
  <c r="AC109" i="4" s="1"/>
  <c r="AC85" i="20"/>
  <c r="AC87" i="20" s="1"/>
  <c r="AH37" i="4"/>
  <c r="AG303" i="4"/>
  <c r="AF10" i="8" s="1"/>
  <c r="AF22" i="8" s="1"/>
  <c r="AF34" i="8" s="1"/>
  <c r="AG43" i="4"/>
  <c r="AK51" i="4"/>
  <c r="J99" i="4"/>
  <c r="J109" i="4" s="1"/>
  <c r="X99" i="4"/>
  <c r="X85" i="20"/>
  <c r="X87" i="20" s="1"/>
  <c r="AF99" i="4"/>
  <c r="AF109" i="4" s="1"/>
  <c r="AF85" i="20"/>
  <c r="AF87" i="20" s="1"/>
  <c r="AF88" i="20" s="1"/>
  <c r="AJ10" i="8"/>
  <c r="AJ22" i="8" s="1"/>
  <c r="AJ34" i="8" s="1"/>
  <c r="AK329" i="4"/>
  <c r="AD269" i="6"/>
  <c r="AL28" i="4"/>
  <c r="AL37" i="4"/>
  <c r="AG313" i="4"/>
  <c r="AG45" i="4"/>
  <c r="AI283" i="6"/>
  <c r="AH99" i="4"/>
  <c r="AH85" i="20"/>
  <c r="AH87" i="20" s="1"/>
  <c r="I99" i="4"/>
  <c r="W269" i="4"/>
  <c r="AM99" i="4"/>
  <c r="AM85" i="20"/>
  <c r="AM87" i="20" s="1"/>
  <c r="AH269" i="6"/>
  <c r="Q99" i="4"/>
  <c r="Q85" i="20"/>
  <c r="Q87" i="20" s="1"/>
  <c r="Y99" i="4"/>
  <c r="Y85" i="20"/>
  <c r="Y87" i="20" s="1"/>
  <c r="Y88" i="20" s="1"/>
  <c r="AG99" i="4"/>
  <c r="AG109" i="4" s="1"/>
  <c r="AG85" i="20"/>
  <c r="AG87" i="20" s="1"/>
  <c r="AG88" i="20" s="1"/>
  <c r="R94" i="4"/>
  <c r="Z94" i="4"/>
  <c r="T99" i="4"/>
  <c r="T109" i="4" s="1"/>
  <c r="T85" i="20"/>
  <c r="T87" i="20" s="1"/>
  <c r="AB94" i="4"/>
  <c r="AJ99" i="4"/>
  <c r="V269" i="6"/>
  <c r="AL269" i="6"/>
  <c r="Y90" i="4"/>
  <c r="F120" i="4"/>
  <c r="AM182" i="20"/>
  <c r="AE283" i="6"/>
  <c r="AE284" i="6" s="1"/>
  <c r="AE182" i="20"/>
  <c r="AG182" i="20"/>
  <c r="AJ227" i="5"/>
  <c r="AJ182" i="20"/>
  <c r="AL227" i="5"/>
  <c r="AL182" i="20"/>
  <c r="AK182" i="20"/>
  <c r="AI227" i="5"/>
  <c r="AI182" i="20"/>
  <c r="AC227" i="5"/>
  <c r="AC182" i="20"/>
  <c r="AX10" i="8"/>
  <c r="AU303" i="4"/>
  <c r="AU329" i="4" s="1"/>
  <c r="AT34" i="8"/>
  <c r="AT22" i="8"/>
  <c r="AY8" i="6"/>
  <c r="G7" i="5"/>
  <c r="G132" i="5" s="1"/>
  <c r="G57" i="5"/>
  <c r="G33" i="5"/>
  <c r="AU180" i="5"/>
  <c r="V218" i="5"/>
  <c r="W218" i="5" s="1"/>
  <c r="F59" i="5"/>
  <c r="F49" i="5"/>
  <c r="G37" i="5"/>
  <c r="G245" i="5" s="1"/>
  <c r="G260" i="5" s="1"/>
  <c r="G46" i="5"/>
  <c r="G249" i="5" s="1"/>
  <c r="G18" i="5"/>
  <c r="G203" i="5" s="1"/>
  <c r="H197" i="5" s="1"/>
  <c r="H207" i="5" s="1"/>
  <c r="G31" i="5"/>
  <c r="G19" i="5"/>
  <c r="G216" i="5" s="1"/>
  <c r="H211" i="5" s="1"/>
  <c r="H218" i="5" s="1"/>
  <c r="Y218" i="5" s="1"/>
  <c r="Z218" i="5" s="1"/>
  <c r="AA218" i="5" s="1"/>
  <c r="G36" i="5"/>
  <c r="G244" i="5" s="1"/>
  <c r="G48" i="5"/>
  <c r="G23" i="5"/>
  <c r="G239" i="5" s="1"/>
  <c r="H99" i="6"/>
  <c r="AG145" i="6"/>
  <c r="AW12" i="6"/>
  <c r="AX8" i="6"/>
  <c r="H313" i="6"/>
  <c r="I314" i="6" s="1"/>
  <c r="I420" i="4"/>
  <c r="AX171" i="5"/>
  <c r="AY171" i="5"/>
  <c r="AX180" i="5"/>
  <c r="AX185" i="5"/>
  <c r="AX172" i="5"/>
  <c r="AX182" i="5"/>
  <c r="AX184" i="5"/>
  <c r="AX142" i="6"/>
  <c r="I141" i="6"/>
  <c r="I142" i="6" s="1"/>
  <c r="I218" i="6"/>
  <c r="AA139" i="6"/>
  <c r="AA140" i="6" s="1"/>
  <c r="AI146" i="6"/>
  <c r="R139" i="6"/>
  <c r="R140" i="6" s="1"/>
  <c r="AE100" i="6"/>
  <c r="AH139" i="6"/>
  <c r="AH140" i="6" s="1"/>
  <c r="AK14" i="6"/>
  <c r="AJ15" i="6"/>
  <c r="H270" i="6"/>
  <c r="H100" i="4"/>
  <c r="J1" i="6"/>
  <c r="I62" i="6"/>
  <c r="I2" i="6"/>
  <c r="I95" i="6"/>
  <c r="I270" i="6"/>
  <c r="I100" i="4"/>
  <c r="G100" i="4"/>
  <c r="G270" i="6"/>
  <c r="AD139" i="6"/>
  <c r="AD140" i="6" s="1"/>
  <c r="AD146" i="6"/>
  <c r="AC146" i="6"/>
  <c r="AC139" i="6"/>
  <c r="AC140" i="6" s="1"/>
  <c r="T139" i="6"/>
  <c r="T140" i="6" s="1"/>
  <c r="F144" i="6"/>
  <c r="F146" i="6" s="1"/>
  <c r="W349" i="4"/>
  <c r="W360" i="4" s="1"/>
  <c r="AH91" i="6"/>
  <c r="AL92" i="6" s="1"/>
  <c r="Z139" i="6"/>
  <c r="Z140" i="6" s="1"/>
  <c r="AJ139" i="6"/>
  <c r="AJ140" i="6" s="1"/>
  <c r="W85" i="4"/>
  <c r="W7" i="4" s="1"/>
  <c r="W8" i="4" s="1"/>
  <c r="W304" i="4"/>
  <c r="X139" i="6"/>
  <c r="X140" i="6" s="1"/>
  <c r="AM208" i="5"/>
  <c r="AE139" i="6"/>
  <c r="AE140" i="6" s="1"/>
  <c r="V139" i="6"/>
  <c r="V140" i="6" s="1"/>
  <c r="AL139" i="6"/>
  <c r="AL140" i="6" s="1"/>
  <c r="Y146" i="6"/>
  <c r="AI139" i="6"/>
  <c r="AI140" i="6" s="1"/>
  <c r="AI145" i="6"/>
  <c r="AJ146" i="6"/>
  <c r="AE146" i="6"/>
  <c r="I144" i="6"/>
  <c r="I145" i="6" s="1"/>
  <c r="Z146" i="6"/>
  <c r="H144" i="6"/>
  <c r="H145" i="6" s="1"/>
  <c r="AB145" i="6"/>
  <c r="AB146" i="6"/>
  <c r="AF146" i="6"/>
  <c r="W139" i="6"/>
  <c r="W140" i="6" s="1"/>
  <c r="AM139" i="6"/>
  <c r="AM140" i="6" s="1"/>
  <c r="Q139" i="6"/>
  <c r="Q140" i="6" s="1"/>
  <c r="AF139" i="6"/>
  <c r="AF140" i="6" s="1"/>
  <c r="AK146" i="6"/>
  <c r="V146" i="6"/>
  <c r="AL146" i="6"/>
  <c r="AM146" i="6"/>
  <c r="AH146" i="6"/>
  <c r="AI214" i="5"/>
  <c r="AI220" i="5" s="1"/>
  <c r="Y139" i="6"/>
  <c r="Y140" i="6" s="1"/>
  <c r="AK139" i="6"/>
  <c r="AK140" i="6" s="1"/>
  <c r="AG146" i="6"/>
  <c r="AJ145" i="6"/>
  <c r="X146" i="6"/>
  <c r="AA146" i="6"/>
  <c r="AN4" i="4"/>
  <c r="H2" i="4"/>
  <c r="H142" i="4"/>
  <c r="H354" i="4"/>
  <c r="H362" i="4"/>
  <c r="H350" i="4"/>
  <c r="H365" i="4"/>
  <c r="AL4" i="4"/>
  <c r="H119" i="4"/>
  <c r="H193" i="4" s="1"/>
  <c r="G307" i="6"/>
  <c r="G308" i="6" s="1"/>
  <c r="G281" i="6"/>
  <c r="G282" i="6" s="1"/>
  <c r="U117" i="4"/>
  <c r="J329" i="4"/>
  <c r="Z276" i="6"/>
  <c r="I1" i="4"/>
  <c r="H54" i="4"/>
  <c r="AK280" i="4"/>
  <c r="AG286" i="4"/>
  <c r="AG117" i="4" s="1"/>
  <c r="H363" i="4"/>
  <c r="J12" i="4"/>
  <c r="J30" i="4" s="1"/>
  <c r="Q280" i="4"/>
  <c r="Q289" i="4" s="1"/>
  <c r="Y280" i="4"/>
  <c r="Y285" i="4" s="1"/>
  <c r="Y116" i="4" s="1"/>
  <c r="AH87" i="4"/>
  <c r="AH11" i="4" s="1"/>
  <c r="H361" i="4"/>
  <c r="T281" i="4"/>
  <c r="T280" i="4" s="1"/>
  <c r="AM4" i="4"/>
  <c r="Y117" i="4"/>
  <c r="Y191" i="4" s="1"/>
  <c r="I307" i="6"/>
  <c r="J308" i="6" s="1"/>
  <c r="I281" i="6"/>
  <c r="H368" i="4"/>
  <c r="S139" i="6"/>
  <c r="S140" i="6" s="1"/>
  <c r="G283" i="6"/>
  <c r="G284" i="6" s="1"/>
  <c r="W146" i="6"/>
  <c r="AM289" i="4"/>
  <c r="G54" i="4"/>
  <c r="AO4" i="4"/>
  <c r="AK227" i="5"/>
  <c r="AO205" i="5"/>
  <c r="AP205" i="5" s="1"/>
  <c r="AK92" i="6"/>
  <c r="T304" i="4"/>
  <c r="AQ260" i="5"/>
  <c r="AU260" i="5" s="1"/>
  <c r="AY260" i="5" s="1"/>
  <c r="AG227" i="5"/>
  <c r="I283" i="6"/>
  <c r="T306" i="4"/>
  <c r="T344" i="4" s="1"/>
  <c r="T85" i="4"/>
  <c r="T7" i="4" s="1"/>
  <c r="T8" i="4" s="1"/>
  <c r="U139" i="6"/>
  <c r="U140" i="6" s="1"/>
  <c r="T349" i="4"/>
  <c r="T360" i="4" s="1"/>
  <c r="T362" i="4"/>
  <c r="AE208" i="5"/>
  <c r="AD225" i="5"/>
  <c r="AP145" i="6"/>
  <c r="AH225" i="5"/>
  <c r="AM227" i="5"/>
  <c r="AL207" i="5"/>
  <c r="AE206" i="5"/>
  <c r="I200" i="5"/>
  <c r="I225" i="5" s="1"/>
  <c r="AL208" i="5"/>
  <c r="AE227" i="5"/>
  <c r="G98" i="6"/>
  <c r="G207" i="5"/>
  <c r="F40" i="5"/>
  <c r="F16" i="5"/>
  <c r="F26" i="5"/>
  <c r="G254" i="5"/>
  <c r="F251" i="5"/>
  <c r="F252" i="5" s="1"/>
  <c r="F135" i="5"/>
  <c r="AH286" i="6"/>
  <c r="X252" i="5"/>
  <c r="H420" i="4"/>
  <c r="G313" i="6"/>
  <c r="AL90" i="4"/>
  <c r="AE202" i="6"/>
  <c r="AE203" i="6"/>
  <c r="AF203" i="6" s="1"/>
  <c r="AG203" i="6" s="1"/>
  <c r="AH203" i="6" s="1"/>
  <c r="AI203" i="6" s="1"/>
  <c r="AJ203" i="6" s="1"/>
  <c r="AK203" i="6" s="1"/>
  <c r="AE204" i="6"/>
  <c r="AF204" i="6" s="1"/>
  <c r="AG204" i="6" s="1"/>
  <c r="AH204" i="6" s="1"/>
  <c r="AI204" i="6" s="1"/>
  <c r="AJ204" i="6" s="1"/>
  <c r="AK204" i="6" s="1"/>
  <c r="D19" i="3"/>
  <c r="D21" i="3" s="1"/>
  <c r="D23" i="3" s="1"/>
  <c r="Z215" i="6"/>
  <c r="J419" i="4"/>
  <c r="AE202" i="5"/>
  <c r="AE207" i="5"/>
  <c r="V252" i="5"/>
  <c r="L9" i="6"/>
  <c r="AF99" i="6"/>
  <c r="AF100" i="6" s="1"/>
  <c r="BA32" i="6"/>
  <c r="BA15" i="6"/>
  <c r="AH278" i="6"/>
  <c r="AL202" i="5"/>
  <c r="R266" i="6"/>
  <c r="R274" i="6"/>
  <c r="AR46" i="5"/>
  <c r="AQ249" i="5"/>
  <c r="AA221" i="5"/>
  <c r="Z214" i="5"/>
  <c r="Z220" i="5" s="1"/>
  <c r="AB278" i="6"/>
  <c r="AB274" i="6"/>
  <c r="AB90" i="4"/>
  <c r="AB258" i="5"/>
  <c r="AJ278" i="6"/>
  <c r="AJ266" i="6"/>
  <c r="AJ274" i="6"/>
  <c r="AJ258" i="5"/>
  <c r="AT36" i="5"/>
  <c r="AS244" i="5"/>
  <c r="AO160" i="5"/>
  <c r="AO187" i="5"/>
  <c r="AM91" i="6"/>
  <c r="AH90" i="4"/>
  <c r="J420" i="4"/>
  <c r="J313" i="6"/>
  <c r="J314" i="6" s="1"/>
  <c r="AF137" i="5"/>
  <c r="AH214" i="5"/>
  <c r="AH220" i="5" s="1"/>
  <c r="S221" i="5"/>
  <c r="R214" i="5"/>
  <c r="J1" i="5"/>
  <c r="I2" i="5"/>
  <c r="I212" i="5"/>
  <c r="I213" i="5" s="1"/>
  <c r="I198" i="5"/>
  <c r="I201" i="5"/>
  <c r="I205" i="5" s="1"/>
  <c r="X274" i="6"/>
  <c r="X266" i="6"/>
  <c r="X278" i="6"/>
  <c r="X90" i="4"/>
  <c r="X258" i="5"/>
  <c r="V137" i="5"/>
  <c r="H8" i="5"/>
  <c r="H133" i="5" s="1"/>
  <c r="H9" i="5"/>
  <c r="H134" i="5" s="1"/>
  <c r="H11" i="5"/>
  <c r="H233" i="5" s="1"/>
  <c r="H15" i="5"/>
  <c r="H241" i="5" s="1"/>
  <c r="H23" i="5"/>
  <c r="H239" i="5" s="1"/>
  <c r="H37" i="5"/>
  <c r="H245" i="5" s="1"/>
  <c r="H38" i="5"/>
  <c r="H246" i="5" s="1"/>
  <c r="H39" i="5"/>
  <c r="H42" i="5"/>
  <c r="H43" i="5"/>
  <c r="H44" i="5"/>
  <c r="H247" i="5" s="1"/>
  <c r="H53" i="5"/>
  <c r="H56" i="5"/>
  <c r="H57" i="5"/>
  <c r="H10" i="5"/>
  <c r="H232" i="5" s="1"/>
  <c r="H12" i="5"/>
  <c r="H234" i="5" s="1"/>
  <c r="H14" i="5"/>
  <c r="H236" i="5" s="1"/>
  <c r="H20" i="5"/>
  <c r="H21" i="5"/>
  <c r="H22" i="5"/>
  <c r="H238" i="5" s="1"/>
  <c r="H25" i="5"/>
  <c r="H237" i="5" s="1"/>
  <c r="H31" i="5"/>
  <c r="H35" i="5"/>
  <c r="H243" i="5" s="1"/>
  <c r="H36" i="5"/>
  <c r="H244" i="5" s="1"/>
  <c r="H55" i="5"/>
  <c r="H268" i="5" s="1"/>
  <c r="H61" i="5"/>
  <c r="H13" i="5"/>
  <c r="H235" i="5" s="1"/>
  <c r="H18" i="5"/>
  <c r="H34" i="5"/>
  <c r="H45" i="5"/>
  <c r="H248" i="5" s="1"/>
  <c r="H46" i="5"/>
  <c r="H249" i="5" s="1"/>
  <c r="H47" i="5"/>
  <c r="H250" i="5" s="1"/>
  <c r="H24" i="5"/>
  <c r="H240" i="5" s="1"/>
  <c r="H258" i="5" s="1"/>
  <c r="H33" i="5"/>
  <c r="H58" i="5"/>
  <c r="H32" i="5"/>
  <c r="H48" i="5"/>
  <c r="H19" i="5"/>
  <c r="H216" i="5" s="1"/>
  <c r="I211" i="5" s="1"/>
  <c r="AH266" i="6"/>
  <c r="AH274" i="6"/>
  <c r="AH258" i="5"/>
  <c r="AP44" i="5"/>
  <c r="AO247" i="5"/>
  <c r="AQ47" i="5"/>
  <c r="AP250" i="5"/>
  <c r="AE221" i="5"/>
  <c r="AD214" i="5"/>
  <c r="AD220" i="5" s="1"/>
  <c r="D29" i="3"/>
  <c r="D31" i="3" s="1"/>
  <c r="D33" i="3" s="1"/>
  <c r="AJ214" i="6"/>
  <c r="AI214" i="6"/>
  <c r="Z137" i="5"/>
  <c r="AH276" i="6"/>
  <c r="Z266" i="6"/>
  <c r="Z274" i="6"/>
  <c r="Z258" i="5"/>
  <c r="U145" i="6"/>
  <c r="U146" i="6"/>
  <c r="G144" i="6"/>
  <c r="AQ45" i="5"/>
  <c r="AP248" i="5"/>
  <c r="AB252" i="5"/>
  <c r="H98" i="6"/>
  <c r="BB25" i="6"/>
  <c r="AU10" i="6"/>
  <c r="AU12" i="6"/>
  <c r="AU13" i="6" s="1"/>
  <c r="AK20" i="6"/>
  <c r="AH202" i="6"/>
  <c r="AI211" i="6"/>
  <c r="AJ197" i="6"/>
  <c r="AI15" i="8" s="1"/>
  <c r="AI27" i="8" s="1"/>
  <c r="AI39" i="8" s="1"/>
  <c r="F142" i="6"/>
  <c r="F143" i="6"/>
  <c r="AT10" i="6"/>
  <c r="AT12" i="6"/>
  <c r="AT13" i="6" s="1"/>
  <c r="AO196" i="6"/>
  <c r="AS196" i="6" s="1"/>
  <c r="AW196" i="6" s="1"/>
  <c r="AK197" i="6"/>
  <c r="AJ15" i="8" s="1"/>
  <c r="AJ27" i="8" s="1"/>
  <c r="AJ39" i="8" s="1"/>
  <c r="AS12" i="6"/>
  <c r="AS13" i="6" s="1"/>
  <c r="AS10" i="6"/>
  <c r="AR12" i="6"/>
  <c r="AR13" i="6" s="1"/>
  <c r="AR10" i="6"/>
  <c r="AV8" i="6"/>
  <c r="H55" i="6"/>
  <c r="U55" i="6"/>
  <c r="Y56" i="6" s="1"/>
  <c r="AK17" i="6"/>
  <c r="G142" i="6"/>
  <c r="G143" i="6"/>
  <c r="H143" i="6"/>
  <c r="AB14" i="6"/>
  <c r="AB12" i="6" s="1"/>
  <c r="AA15" i="6"/>
  <c r="AP189" i="6"/>
  <c r="AO190" i="6"/>
  <c r="AB100" i="6"/>
  <c r="G99" i="6"/>
  <c r="H132" i="5"/>
  <c r="I131" i="5" s="1"/>
  <c r="AJ137" i="5"/>
  <c r="AK137" i="5"/>
  <c r="I224" i="5"/>
  <c r="AP219" i="5"/>
  <c r="AJ214" i="5"/>
  <c r="AJ220" i="5" s="1"/>
  <c r="AO147" i="5"/>
  <c r="AO175" i="5"/>
  <c r="AP143" i="5"/>
  <c r="AP31" i="5" s="1"/>
  <c r="AP171" i="5"/>
  <c r="AO42" i="5"/>
  <c r="AP146" i="5"/>
  <c r="F207" i="5"/>
  <c r="F224" i="5"/>
  <c r="W221" i="5"/>
  <c r="V214" i="5"/>
  <c r="AO148" i="5"/>
  <c r="AO176" i="5"/>
  <c r="H224" i="5"/>
  <c r="AP188" i="5"/>
  <c r="AP161" i="5"/>
  <c r="X137" i="5"/>
  <c r="Y137" i="5"/>
  <c r="AO180" i="5"/>
  <c r="AJ87" i="4"/>
  <c r="AJ11" i="4" s="1"/>
  <c r="AK214" i="6"/>
  <c r="G120" i="4"/>
  <c r="H419" i="4"/>
  <c r="AE120" i="4"/>
  <c r="Z87" i="4"/>
  <c r="Z11" i="4" s="1"/>
  <c r="AA311" i="4"/>
  <c r="AA214" i="6" s="1"/>
  <c r="AA216" i="6" s="1"/>
  <c r="Z353" i="4"/>
  <c r="I419" i="4"/>
  <c r="I429" i="4"/>
  <c r="J431" i="4"/>
  <c r="J429" i="4" s="1"/>
  <c r="AJ280" i="4"/>
  <c r="AJ290" i="4"/>
  <c r="AJ286" i="4"/>
  <c r="AJ117" i="4" s="1"/>
  <c r="AJ191" i="4" s="1"/>
  <c r="AM86" i="4"/>
  <c r="AM10" i="4" s="1"/>
  <c r="AM367" i="4"/>
  <c r="AG289" i="4"/>
  <c r="AG285" i="4"/>
  <c r="AG116" i="4" s="1"/>
  <c r="AO255" i="4"/>
  <c r="AP260" i="4"/>
  <c r="V285" i="4"/>
  <c r="V116" i="4" s="1"/>
  <c r="V289" i="4"/>
  <c r="U85" i="4"/>
  <c r="U7" i="4" s="1"/>
  <c r="U8" i="4" s="1"/>
  <c r="U304" i="4"/>
  <c r="U349" i="4"/>
  <c r="U360" i="4" s="1"/>
  <c r="R285" i="4"/>
  <c r="R116" i="4" s="1"/>
  <c r="R289" i="4"/>
  <c r="Z285" i="4"/>
  <c r="Z116" i="4" s="1"/>
  <c r="Z289" i="4"/>
  <c r="AI87" i="4"/>
  <c r="AI11" i="4" s="1"/>
  <c r="AU318" i="4"/>
  <c r="AL289" i="4"/>
  <c r="AD285" i="4"/>
  <c r="AD116" i="4" s="1"/>
  <c r="AE190" i="4" s="1"/>
  <c r="AD289" i="4"/>
  <c r="V304" i="4"/>
  <c r="X109" i="4" l="1"/>
  <c r="V74" i="6"/>
  <c r="Y109" i="4"/>
  <c r="I109" i="4"/>
  <c r="AE109" i="4"/>
  <c r="AB179" i="4"/>
  <c r="AA109" i="4"/>
  <c r="G179" i="4"/>
  <c r="G109" i="4"/>
  <c r="H109" i="4"/>
  <c r="W179" i="4"/>
  <c r="R179" i="4"/>
  <c r="Q109" i="4"/>
  <c r="G180" i="4"/>
  <c r="AG52" i="4"/>
  <c r="AK64" i="4"/>
  <c r="W281" i="6"/>
  <c r="W282" i="6" s="1"/>
  <c r="W190" i="4"/>
  <c r="AH191" i="4"/>
  <c r="AC283" i="6"/>
  <c r="AC284" i="6" s="1"/>
  <c r="J179" i="4"/>
  <c r="AA281" i="6"/>
  <c r="AA282" i="6" s="1"/>
  <c r="AA190" i="4"/>
  <c r="W191" i="4"/>
  <c r="AD191" i="4"/>
  <c r="AG283" i="6"/>
  <c r="Z190" i="4"/>
  <c r="V191" i="4"/>
  <c r="AR129" i="4"/>
  <c r="AQ199" i="4"/>
  <c r="Z191" i="4"/>
  <c r="H180" i="4"/>
  <c r="J180" i="4"/>
  <c r="AB147" i="4"/>
  <c r="AB150" i="4"/>
  <c r="AB151" i="4"/>
  <c r="AB152" i="4"/>
  <c r="AB153" i="4"/>
  <c r="AB154" i="4"/>
  <c r="AB155" i="4"/>
  <c r="AB161" i="4"/>
  <c r="AB162" i="4"/>
  <c r="AB165" i="4"/>
  <c r="AB166" i="4"/>
  <c r="AB167" i="4"/>
  <c r="AB168" i="4"/>
  <c r="AB172" i="4"/>
  <c r="AB170" i="4"/>
  <c r="R147" i="4"/>
  <c r="R150" i="4"/>
  <c r="R151" i="4"/>
  <c r="R152" i="4"/>
  <c r="R153" i="4"/>
  <c r="R154" i="4"/>
  <c r="R155" i="4"/>
  <c r="R159" i="4"/>
  <c r="R160" i="4"/>
  <c r="R161" i="4"/>
  <c r="R162" i="4"/>
  <c r="R165" i="4"/>
  <c r="R166" i="4"/>
  <c r="R167" i="4"/>
  <c r="R168" i="4"/>
  <c r="R170" i="4"/>
  <c r="R172" i="4"/>
  <c r="Y92" i="4"/>
  <c r="Y94" i="4" s="1"/>
  <c r="Z176" i="4" s="1"/>
  <c r="Y179" i="4"/>
  <c r="AD92" i="4"/>
  <c r="AD94" i="4" s="1"/>
  <c r="AD179" i="4"/>
  <c r="U180" i="4"/>
  <c r="AE92" i="4"/>
  <c r="AE94" i="4" s="1"/>
  <c r="AE149" i="4" s="1"/>
  <c r="AE179" i="4"/>
  <c r="Z179" i="4"/>
  <c r="AH92" i="4"/>
  <c r="AH94" i="4" s="1"/>
  <c r="AH179" i="4"/>
  <c r="I180" i="4"/>
  <c r="AJ92" i="4"/>
  <c r="AJ94" i="4" s="1"/>
  <c r="AJ149" i="4" s="1"/>
  <c r="AJ179" i="4"/>
  <c r="Z147" i="4"/>
  <c r="Z150" i="4"/>
  <c r="Z151" i="4"/>
  <c r="Z152" i="4"/>
  <c r="Z153" i="4"/>
  <c r="Z154" i="4"/>
  <c r="Z155" i="4"/>
  <c r="Z159" i="4"/>
  <c r="Z160" i="4"/>
  <c r="Z161" i="4"/>
  <c r="Z162" i="4"/>
  <c r="Z165" i="4"/>
  <c r="Z166" i="4"/>
  <c r="Z167" i="4"/>
  <c r="Z168" i="4"/>
  <c r="Z170" i="4"/>
  <c r="Z172" i="4"/>
  <c r="I179" i="4"/>
  <c r="AF92" i="4"/>
  <c r="AF94" i="4" s="1"/>
  <c r="AF149" i="4" s="1"/>
  <c r="AF179" i="4"/>
  <c r="U92" i="4"/>
  <c r="U94" i="4" s="1"/>
  <c r="U269" i="4" s="1"/>
  <c r="U179" i="4"/>
  <c r="AL92" i="4"/>
  <c r="AL94" i="4" s="1"/>
  <c r="AL179" i="4"/>
  <c r="Y149" i="4"/>
  <c r="Y180" i="4"/>
  <c r="AA92" i="4"/>
  <c r="AA94" i="4" s="1"/>
  <c r="AB176" i="4" s="1"/>
  <c r="AA179" i="4"/>
  <c r="S269" i="4"/>
  <c r="S147" i="4"/>
  <c r="S150" i="4"/>
  <c r="S151" i="4"/>
  <c r="S152" i="4"/>
  <c r="S153" i="4"/>
  <c r="S154" i="4"/>
  <c r="S155" i="4"/>
  <c r="S161" i="4"/>
  <c r="S162" i="4"/>
  <c r="S165" i="4"/>
  <c r="S166" i="4"/>
  <c r="S167" i="4"/>
  <c r="S168" i="4"/>
  <c r="S176" i="4"/>
  <c r="S170" i="4"/>
  <c r="S172" i="4"/>
  <c r="S160" i="4"/>
  <c r="AM92" i="4"/>
  <c r="AM94" i="4" s="1"/>
  <c r="AM269" i="4" s="1"/>
  <c r="AM179" i="4"/>
  <c r="AN179" i="4"/>
  <c r="X92" i="4"/>
  <c r="X94" i="4" s="1"/>
  <c r="X149" i="4" s="1"/>
  <c r="X179" i="4"/>
  <c r="AC92" i="4"/>
  <c r="AC94" i="4" s="1"/>
  <c r="AC149" i="4" s="1"/>
  <c r="AC179" i="4"/>
  <c r="H179" i="4"/>
  <c r="AF180" i="4"/>
  <c r="AK92" i="4"/>
  <c r="AK94" i="4" s="1"/>
  <c r="AK269" i="4" s="1"/>
  <c r="AK179" i="4"/>
  <c r="T92" i="4"/>
  <c r="T94" i="4" s="1"/>
  <c r="T149" i="4" s="1"/>
  <c r="T179" i="4"/>
  <c r="AG92" i="4"/>
  <c r="AG94" i="4" s="1"/>
  <c r="AG149" i="4" s="1"/>
  <c r="AG179" i="4"/>
  <c r="Q92" i="4"/>
  <c r="Q94" i="4" s="1"/>
  <c r="AI92" i="4"/>
  <c r="AI94" i="4" s="1"/>
  <c r="AI179" i="4"/>
  <c r="V92" i="4"/>
  <c r="V94" i="4" s="1"/>
  <c r="Z95" i="4" s="1"/>
  <c r="V179" i="4"/>
  <c r="AG180" i="4"/>
  <c r="W160" i="4"/>
  <c r="W162" i="4"/>
  <c r="W165" i="4"/>
  <c r="W166" i="4"/>
  <c r="W167" i="4"/>
  <c r="W168" i="4"/>
  <c r="W147" i="4"/>
  <c r="W150" i="4"/>
  <c r="W154" i="4"/>
  <c r="W159" i="4"/>
  <c r="W153" i="4"/>
  <c r="W161" i="4"/>
  <c r="W170" i="4"/>
  <c r="W172" i="4"/>
  <c r="W151" i="4"/>
  <c r="W155" i="4"/>
  <c r="W152" i="4"/>
  <c r="G194" i="4"/>
  <c r="AG329" i="4"/>
  <c r="AH285" i="4"/>
  <c r="AH116" i="4" s="1"/>
  <c r="AG339" i="4"/>
  <c r="AG369" i="4"/>
  <c r="AI367" i="4"/>
  <c r="AH289" i="4"/>
  <c r="AI281" i="6"/>
  <c r="AI282" i="6" s="1"/>
  <c r="AI120" i="4"/>
  <c r="X280" i="4"/>
  <c r="X289" i="4" s="1"/>
  <c r="U285" i="4"/>
  <c r="U116" i="4" s="1"/>
  <c r="AB286" i="4"/>
  <c r="AB117" i="4" s="1"/>
  <c r="AB191" i="4" s="1"/>
  <c r="AC285" i="4"/>
  <c r="AC116" i="4" s="1"/>
  <c r="AI289" i="4"/>
  <c r="X290" i="4"/>
  <c r="AB280" i="4"/>
  <c r="AB285" i="4" s="1"/>
  <c r="AB116" i="4" s="1"/>
  <c r="AB159" i="4" s="1"/>
  <c r="W120" i="4"/>
  <c r="W163" i="4" s="1"/>
  <c r="AA120" i="4"/>
  <c r="H120" i="4"/>
  <c r="H194" i="4" s="1"/>
  <c r="R34" i="4"/>
  <c r="R100" i="4"/>
  <c r="R109" i="4" s="1"/>
  <c r="AG344" i="4"/>
  <c r="AJ306" i="4"/>
  <c r="AJ367" i="4" s="1"/>
  <c r="AI86" i="4"/>
  <c r="AI10" i="4" s="1"/>
  <c r="AM28" i="4" s="1"/>
  <c r="AM88" i="6"/>
  <c r="AF280" i="4"/>
  <c r="AF285" i="4" s="1"/>
  <c r="AF116" i="4" s="1"/>
  <c r="F94" i="4"/>
  <c r="V25" i="4"/>
  <c r="V8" i="4"/>
  <c r="W35" i="4" s="1"/>
  <c r="S34" i="4"/>
  <c r="S8" i="4"/>
  <c r="W26" i="4" s="1"/>
  <c r="U26" i="4"/>
  <c r="U35" i="4"/>
  <c r="AG269" i="4"/>
  <c r="F63" i="5"/>
  <c r="I92" i="4"/>
  <c r="G92" i="4"/>
  <c r="H92" i="4"/>
  <c r="W95" i="4"/>
  <c r="J92" i="4"/>
  <c r="AJ270" i="6"/>
  <c r="W74" i="6"/>
  <c r="I96" i="6"/>
  <c r="AH88" i="20"/>
  <c r="AK102" i="20"/>
  <c r="AK35" i="20"/>
  <c r="AB311" i="4"/>
  <c r="AB214" i="6" s="1"/>
  <c r="AB216" i="6" s="1"/>
  <c r="G135" i="5"/>
  <c r="G137" i="5" s="1"/>
  <c r="H131" i="5"/>
  <c r="G59" i="5"/>
  <c r="AY184" i="5"/>
  <c r="AY180" i="5"/>
  <c r="AY185" i="5"/>
  <c r="AY172" i="5"/>
  <c r="H259" i="5"/>
  <c r="S86" i="4"/>
  <c r="S10" i="4" s="1"/>
  <c r="S344" i="4"/>
  <c r="T346" i="4" s="1"/>
  <c r="F362" i="4"/>
  <c r="S367" i="4"/>
  <c r="AM100" i="4"/>
  <c r="S100" i="4"/>
  <c r="S109" i="4" s="1"/>
  <c r="AI100" i="4"/>
  <c r="AJ180" i="4" s="1"/>
  <c r="X349" i="4"/>
  <c r="X360" i="4" s="1"/>
  <c r="U74" i="6"/>
  <c r="X304" i="4"/>
  <c r="I284" i="6"/>
  <c r="I134" i="6"/>
  <c r="AI284" i="6"/>
  <c r="AI134" i="6"/>
  <c r="I282" i="6"/>
  <c r="I132" i="6"/>
  <c r="W34" i="4"/>
  <c r="X88" i="20"/>
  <c r="AC88" i="20"/>
  <c r="AB88" i="20"/>
  <c r="U88" i="20"/>
  <c r="Z88" i="20"/>
  <c r="AK138" i="20"/>
  <c r="AO65" i="21"/>
  <c r="AO181" i="20"/>
  <c r="AO158" i="21"/>
  <c r="AQ175" i="21"/>
  <c r="AP164" i="21"/>
  <c r="AP163" i="21"/>
  <c r="AT163" i="21" s="1"/>
  <c r="AX163" i="21" s="1"/>
  <c r="AK254" i="6"/>
  <c r="AK256" i="6"/>
  <c r="AK258" i="6"/>
  <c r="AK261" i="6"/>
  <c r="AI256" i="6"/>
  <c r="AI258" i="6"/>
  <c r="AI261" i="6"/>
  <c r="AJ256" i="6"/>
  <c r="AJ258" i="6"/>
  <c r="AJ261" i="6"/>
  <c r="I221" i="6"/>
  <c r="I227" i="6"/>
  <c r="J144" i="6"/>
  <c r="J145" i="6" s="1"/>
  <c r="J174" i="6"/>
  <c r="J189" i="6"/>
  <c r="J220" i="6"/>
  <c r="J226" i="6"/>
  <c r="I223" i="6"/>
  <c r="AC223" i="6" s="1"/>
  <c r="I224" i="6"/>
  <c r="I225" i="6" s="1"/>
  <c r="Y349" i="4"/>
  <c r="Y360" i="4" s="1"/>
  <c r="AJ254" i="6"/>
  <c r="AJ252" i="6"/>
  <c r="AJ250" i="6"/>
  <c r="AI254" i="6"/>
  <c r="AI250" i="6"/>
  <c r="AI252" i="6"/>
  <c r="Y16" i="6"/>
  <c r="Z100" i="4"/>
  <c r="Z109" i="4" s="1"/>
  <c r="Y85" i="4"/>
  <c r="Y7" i="4" s="1"/>
  <c r="Y74" i="6"/>
  <c r="AI237" i="6"/>
  <c r="AI233" i="6"/>
  <c r="AI216" i="6"/>
  <c r="AI230" i="6" s="1"/>
  <c r="AI232" i="6"/>
  <c r="AI231" i="6"/>
  <c r="AK216" i="6"/>
  <c r="AK231" i="6"/>
  <c r="AK233" i="6"/>
  <c r="AK232" i="6"/>
  <c r="AJ237" i="6"/>
  <c r="AJ216" i="6"/>
  <c r="AJ230" i="6" s="1"/>
  <c r="AJ231" i="6"/>
  <c r="AJ232" i="6"/>
  <c r="AJ233" i="6"/>
  <c r="I219" i="6"/>
  <c r="AK237" i="6"/>
  <c r="AK241" i="6"/>
  <c r="AG12" i="4"/>
  <c r="L54" i="21"/>
  <c r="X74" i="6"/>
  <c r="AK12" i="4"/>
  <c r="G100" i="6"/>
  <c r="Y304" i="4"/>
  <c r="X85" i="4"/>
  <c r="X7" i="4" s="1"/>
  <c r="V34" i="4"/>
  <c r="H364" i="4"/>
  <c r="AC95" i="4"/>
  <c r="AB100" i="4"/>
  <c r="AB270" i="6"/>
  <c r="Q88" i="4"/>
  <c r="R344" i="4"/>
  <c r="F270" i="6"/>
  <c r="AK100" i="4"/>
  <c r="F349" i="4"/>
  <c r="F360" i="4" s="1"/>
  <c r="Q344" i="4"/>
  <c r="Q272" i="6"/>
  <c r="R309" i="4"/>
  <c r="Q367" i="4"/>
  <c r="S309" i="4"/>
  <c r="R86" i="4"/>
  <c r="R10" i="4" s="1"/>
  <c r="Q296" i="4"/>
  <c r="R296" i="4"/>
  <c r="T286" i="4"/>
  <c r="T117" i="4" s="1"/>
  <c r="T191" i="4" s="1"/>
  <c r="AF286" i="4"/>
  <c r="AF117" i="4" s="1"/>
  <c r="AG191" i="4" s="1"/>
  <c r="Q285" i="4"/>
  <c r="Q116" i="4" s="1"/>
  <c r="Q120" i="4" s="1"/>
  <c r="AK316" i="4"/>
  <c r="AK369" i="4" s="1"/>
  <c r="S285" i="4"/>
  <c r="S116" i="4" s="1"/>
  <c r="S190" i="4" s="1"/>
  <c r="S289" i="4"/>
  <c r="T290" i="4"/>
  <c r="I187" i="4"/>
  <c r="M54" i="21"/>
  <c r="W270" i="6"/>
  <c r="W100" i="4"/>
  <c r="W109" i="4" s="1"/>
  <c r="AK107" i="6"/>
  <c r="AG296" i="4"/>
  <c r="AZ15" i="5"/>
  <c r="AY241" i="5"/>
  <c r="AW172" i="5"/>
  <c r="AW180" i="5"/>
  <c r="AZ23" i="5"/>
  <c r="AY239" i="5"/>
  <c r="AZ9" i="5"/>
  <c r="AY134" i="5"/>
  <c r="AZ180" i="5"/>
  <c r="AZ182" i="5"/>
  <c r="AZ185" i="5"/>
  <c r="AZ172" i="5"/>
  <c r="AZ184" i="5"/>
  <c r="AZ171" i="5"/>
  <c r="AS14" i="5"/>
  <c r="AR236" i="5"/>
  <c r="AY11" i="5"/>
  <c r="AX233" i="5"/>
  <c r="AN56" i="5"/>
  <c r="AN59" i="5" s="1"/>
  <c r="AO55" i="5"/>
  <c r="AP55" i="5" s="1"/>
  <c r="AZ22" i="5"/>
  <c r="AY238" i="5"/>
  <c r="AX133" i="5"/>
  <c r="AY8" i="5"/>
  <c r="Y95" i="4"/>
  <c r="AM95" i="4"/>
  <c r="AI100" i="20"/>
  <c r="J100" i="20"/>
  <c r="T296" i="4"/>
  <c r="AM37" i="4"/>
  <c r="AJ283" i="6"/>
  <c r="Z38" i="4"/>
  <c r="Z29" i="4"/>
  <c r="I100" i="20"/>
  <c r="H88" i="20"/>
  <c r="AL270" i="6"/>
  <c r="AL100" i="4"/>
  <c r="AI38" i="4"/>
  <c r="AM29" i="4"/>
  <c r="V270" i="6"/>
  <c r="V100" i="4"/>
  <c r="V109" i="4" s="1"/>
  <c r="AM176" i="20"/>
  <c r="AG50" i="4"/>
  <c r="AI269" i="4"/>
  <c r="AJ100" i="20"/>
  <c r="AJ35" i="20" s="1"/>
  <c r="AH38" i="4"/>
  <c r="I361" i="4"/>
  <c r="I366" i="4"/>
  <c r="AM100" i="20"/>
  <c r="AM35" i="20" s="1"/>
  <c r="AH270" i="6"/>
  <c r="AH100" i="4"/>
  <c r="AH109" i="4" s="1"/>
  <c r="AD270" i="6"/>
  <c r="AD100" i="4"/>
  <c r="AD109" i="4" s="1"/>
  <c r="AG284" i="6"/>
  <c r="AD283" i="6"/>
  <c r="AD284" i="6" s="1"/>
  <c r="AD182" i="20"/>
  <c r="H113" i="20"/>
  <c r="H112" i="20"/>
  <c r="AH283" i="6"/>
  <c r="AH284" i="6" s="1"/>
  <c r="AH182" i="20"/>
  <c r="AJ38" i="4"/>
  <c r="AK38" i="4"/>
  <c r="AN29" i="4"/>
  <c r="AX22" i="8"/>
  <c r="AX34" i="8"/>
  <c r="AY303" i="4" s="1"/>
  <c r="AY329" i="4" s="1"/>
  <c r="AQ145" i="6"/>
  <c r="AT145" i="6"/>
  <c r="AX145" i="6" s="1"/>
  <c r="AY12" i="6"/>
  <c r="AY13" i="6" s="1"/>
  <c r="AW10" i="6"/>
  <c r="Y213" i="5"/>
  <c r="G16" i="5"/>
  <c r="I365" i="4"/>
  <c r="G40" i="5"/>
  <c r="G49" i="5"/>
  <c r="F51" i="5"/>
  <c r="G251" i="5"/>
  <c r="G252" i="5" s="1"/>
  <c r="G26" i="5"/>
  <c r="N8" i="6"/>
  <c r="M8" i="6"/>
  <c r="M9" i="6" s="1"/>
  <c r="AZ8" i="6"/>
  <c r="AW13" i="6"/>
  <c r="AX10" i="6"/>
  <c r="AX12" i="6"/>
  <c r="AX13" i="6" s="1"/>
  <c r="AY10" i="6"/>
  <c r="I143" i="6"/>
  <c r="AY142" i="6"/>
  <c r="W25" i="4"/>
  <c r="I99" i="6"/>
  <c r="I100" i="6" s="1"/>
  <c r="J218" i="6"/>
  <c r="K1" i="6"/>
  <c r="J141" i="6"/>
  <c r="J2" i="6"/>
  <c r="AK15" i="6"/>
  <c r="AL14" i="6"/>
  <c r="I308" i="6"/>
  <c r="J139" i="6"/>
  <c r="J140" i="6" s="1"/>
  <c r="F145" i="6"/>
  <c r="I139" i="6"/>
  <c r="I140" i="6" s="1"/>
  <c r="I146" i="6"/>
  <c r="H139" i="6"/>
  <c r="H140" i="6" s="1"/>
  <c r="H308" i="6"/>
  <c r="T34" i="4"/>
  <c r="U25" i="4"/>
  <c r="U34" i="4"/>
  <c r="AK289" i="4"/>
  <c r="T367" i="4"/>
  <c r="Y289" i="4"/>
  <c r="H256" i="5"/>
  <c r="I362" i="4"/>
  <c r="AQ4" i="4"/>
  <c r="AU4" i="4" s="1"/>
  <c r="AY4" i="4" s="1"/>
  <c r="I142" i="4"/>
  <c r="I368" i="4"/>
  <c r="J1" i="4"/>
  <c r="I2" i="4"/>
  <c r="I119" i="4"/>
  <c r="I193" i="4" s="1"/>
  <c r="T309" i="4"/>
  <c r="AJ95" i="4"/>
  <c r="I363" i="4"/>
  <c r="F139" i="6"/>
  <c r="F140" i="6" s="1"/>
  <c r="AS4" i="4"/>
  <c r="AW4" i="4" s="1"/>
  <c r="AP4" i="4"/>
  <c r="AT4" i="4" s="1"/>
  <c r="AX4" i="4" s="1"/>
  <c r="H257" i="5"/>
  <c r="I350" i="4"/>
  <c r="AR4" i="4"/>
  <c r="AV4" i="4" s="1"/>
  <c r="AZ4" i="4" s="1"/>
  <c r="T86" i="4"/>
  <c r="T10" i="4" s="1"/>
  <c r="G139" i="6"/>
  <c r="G140" i="6" s="1"/>
  <c r="Z213" i="5"/>
  <c r="AD227" i="5"/>
  <c r="F283" i="6"/>
  <c r="F284" i="6" s="1"/>
  <c r="AH227" i="5"/>
  <c r="J227" i="5" s="1"/>
  <c r="J283" i="6"/>
  <c r="I227" i="5"/>
  <c r="I218" i="5"/>
  <c r="F28" i="5"/>
  <c r="I219" i="5"/>
  <c r="F137" i="5"/>
  <c r="H135" i="5"/>
  <c r="H16" i="5"/>
  <c r="H59" i="5"/>
  <c r="H63" i="5" s="1"/>
  <c r="AG120" i="4"/>
  <c r="AG281" i="6"/>
  <c r="AG282" i="6" s="1"/>
  <c r="R120" i="4"/>
  <c r="R194" i="4" s="1"/>
  <c r="R281" i="6"/>
  <c r="R282" i="6" s="1"/>
  <c r="Z120" i="4"/>
  <c r="Z163" i="4" s="1"/>
  <c r="Z281" i="6"/>
  <c r="Z282" i="6" s="1"/>
  <c r="U19" i="6"/>
  <c r="Y20" i="6" s="1"/>
  <c r="AR45" i="5"/>
  <c r="AQ248" i="5"/>
  <c r="AR47" i="5"/>
  <c r="AQ250" i="5"/>
  <c r="H40" i="5"/>
  <c r="H260" i="5"/>
  <c r="AO162" i="5"/>
  <c r="AO189" i="5"/>
  <c r="I7" i="5"/>
  <c r="I18" i="5"/>
  <c r="I19" i="5"/>
  <c r="I216" i="5" s="1"/>
  <c r="I20" i="5"/>
  <c r="I13" i="5"/>
  <c r="I235" i="5" s="1"/>
  <c r="I34" i="5"/>
  <c r="I45" i="5"/>
  <c r="I248" i="5" s="1"/>
  <c r="I46" i="5"/>
  <c r="I249" i="5" s="1"/>
  <c r="I47" i="5"/>
  <c r="I250" i="5" s="1"/>
  <c r="I37" i="5"/>
  <c r="I245" i="5" s="1"/>
  <c r="I260" i="5" s="1"/>
  <c r="I38" i="5"/>
  <c r="I246" i="5" s="1"/>
  <c r="I261" i="5" s="1"/>
  <c r="I39" i="5"/>
  <c r="I42" i="5"/>
  <c r="I43" i="5"/>
  <c r="I44" i="5"/>
  <c r="I247" i="5" s="1"/>
  <c r="I53" i="5"/>
  <c r="I56" i="5"/>
  <c r="I57" i="5"/>
  <c r="I9" i="5"/>
  <c r="I134" i="5" s="1"/>
  <c r="I15" i="5"/>
  <c r="I241" i="5" s="1"/>
  <c r="I23" i="5"/>
  <c r="I239" i="5" s="1"/>
  <c r="I24" i="5"/>
  <c r="I240" i="5" s="1"/>
  <c r="I258" i="5" s="1"/>
  <c r="I32" i="5"/>
  <c r="I33" i="5"/>
  <c r="I48" i="5"/>
  <c r="I58" i="5"/>
  <c r="I12" i="5"/>
  <c r="I234" i="5" s="1"/>
  <c r="I61" i="5"/>
  <c r="I21" i="5"/>
  <c r="I14" i="5"/>
  <c r="I236" i="5" s="1"/>
  <c r="I22" i="5"/>
  <c r="I238" i="5" s="1"/>
  <c r="I31" i="5"/>
  <c r="I36" i="5"/>
  <c r="I244" i="5" s="1"/>
  <c r="I55" i="5"/>
  <c r="I268" i="5" s="1"/>
  <c r="I35" i="5"/>
  <c r="I243" i="5" s="1"/>
  <c r="I25" i="5"/>
  <c r="I237" i="5" s="1"/>
  <c r="I11" i="5"/>
  <c r="I233" i="5" s="1"/>
  <c r="I10" i="5"/>
  <c r="I232" i="5" s="1"/>
  <c r="I8" i="5"/>
  <c r="I133" i="5" s="1"/>
  <c r="AB269" i="4"/>
  <c r="AS46" i="5"/>
  <c r="AR249" i="5"/>
  <c r="V95" i="4"/>
  <c r="R269" i="4"/>
  <c r="H314" i="6"/>
  <c r="G314" i="6"/>
  <c r="AD120" i="4"/>
  <c r="AD281" i="6"/>
  <c r="AD282" i="6" s="1"/>
  <c r="AK215" i="6"/>
  <c r="AM215" i="6"/>
  <c r="J214" i="6"/>
  <c r="H49" i="5"/>
  <c r="J198" i="5"/>
  <c r="J201" i="5"/>
  <c r="J205" i="5" s="1"/>
  <c r="J212" i="5"/>
  <c r="J226" i="5"/>
  <c r="J200" i="5"/>
  <c r="K1" i="5"/>
  <c r="K226" i="5" s="1"/>
  <c r="J199" i="5"/>
  <c r="J2" i="5"/>
  <c r="AU36" i="5"/>
  <c r="AT244" i="5"/>
  <c r="U281" i="6"/>
  <c r="U282" i="6" s="1"/>
  <c r="Y120" i="4"/>
  <c r="Y281" i="6"/>
  <c r="Y282" i="6" s="1"/>
  <c r="AA215" i="6"/>
  <c r="G145" i="6"/>
  <c r="G146" i="6"/>
  <c r="H146" i="6"/>
  <c r="Z269" i="4"/>
  <c r="AD95" i="4"/>
  <c r="AF221" i="5"/>
  <c r="AF214" i="5" s="1"/>
  <c r="AF220" i="5" s="1"/>
  <c r="AE214" i="5"/>
  <c r="AE220" i="5" s="1"/>
  <c r="AQ44" i="5"/>
  <c r="AP247" i="5"/>
  <c r="H203" i="5"/>
  <c r="I197" i="5" s="1"/>
  <c r="H26" i="5"/>
  <c r="R220" i="5"/>
  <c r="R213" i="5"/>
  <c r="AM92" i="6"/>
  <c r="AA214" i="5"/>
  <c r="AB221" i="5"/>
  <c r="AB214" i="5" s="1"/>
  <c r="AB220" i="5" s="1"/>
  <c r="BA33" i="6"/>
  <c r="BA16" i="6"/>
  <c r="AH281" i="6"/>
  <c r="AH282" i="6" s="1"/>
  <c r="V120" i="4"/>
  <c r="V281" i="6"/>
  <c r="V282" i="6" s="1"/>
  <c r="AH269" i="4"/>
  <c r="AH95" i="4"/>
  <c r="H251" i="5"/>
  <c r="H254" i="5"/>
  <c r="H261" i="5"/>
  <c r="X269" i="4"/>
  <c r="S214" i="5"/>
  <c r="T221" i="5"/>
  <c r="T214" i="5" s="1"/>
  <c r="T220" i="5" s="1"/>
  <c r="AP160" i="5"/>
  <c r="AP187" i="5"/>
  <c r="AO218" i="6"/>
  <c r="AO79" i="20" s="1"/>
  <c r="AF13" i="6"/>
  <c r="X55" i="6"/>
  <c r="X19" i="6" s="1"/>
  <c r="AB55" i="6"/>
  <c r="I55" i="6"/>
  <c r="Y18" i="6"/>
  <c r="AP190" i="6"/>
  <c r="AQ189" i="6"/>
  <c r="AA14" i="6"/>
  <c r="AA12" i="6" s="1"/>
  <c r="Z15" i="6"/>
  <c r="AV12" i="6"/>
  <c r="AV13" i="6" s="1"/>
  <c r="AV10" i="6"/>
  <c r="G19" i="6"/>
  <c r="G16" i="6"/>
  <c r="G17" i="6" s="1"/>
  <c r="G74" i="6"/>
  <c r="AI202" i="6"/>
  <c r="AJ211" i="6"/>
  <c r="H100" i="6"/>
  <c r="AP148" i="5"/>
  <c r="AP176" i="5"/>
  <c r="X221" i="5"/>
  <c r="X214" i="5" s="1"/>
  <c r="X220" i="5" s="1"/>
  <c r="W214" i="5"/>
  <c r="AQ137" i="5"/>
  <c r="AO159" i="5"/>
  <c r="AO186" i="5"/>
  <c r="AQ205" i="5"/>
  <c r="AQ188" i="5"/>
  <c r="AQ161" i="5"/>
  <c r="AO156" i="5"/>
  <c r="AO183" i="5"/>
  <c r="AO207" i="5"/>
  <c r="AO177" i="5"/>
  <c r="AO149" i="5"/>
  <c r="AO150" i="5" s="1"/>
  <c r="AQ171" i="5"/>
  <c r="AQ55" i="5"/>
  <c r="AO208" i="5"/>
  <c r="AO158" i="5"/>
  <c r="AO185" i="5"/>
  <c r="AP42" i="5"/>
  <c r="AQ146" i="5"/>
  <c r="AP147" i="5"/>
  <c r="AP175" i="5"/>
  <c r="V220" i="5"/>
  <c r="V213" i="5"/>
  <c r="AO157" i="5"/>
  <c r="AO184" i="5"/>
  <c r="AQ219" i="5"/>
  <c r="T285" i="4"/>
  <c r="T116" i="4" s="1"/>
  <c r="T190" i="4" s="1"/>
  <c r="T289" i="4"/>
  <c r="AO256" i="4"/>
  <c r="AO261" i="4"/>
  <c r="AL214" i="6"/>
  <c r="AK362" i="4"/>
  <c r="AV318" i="4"/>
  <c r="AW318" i="4" s="1"/>
  <c r="AX318" i="4" s="1"/>
  <c r="AY318" i="4" s="1"/>
  <c r="AZ318" i="4" s="1"/>
  <c r="Z301" i="4"/>
  <c r="Z73" i="6" s="1"/>
  <c r="AJ285" i="4"/>
  <c r="AJ116" i="4" s="1"/>
  <c r="AJ289" i="4"/>
  <c r="AA87" i="4"/>
  <c r="AA11" i="4" s="1"/>
  <c r="AA353" i="4"/>
  <c r="AA301" i="4" s="1"/>
  <c r="AA73" i="6" s="1"/>
  <c r="H435" i="4"/>
  <c r="I435" i="4" s="1"/>
  <c r="H434" i="4"/>
  <c r="I434" i="4" s="1"/>
  <c r="H433" i="4"/>
  <c r="AP255" i="4"/>
  <c r="AQ260" i="4"/>
  <c r="AD273" i="4"/>
  <c r="AD274" i="4"/>
  <c r="AE274" i="4"/>
  <c r="AF273" i="4"/>
  <c r="AF274" i="4"/>
  <c r="AH273" i="4"/>
  <c r="AH274" i="4"/>
  <c r="AI273" i="4"/>
  <c r="AJ273" i="4"/>
  <c r="AJ274" i="4"/>
  <c r="G273" i="4"/>
  <c r="Z273" i="4"/>
  <c r="I273" i="4"/>
  <c r="I274" i="4"/>
  <c r="Q273" i="4"/>
  <c r="R273" i="4"/>
  <c r="S273" i="4"/>
  <c r="T273" i="4"/>
  <c r="U273" i="4"/>
  <c r="V273" i="4"/>
  <c r="W273" i="4"/>
  <c r="X273" i="4"/>
  <c r="Y273" i="4"/>
  <c r="AA273" i="4"/>
  <c r="AB273" i="4"/>
  <c r="AC273" i="4"/>
  <c r="AG273" i="4"/>
  <c r="AK273" i="4"/>
  <c r="AL273" i="4"/>
  <c r="AL274" i="4"/>
  <c r="AM273" i="4"/>
  <c r="AC274" i="4"/>
  <c r="AK274" i="4"/>
  <c r="AM274" i="4"/>
  <c r="I275" i="4"/>
  <c r="H273" i="4"/>
  <c r="AC180" i="4" l="1"/>
  <c r="AB109" i="4"/>
  <c r="AF95" i="4"/>
  <c r="AE95" i="4"/>
  <c r="AB95" i="4"/>
  <c r="X95" i="4"/>
  <c r="AI95" i="4"/>
  <c r="U191" i="4"/>
  <c r="AJ269" i="4"/>
  <c r="AG95" i="4"/>
  <c r="AB281" i="6"/>
  <c r="AB282" i="6" s="1"/>
  <c r="AB190" i="4"/>
  <c r="AC281" i="6"/>
  <c r="AC282" i="6" s="1"/>
  <c r="AC190" i="4"/>
  <c r="AD190" i="4"/>
  <c r="AB160" i="4"/>
  <c r="AS129" i="4"/>
  <c r="AR199" i="4"/>
  <c r="AC191" i="4"/>
  <c r="AJ281" i="6"/>
  <c r="AJ132" i="6" s="1"/>
  <c r="AJ190" i="4"/>
  <c r="Z194" i="4"/>
  <c r="AF281" i="6"/>
  <c r="AF282" i="6" s="1"/>
  <c r="AF190" i="4"/>
  <c r="AA194" i="4"/>
  <c r="U120" i="4"/>
  <c r="U190" i="4"/>
  <c r="S159" i="4"/>
  <c r="AE194" i="4"/>
  <c r="AF283" i="6"/>
  <c r="AF284" i="6" s="1"/>
  <c r="AF191" i="4"/>
  <c r="W194" i="4"/>
  <c r="AH120" i="4"/>
  <c r="AH194" i="4" s="1"/>
  <c r="AH190" i="4"/>
  <c r="R163" i="4"/>
  <c r="AI190" i="4"/>
  <c r="AG190" i="4"/>
  <c r="V190" i="4"/>
  <c r="R190" i="4"/>
  <c r="AA95" i="4"/>
  <c r="J187" i="4"/>
  <c r="U149" i="4"/>
  <c r="W176" i="4"/>
  <c r="U111" i="4"/>
  <c r="U156" i="4"/>
  <c r="U187" i="4"/>
  <c r="AK149" i="4"/>
  <c r="AK180" i="4"/>
  <c r="Q269" i="4"/>
  <c r="Q147" i="4"/>
  <c r="Q150" i="4"/>
  <c r="Q151" i="4"/>
  <c r="Q152" i="4"/>
  <c r="Q153" i="4"/>
  <c r="Q154" i="4"/>
  <c r="Q155" i="4"/>
  <c r="Q159" i="4"/>
  <c r="Q160" i="4"/>
  <c r="Q161" i="4"/>
  <c r="Q162" i="4"/>
  <c r="Q165" i="4"/>
  <c r="Q167" i="4"/>
  <c r="Q163" i="4"/>
  <c r="Q166" i="4"/>
  <c r="Q168" i="4"/>
  <c r="Q170" i="4"/>
  <c r="Q172" i="4"/>
  <c r="AL147" i="4"/>
  <c r="AL150" i="4"/>
  <c r="AL151" i="4"/>
  <c r="AL152" i="4"/>
  <c r="AL153" i="4"/>
  <c r="AL154" i="4"/>
  <c r="AL155" i="4"/>
  <c r="AL161" i="4"/>
  <c r="AL162" i="4"/>
  <c r="AL165" i="4"/>
  <c r="AL166" i="4"/>
  <c r="AL167" i="4"/>
  <c r="AL168" i="4"/>
  <c r="AL170" i="4"/>
  <c r="AL172" i="4"/>
  <c r="AL176" i="4"/>
  <c r="AD149" i="4"/>
  <c r="AD180" i="4"/>
  <c r="AF111" i="4"/>
  <c r="AF113" i="4" s="1"/>
  <c r="AF156" i="4"/>
  <c r="AF187" i="4"/>
  <c r="AA111" i="4"/>
  <c r="AA113" i="4" s="1"/>
  <c r="AA156" i="4"/>
  <c r="T187" i="4"/>
  <c r="S149" i="4"/>
  <c r="S180" i="4"/>
  <c r="AE180" i="4"/>
  <c r="T111" i="4"/>
  <c r="T112" i="4" s="1"/>
  <c r="T156" i="4"/>
  <c r="Q111" i="4"/>
  <c r="Q157" i="4" s="1"/>
  <c r="Q156" i="4"/>
  <c r="AG156" i="4"/>
  <c r="AG187" i="4"/>
  <c r="X111" i="4"/>
  <c r="X112" i="4" s="1"/>
  <c r="X156" i="4"/>
  <c r="U95" i="4"/>
  <c r="R149" i="4"/>
  <c r="R180" i="4"/>
  <c r="V269" i="4"/>
  <c r="V147" i="4"/>
  <c r="V150" i="4"/>
  <c r="V151" i="4"/>
  <c r="V152" i="4"/>
  <c r="V153" i="4"/>
  <c r="V154" i="4"/>
  <c r="V155" i="4"/>
  <c r="V159" i="4"/>
  <c r="V160" i="4"/>
  <c r="V161" i="4"/>
  <c r="V162" i="4"/>
  <c r="V163" i="4"/>
  <c r="V165" i="4"/>
  <c r="V166" i="4"/>
  <c r="V167" i="4"/>
  <c r="V168" i="4"/>
  <c r="V170" i="4"/>
  <c r="V172" i="4"/>
  <c r="V176" i="4"/>
  <c r="AG147" i="4"/>
  <c r="AG150" i="4"/>
  <c r="AG151" i="4"/>
  <c r="AG152" i="4"/>
  <c r="AG153" i="4"/>
  <c r="AG154" i="4"/>
  <c r="AG155" i="4"/>
  <c r="AG159" i="4"/>
  <c r="AG160" i="4"/>
  <c r="AG162" i="4"/>
  <c r="AG165" i="4"/>
  <c r="AG167" i="4"/>
  <c r="AG161" i="4"/>
  <c r="AG163" i="4"/>
  <c r="AG166" i="4"/>
  <c r="AG168" i="4"/>
  <c r="AG170" i="4"/>
  <c r="AG172" i="4"/>
  <c r="AG176" i="4"/>
  <c r="AC269" i="4"/>
  <c r="AC147" i="4"/>
  <c r="AC150" i="4"/>
  <c r="AC151" i="4"/>
  <c r="AC152" i="4"/>
  <c r="AC153" i="4"/>
  <c r="AC154" i="4"/>
  <c r="AC155" i="4"/>
  <c r="AC159" i="4"/>
  <c r="AC160" i="4"/>
  <c r="AC162" i="4"/>
  <c r="AC165" i="4"/>
  <c r="AC167" i="4"/>
  <c r="AC170" i="4"/>
  <c r="AC172" i="4"/>
  <c r="AC168" i="4"/>
  <c r="AC161" i="4"/>
  <c r="AC176" i="4"/>
  <c r="AC166" i="4"/>
  <c r="AA269" i="4"/>
  <c r="AA147" i="4"/>
  <c r="AA150" i="4"/>
  <c r="AA151" i="4"/>
  <c r="AA152" i="4"/>
  <c r="AA153" i="4"/>
  <c r="AA154" i="4"/>
  <c r="AA155" i="4"/>
  <c r="AA159" i="4"/>
  <c r="AA161" i="4"/>
  <c r="AA162" i="4"/>
  <c r="AA163" i="4"/>
  <c r="AA165" i="4"/>
  <c r="AA166" i="4"/>
  <c r="AA167" i="4"/>
  <c r="AA168" i="4"/>
  <c r="AA176" i="4"/>
  <c r="AA170" i="4"/>
  <c r="AA172" i="4"/>
  <c r="AA160" i="4"/>
  <c r="AA149" i="4"/>
  <c r="T180" i="4"/>
  <c r="U147" i="4"/>
  <c r="U150" i="4"/>
  <c r="U151" i="4"/>
  <c r="U152" i="4"/>
  <c r="U153" i="4"/>
  <c r="U154" i="4"/>
  <c r="U155" i="4"/>
  <c r="U159" i="4"/>
  <c r="U160" i="4"/>
  <c r="U161" i="4"/>
  <c r="U163" i="4"/>
  <c r="U166" i="4"/>
  <c r="U168" i="4"/>
  <c r="U170" i="4"/>
  <c r="U172" i="4"/>
  <c r="U162" i="4"/>
  <c r="U165" i="4"/>
  <c r="U176" i="4"/>
  <c r="U167" i="4"/>
  <c r="AD269" i="4"/>
  <c r="AD147" i="4"/>
  <c r="AD150" i="4"/>
  <c r="AD151" i="4"/>
  <c r="AD152" i="4"/>
  <c r="AD153" i="4"/>
  <c r="AD154" i="4"/>
  <c r="AD155" i="4"/>
  <c r="AD159" i="4"/>
  <c r="AD160" i="4"/>
  <c r="AD161" i="4"/>
  <c r="AD162" i="4"/>
  <c r="AD163" i="4"/>
  <c r="AD165" i="4"/>
  <c r="AD166" i="4"/>
  <c r="AD167" i="4"/>
  <c r="AD168" i="4"/>
  <c r="AD170" i="4"/>
  <c r="AD172" i="4"/>
  <c r="AD176" i="4"/>
  <c r="R176" i="4"/>
  <c r="AH111" i="4"/>
  <c r="AH149" i="4"/>
  <c r="AH180" i="4"/>
  <c r="Y111" i="4"/>
  <c r="Y112" i="4" s="1"/>
  <c r="Y156" i="4"/>
  <c r="Y187" i="4"/>
  <c r="AL149" i="4"/>
  <c r="AL180" i="4"/>
  <c r="AB149" i="4"/>
  <c r="AB180" i="4"/>
  <c r="AI149" i="4"/>
  <c r="AI180" i="4"/>
  <c r="W149" i="4"/>
  <c r="W180" i="4"/>
  <c r="AL269" i="4"/>
  <c r="AK147" i="4"/>
  <c r="AK150" i="4"/>
  <c r="AK151" i="4"/>
  <c r="AK152" i="4"/>
  <c r="AK153" i="4"/>
  <c r="AK154" i="4"/>
  <c r="AK155" i="4"/>
  <c r="AK161" i="4"/>
  <c r="AK166" i="4"/>
  <c r="AK168" i="4"/>
  <c r="AK170" i="4"/>
  <c r="AK172" i="4"/>
  <c r="AK162" i="4"/>
  <c r="AK165" i="4"/>
  <c r="AK176" i="4"/>
  <c r="AK167" i="4"/>
  <c r="Q149" i="4"/>
  <c r="AL95" i="4"/>
  <c r="AC111" i="4"/>
  <c r="AC113" i="4" s="1"/>
  <c r="AC156" i="4"/>
  <c r="AC187" i="4"/>
  <c r="V149" i="4"/>
  <c r="V180" i="4"/>
  <c r="G187" i="4"/>
  <c r="AK95" i="4"/>
  <c r="H187" i="4"/>
  <c r="Z149" i="4"/>
  <c r="Z180" i="4"/>
  <c r="AA180" i="4"/>
  <c r="AI132" i="6"/>
  <c r="AM180" i="4"/>
  <c r="AM149" i="4"/>
  <c r="AN180" i="4"/>
  <c r="AI147" i="4"/>
  <c r="AI150" i="4"/>
  <c r="AI151" i="4"/>
  <c r="AI152" i="4"/>
  <c r="AI153" i="4"/>
  <c r="AI154" i="4"/>
  <c r="AI155" i="4"/>
  <c r="AI159" i="4"/>
  <c r="AI161" i="4"/>
  <c r="AI162" i="4"/>
  <c r="AI163" i="4"/>
  <c r="AI165" i="4"/>
  <c r="AI166" i="4"/>
  <c r="AI167" i="4"/>
  <c r="AI168" i="4"/>
  <c r="AI160" i="4"/>
  <c r="AI176" i="4"/>
  <c r="AI170" i="4"/>
  <c r="AI172" i="4"/>
  <c r="T269" i="4"/>
  <c r="T147" i="4"/>
  <c r="T150" i="4"/>
  <c r="T151" i="4"/>
  <c r="T152" i="4"/>
  <c r="T153" i="4"/>
  <c r="T154" i="4"/>
  <c r="T155" i="4"/>
  <c r="T159" i="4"/>
  <c r="T161" i="4"/>
  <c r="T162" i="4"/>
  <c r="T165" i="4"/>
  <c r="T166" i="4"/>
  <c r="T167" i="4"/>
  <c r="T168" i="4"/>
  <c r="T160" i="4"/>
  <c r="T176" i="4"/>
  <c r="T172" i="4"/>
  <c r="T170" i="4"/>
  <c r="X160" i="4"/>
  <c r="X162" i="4"/>
  <c r="X165" i="4"/>
  <c r="X166" i="4"/>
  <c r="X167" i="4"/>
  <c r="X168" i="4"/>
  <c r="X147" i="4"/>
  <c r="X150" i="4"/>
  <c r="X151" i="4"/>
  <c r="X152" i="4"/>
  <c r="X153" i="4"/>
  <c r="X154" i="4"/>
  <c r="X155" i="4"/>
  <c r="X161" i="4"/>
  <c r="X176" i="4"/>
  <c r="X170" i="4"/>
  <c r="X172" i="4"/>
  <c r="AM161" i="4"/>
  <c r="AM162" i="4"/>
  <c r="AM165" i="4"/>
  <c r="AM166" i="4"/>
  <c r="AM167" i="4"/>
  <c r="AM152" i="4"/>
  <c r="AM176" i="4"/>
  <c r="AM151" i="4"/>
  <c r="AM155" i="4"/>
  <c r="AM168" i="4"/>
  <c r="AM170" i="4"/>
  <c r="AM172" i="4"/>
  <c r="AM153" i="4"/>
  <c r="AM147" i="4"/>
  <c r="AM150" i="4"/>
  <c r="AM154" i="4"/>
  <c r="AN176" i="4"/>
  <c r="AE111" i="4"/>
  <c r="AE156" i="4"/>
  <c r="AE187" i="4"/>
  <c r="X180" i="4"/>
  <c r="AF269" i="4"/>
  <c r="AF160" i="4"/>
  <c r="AF161" i="4"/>
  <c r="AF162" i="4"/>
  <c r="AF165" i="4"/>
  <c r="AF166" i="4"/>
  <c r="AF167" i="4"/>
  <c r="AF168" i="4"/>
  <c r="AF147" i="4"/>
  <c r="AF150" i="4"/>
  <c r="AF151" i="4"/>
  <c r="AF152" i="4"/>
  <c r="AF153" i="4"/>
  <c r="AF154" i="4"/>
  <c r="AF155" i="4"/>
  <c r="AF159" i="4"/>
  <c r="AF176" i="4"/>
  <c r="AF172" i="4"/>
  <c r="AF170" i="4"/>
  <c r="AJ147" i="4"/>
  <c r="AJ150" i="4"/>
  <c r="AJ151" i="4"/>
  <c r="AJ152" i="4"/>
  <c r="AJ153" i="4"/>
  <c r="AJ154" i="4"/>
  <c r="AJ155" i="4"/>
  <c r="AJ159" i="4"/>
  <c r="AJ161" i="4"/>
  <c r="AJ162" i="4"/>
  <c r="AJ165" i="4"/>
  <c r="AJ166" i="4"/>
  <c r="AJ167" i="4"/>
  <c r="AJ168" i="4"/>
  <c r="AJ160" i="4"/>
  <c r="AJ176" i="4"/>
  <c r="AJ170" i="4"/>
  <c r="AJ172" i="4"/>
  <c r="AH147" i="4"/>
  <c r="AH150" i="4"/>
  <c r="AH151" i="4"/>
  <c r="AH152" i="4"/>
  <c r="AH153" i="4"/>
  <c r="AH154" i="4"/>
  <c r="AH155" i="4"/>
  <c r="AH159" i="4"/>
  <c r="AH160" i="4"/>
  <c r="AH161" i="4"/>
  <c r="AH162" i="4"/>
  <c r="AH163" i="4"/>
  <c r="AH165" i="4"/>
  <c r="AH166" i="4"/>
  <c r="AH167" i="4"/>
  <c r="AH168" i="4"/>
  <c r="AH170" i="4"/>
  <c r="AH172" i="4"/>
  <c r="AH176" i="4"/>
  <c r="AE269" i="4"/>
  <c r="AE160" i="4"/>
  <c r="AE161" i="4"/>
  <c r="AE162" i="4"/>
  <c r="AE163" i="4"/>
  <c r="AE165" i="4"/>
  <c r="AE166" i="4"/>
  <c r="AE167" i="4"/>
  <c r="AE168" i="4"/>
  <c r="AE151" i="4"/>
  <c r="AE155" i="4"/>
  <c r="AE176" i="4"/>
  <c r="AE147" i="4"/>
  <c r="AE150" i="4"/>
  <c r="AE154" i="4"/>
  <c r="AE159" i="4"/>
  <c r="AE170" i="4"/>
  <c r="AE172" i="4"/>
  <c r="AE152" i="4"/>
  <c r="AE153" i="4"/>
  <c r="Y269" i="4"/>
  <c r="Y147" i="4"/>
  <c r="Y150" i="4"/>
  <c r="Y151" i="4"/>
  <c r="Y152" i="4"/>
  <c r="Y153" i="4"/>
  <c r="Y154" i="4"/>
  <c r="Y155" i="4"/>
  <c r="Y159" i="4"/>
  <c r="Y160" i="4"/>
  <c r="Y161" i="4"/>
  <c r="Y163" i="4"/>
  <c r="Y166" i="4"/>
  <c r="Y168" i="4"/>
  <c r="Y162" i="4"/>
  <c r="Y165" i="4"/>
  <c r="Y167" i="4"/>
  <c r="Y170" i="4"/>
  <c r="Y172" i="4"/>
  <c r="Y176" i="4"/>
  <c r="AF289" i="4"/>
  <c r="X285" i="4"/>
  <c r="X116" i="4" s="1"/>
  <c r="X159" i="4" s="1"/>
  <c r="AC120" i="4"/>
  <c r="AC163" i="4" s="1"/>
  <c r="AI37" i="4"/>
  <c r="AB289" i="4"/>
  <c r="F170" i="4"/>
  <c r="F172" i="4"/>
  <c r="F149" i="4"/>
  <c r="F166" i="4"/>
  <c r="F152" i="4"/>
  <c r="F150" i="4"/>
  <c r="F154" i="4"/>
  <c r="F165" i="4"/>
  <c r="F151" i="4"/>
  <c r="F167" i="4"/>
  <c r="F153" i="4"/>
  <c r="F168" i="4"/>
  <c r="F147" i="4"/>
  <c r="F161" i="4"/>
  <c r="F159" i="4"/>
  <c r="F155" i="4"/>
  <c r="F162" i="4"/>
  <c r="F160" i="4"/>
  <c r="F163" i="4"/>
  <c r="I120" i="4"/>
  <c r="I194" i="4" s="1"/>
  <c r="AJ87" i="6"/>
  <c r="AJ309" i="4"/>
  <c r="AJ86" i="4"/>
  <c r="Q281" i="6"/>
  <c r="Q282" i="6" s="1"/>
  <c r="AK309" i="4"/>
  <c r="AG13" i="4"/>
  <c r="AG21" i="4" s="1"/>
  <c r="J94" i="4"/>
  <c r="I94" i="4"/>
  <c r="S272" i="6"/>
  <c r="H111" i="4"/>
  <c r="G94" i="4"/>
  <c r="F269" i="4"/>
  <c r="G111" i="4"/>
  <c r="I111" i="4"/>
  <c r="I188" i="4" s="1"/>
  <c r="H94" i="4"/>
  <c r="F111" i="4"/>
  <c r="S88" i="4"/>
  <c r="S12" i="4" s="1"/>
  <c r="T37" i="4"/>
  <c r="R37" i="4"/>
  <c r="Y25" i="4"/>
  <c r="Y8" i="4"/>
  <c r="S35" i="4"/>
  <c r="T35" i="4"/>
  <c r="X34" i="4"/>
  <c r="X8" i="4"/>
  <c r="V26" i="4"/>
  <c r="V35" i="4"/>
  <c r="S346" i="4"/>
  <c r="G63" i="5"/>
  <c r="G267" i="5"/>
  <c r="F65" i="5"/>
  <c r="F66" i="5" s="1"/>
  <c r="H137" i="5"/>
  <c r="AM44" i="20"/>
  <c r="AN62" i="20"/>
  <c r="I138" i="20"/>
  <c r="I38" i="20" s="1"/>
  <c r="I47" i="20" s="1"/>
  <c r="I35" i="20"/>
  <c r="I44" i="20" s="1"/>
  <c r="AI111" i="20"/>
  <c r="AI35" i="20"/>
  <c r="AI44" i="20" s="1"/>
  <c r="AK140" i="20"/>
  <c r="AK38" i="20"/>
  <c r="AJ44" i="20"/>
  <c r="AN53" i="20"/>
  <c r="AK62" i="20"/>
  <c r="AK44" i="20"/>
  <c r="J111" i="20"/>
  <c r="J36" i="20" s="1"/>
  <c r="J35" i="20"/>
  <c r="I259" i="5"/>
  <c r="G349" i="4"/>
  <c r="G360" i="4" s="1"/>
  <c r="AJ284" i="6"/>
  <c r="AJ134" i="6"/>
  <c r="AK92" i="20"/>
  <c r="AK85" i="20" s="1"/>
  <c r="AK87" i="20" s="1"/>
  <c r="AK88" i="20" s="1"/>
  <c r="AK116" i="6"/>
  <c r="AJ92" i="20"/>
  <c r="AJ85" i="20" s="1"/>
  <c r="AJ87" i="20" s="1"/>
  <c r="AJ116" i="6"/>
  <c r="J284" i="6"/>
  <c r="J134" i="6"/>
  <c r="AK94" i="20"/>
  <c r="AK122" i="6"/>
  <c r="AI92" i="20"/>
  <c r="AI85" i="20" s="1"/>
  <c r="AI87" i="20" s="1"/>
  <c r="AI101" i="20" s="1"/>
  <c r="AI116" i="6"/>
  <c r="AK108" i="6"/>
  <c r="AK111" i="6"/>
  <c r="AO73" i="20"/>
  <c r="AO307" i="21"/>
  <c r="AK30" i="4"/>
  <c r="AO179" i="21"/>
  <c r="AO180" i="20" s="1"/>
  <c r="AR175" i="21"/>
  <c r="AQ164" i="21"/>
  <c r="AQ163" i="21"/>
  <c r="AU163" i="21" s="1"/>
  <c r="AY163" i="21" s="1"/>
  <c r="AL254" i="6"/>
  <c r="AL261" i="6"/>
  <c r="AL256" i="6"/>
  <c r="AL258" i="6"/>
  <c r="J146" i="6"/>
  <c r="J261" i="6"/>
  <c r="J256" i="6"/>
  <c r="J233" i="6"/>
  <c r="J258" i="6"/>
  <c r="K189" i="6"/>
  <c r="K190" i="6" s="1"/>
  <c r="K174" i="6"/>
  <c r="K220" i="6"/>
  <c r="K226" i="6"/>
  <c r="K227" i="6" s="1"/>
  <c r="J223" i="6"/>
  <c r="AG223" i="6" s="1"/>
  <c r="J224" i="6"/>
  <c r="J225" i="6" s="1"/>
  <c r="J221" i="6"/>
  <c r="AC222" i="6"/>
  <c r="AD223" i="6"/>
  <c r="AC225" i="6"/>
  <c r="AC224" i="6" s="1"/>
  <c r="J227" i="6"/>
  <c r="AL216" i="6"/>
  <c r="AL232" i="6"/>
  <c r="AL231" i="6"/>
  <c r="AL233" i="6"/>
  <c r="J254" i="6"/>
  <c r="J232" i="6"/>
  <c r="J231" i="6"/>
  <c r="X25" i="4"/>
  <c r="AL241" i="6"/>
  <c r="AL122" i="6" s="1"/>
  <c r="AL237" i="6"/>
  <c r="H214" i="6"/>
  <c r="H215" i="6" s="1"/>
  <c r="AL215" i="6"/>
  <c r="AL316" i="4"/>
  <c r="AL319" i="4" s="1"/>
  <c r="Y34" i="4"/>
  <c r="J236" i="6"/>
  <c r="AG236" i="6" s="1"/>
  <c r="J252" i="6"/>
  <c r="J246" i="6"/>
  <c r="AG246" i="6" s="1"/>
  <c r="J242" i="6"/>
  <c r="J250" i="6"/>
  <c r="J248" i="6"/>
  <c r="J237" i="6"/>
  <c r="J116" i="6" s="1"/>
  <c r="Q12" i="4"/>
  <c r="I140" i="20"/>
  <c r="J102" i="20"/>
  <c r="J138" i="20"/>
  <c r="J38" i="20" s="1"/>
  <c r="S299" i="4"/>
  <c r="I364" i="4"/>
  <c r="AK339" i="4"/>
  <c r="S37" i="4"/>
  <c r="R88" i="4"/>
  <c r="R272" i="6"/>
  <c r="F344" i="4"/>
  <c r="AK344" i="4"/>
  <c r="AK345" i="4" s="1"/>
  <c r="R346" i="4"/>
  <c r="R299" i="4" s="1"/>
  <c r="F367" i="4"/>
  <c r="AK296" i="4"/>
  <c r="S281" i="6"/>
  <c r="S282" i="6" s="1"/>
  <c r="S120" i="4"/>
  <c r="N54" i="21"/>
  <c r="AT14" i="5"/>
  <c r="AS236" i="5"/>
  <c r="AZ134" i="5"/>
  <c r="AZ238" i="5"/>
  <c r="AZ8" i="5"/>
  <c r="AY133" i="5"/>
  <c r="AZ11" i="5"/>
  <c r="AY233" i="5"/>
  <c r="AZ239" i="5"/>
  <c r="AZ241" i="5"/>
  <c r="AH255" i="5"/>
  <c r="AD255" i="5"/>
  <c r="AE255" i="5"/>
  <c r="AO164" i="5"/>
  <c r="AO163" i="5"/>
  <c r="AI102" i="20"/>
  <c r="AI138" i="20"/>
  <c r="J111" i="4"/>
  <c r="T299" i="4"/>
  <c r="Y207" i="4"/>
  <c r="AL100" i="20"/>
  <c r="AL35" i="20" s="1"/>
  <c r="K100" i="20"/>
  <c r="J367" i="4"/>
  <c r="J366" i="4"/>
  <c r="AM101" i="20"/>
  <c r="AM138" i="20"/>
  <c r="AM38" i="20" s="1"/>
  <c r="AM102" i="20"/>
  <c r="AG111" i="4"/>
  <c r="I111" i="20"/>
  <c r="I102" i="20"/>
  <c r="AA29" i="4"/>
  <c r="AA38" i="4"/>
  <c r="U113" i="4"/>
  <c r="U112" i="4"/>
  <c r="U207" i="4"/>
  <c r="J121" i="20"/>
  <c r="J113" i="20"/>
  <c r="AJ102" i="20"/>
  <c r="AJ111" i="20"/>
  <c r="AJ36" i="20" s="1"/>
  <c r="AJ138" i="20"/>
  <c r="AJ38" i="20" s="1"/>
  <c r="AI113" i="20"/>
  <c r="AI121" i="20"/>
  <c r="AO219" i="6"/>
  <c r="J275" i="4"/>
  <c r="AV145" i="6"/>
  <c r="AZ145" i="6" s="1"/>
  <c r="AU145" i="6"/>
  <c r="AY145" i="6" s="1"/>
  <c r="G28" i="5"/>
  <c r="H252" i="5"/>
  <c r="G51" i="5"/>
  <c r="N9" i="6"/>
  <c r="AZ12" i="6"/>
  <c r="AZ13" i="6" s="1"/>
  <c r="AZ10" i="6"/>
  <c r="AZ142" i="6"/>
  <c r="AM14" i="6"/>
  <c r="AL15" i="6"/>
  <c r="K267" i="6"/>
  <c r="L1" i="6"/>
  <c r="K2" i="6"/>
  <c r="J196" i="6"/>
  <c r="J219" i="6"/>
  <c r="J142" i="6"/>
  <c r="J143" i="6"/>
  <c r="T272" i="6"/>
  <c r="I257" i="5"/>
  <c r="I256" i="5"/>
  <c r="U122" i="4"/>
  <c r="J142" i="4"/>
  <c r="J119" i="4"/>
  <c r="J193" i="4" s="1"/>
  <c r="J365" i="4"/>
  <c r="J363" i="4"/>
  <c r="J2" i="4"/>
  <c r="K1" i="4"/>
  <c r="J368" i="4"/>
  <c r="J361" i="4"/>
  <c r="T88" i="4"/>
  <c r="AC276" i="4"/>
  <c r="K275" i="6"/>
  <c r="K126" i="6" s="1"/>
  <c r="AO354" i="4"/>
  <c r="H28" i="5"/>
  <c r="I59" i="5"/>
  <c r="I63" i="5" s="1"/>
  <c r="T120" i="4"/>
  <c r="T194" i="4" s="1"/>
  <c r="T281" i="6"/>
  <c r="T282" i="6" s="1"/>
  <c r="J10" i="5"/>
  <c r="J232" i="5" s="1"/>
  <c r="J34" i="5"/>
  <c r="J20" i="5"/>
  <c r="J12" i="5"/>
  <c r="J234" i="5" s="1"/>
  <c r="J9" i="5"/>
  <c r="J134" i="5" s="1"/>
  <c r="J33" i="5"/>
  <c r="J38" i="5"/>
  <c r="J246" i="5" s="1"/>
  <c r="J261" i="5" s="1"/>
  <c r="J56" i="5"/>
  <c r="J57" i="5"/>
  <c r="J45" i="5"/>
  <c r="J248" i="5" s="1"/>
  <c r="J14" i="5"/>
  <c r="J236" i="5" s="1"/>
  <c r="J7" i="5"/>
  <c r="J24" i="5"/>
  <c r="J240" i="5" s="1"/>
  <c r="J258" i="5" s="1"/>
  <c r="J21" i="5"/>
  <c r="J13" i="5"/>
  <c r="J235" i="5" s="1"/>
  <c r="J35" i="5"/>
  <c r="J243" i="5" s="1"/>
  <c r="J259" i="5" s="1"/>
  <c r="J43" i="5"/>
  <c r="J61" i="5"/>
  <c r="J58" i="5"/>
  <c r="J55" i="5"/>
  <c r="J268" i="5" s="1"/>
  <c r="J19" i="5"/>
  <c r="J216" i="5" s="1"/>
  <c r="J11" i="5"/>
  <c r="J233" i="5" s="1"/>
  <c r="J31" i="5"/>
  <c r="J25" i="5"/>
  <c r="J237" i="5" s="1"/>
  <c r="J18" i="5"/>
  <c r="J39" i="5"/>
  <c r="J47" i="5"/>
  <c r="J250" i="5" s="1"/>
  <c r="J46" i="5"/>
  <c r="J249" i="5" s="1"/>
  <c r="J37" i="5"/>
  <c r="J245" i="5" s="1"/>
  <c r="J260" i="5" s="1"/>
  <c r="J36" i="5"/>
  <c r="J244" i="5" s="1"/>
  <c r="J23" i="5"/>
  <c r="J239" i="5" s="1"/>
  <c r="J15" i="5"/>
  <c r="J241" i="5" s="1"/>
  <c r="J8" i="5"/>
  <c r="J133" i="5" s="1"/>
  <c r="J32" i="5"/>
  <c r="J22" i="5"/>
  <c r="J238" i="5" s="1"/>
  <c r="J44" i="5"/>
  <c r="J247" i="5" s="1"/>
  <c r="J53" i="5"/>
  <c r="J48" i="5"/>
  <c r="J42" i="5"/>
  <c r="J216" i="6"/>
  <c r="I40" i="5"/>
  <c r="H51" i="5"/>
  <c r="H65" i="5" s="1"/>
  <c r="X281" i="6"/>
  <c r="X282" i="6" s="1"/>
  <c r="S220" i="5"/>
  <c r="S213" i="5"/>
  <c r="T213" i="5" s="1"/>
  <c r="T218" i="5" s="1"/>
  <c r="I207" i="5"/>
  <c r="I208" i="5"/>
  <c r="J224" i="5"/>
  <c r="J211" i="5"/>
  <c r="J219" i="5" s="1"/>
  <c r="I215" i="5"/>
  <c r="AP189" i="5"/>
  <c r="AP162" i="5"/>
  <c r="AS47" i="5"/>
  <c r="AR250" i="5"/>
  <c r="AA220" i="5"/>
  <c r="AA213" i="5"/>
  <c r="AB213" i="5" s="1"/>
  <c r="AB218" i="5" s="1"/>
  <c r="K202" i="5"/>
  <c r="K212" i="5"/>
  <c r="K213" i="5" s="1"/>
  <c r="K2" i="5"/>
  <c r="L1" i="5"/>
  <c r="J213" i="5"/>
  <c r="I254" i="5"/>
  <c r="I251" i="5"/>
  <c r="I252" i="5" s="1"/>
  <c r="I203" i="5"/>
  <c r="I26" i="5"/>
  <c r="AB215" i="6"/>
  <c r="H216" i="6"/>
  <c r="H217" i="6" s="1"/>
  <c r="AQ160" i="5"/>
  <c r="AQ187" i="5"/>
  <c r="I206" i="5"/>
  <c r="AR44" i="5"/>
  <c r="AQ247" i="5"/>
  <c r="AV36" i="5"/>
  <c r="AU244" i="5"/>
  <c r="J225" i="5"/>
  <c r="AT46" i="5"/>
  <c r="AS249" i="5"/>
  <c r="I49" i="5"/>
  <c r="I132" i="5"/>
  <c r="I16" i="5"/>
  <c r="AS45" i="5"/>
  <c r="AR248" i="5"/>
  <c r="AA16" i="6"/>
  <c r="AA19" i="6"/>
  <c r="AA74" i="6"/>
  <c r="AA75" i="6"/>
  <c r="AA78" i="6" s="1"/>
  <c r="Z19" i="6"/>
  <c r="Z16" i="6"/>
  <c r="Z74" i="6"/>
  <c r="Z75" i="6"/>
  <c r="Z78" i="6" s="1"/>
  <c r="AF55" i="6"/>
  <c r="J55" i="6"/>
  <c r="K55" i="6" s="1"/>
  <c r="AN55" i="6" s="1"/>
  <c r="AB56" i="6"/>
  <c r="AK211" i="6"/>
  <c r="AK202" i="6" s="1"/>
  <c r="AJ202" i="6"/>
  <c r="Y15" i="6"/>
  <c r="Z14" i="6"/>
  <c r="Z12" i="6" s="1"/>
  <c r="AE13" i="6"/>
  <c r="AQ190" i="6"/>
  <c r="AR189" i="6"/>
  <c r="AR219" i="5"/>
  <c r="AP157" i="5"/>
  <c r="AP184" i="5"/>
  <c r="AR55" i="5"/>
  <c r="AP149" i="5"/>
  <c r="AP150" i="5" s="1"/>
  <c r="AP177" i="5"/>
  <c r="AP185" i="5"/>
  <c r="AP158" i="5"/>
  <c r="AP156" i="5"/>
  <c r="AP183" i="5"/>
  <c r="AP159" i="5"/>
  <c r="AP186" i="5"/>
  <c r="AQ42" i="5"/>
  <c r="AR146" i="5"/>
  <c r="AP208" i="5"/>
  <c r="AP207" i="5"/>
  <c r="AR161" i="5"/>
  <c r="AR188" i="5"/>
  <c r="L188" i="5" s="1"/>
  <c r="AR137" i="5"/>
  <c r="K193" i="5"/>
  <c r="AQ148" i="5"/>
  <c r="AQ176" i="5"/>
  <c r="AQ175" i="5"/>
  <c r="AQ147" i="5"/>
  <c r="AN225" i="5"/>
  <c r="K200" i="5"/>
  <c r="K225" i="5" s="1"/>
  <c r="AN224" i="5"/>
  <c r="K199" i="5"/>
  <c r="K224" i="5" s="1"/>
  <c r="AR205" i="5"/>
  <c r="W220" i="5"/>
  <c r="W213" i="5"/>
  <c r="X213" i="5" s="1"/>
  <c r="X218" i="5" s="1"/>
  <c r="AM276" i="4"/>
  <c r="AL276" i="4"/>
  <c r="AK276" i="4"/>
  <c r="AF120" i="4"/>
  <c r="AF194" i="4" s="1"/>
  <c r="AB120" i="4"/>
  <c r="I276" i="4"/>
  <c r="AJ120" i="4"/>
  <c r="AJ194" i="4" s="1"/>
  <c r="AQ255" i="4"/>
  <c r="AR260" i="4"/>
  <c r="AA85" i="4"/>
  <c r="AA7" i="4" s="1"/>
  <c r="AA8" i="4" s="1"/>
  <c r="AA304" i="4"/>
  <c r="AA349" i="4"/>
  <c r="AA360" i="4" s="1"/>
  <c r="AF276" i="4"/>
  <c r="AD276" i="4"/>
  <c r="AP256" i="4"/>
  <c r="AP261" i="4"/>
  <c r="AB87" i="4"/>
  <c r="AB11" i="4" s="1"/>
  <c r="AB353" i="4"/>
  <c r="AB301" i="4" s="1"/>
  <c r="AB73" i="6" s="1"/>
  <c r="AC311" i="4"/>
  <c r="AL87" i="4"/>
  <c r="AL11" i="4" s="1"/>
  <c r="AJ276" i="4"/>
  <c r="AH276" i="4"/>
  <c r="I433" i="4"/>
  <c r="J433" i="4" s="1"/>
  <c r="J434" i="4"/>
  <c r="Z85" i="4"/>
  <c r="Z7" i="4" s="1"/>
  <c r="Z8" i="4" s="1"/>
  <c r="Z349" i="4"/>
  <c r="Z360" i="4" s="1"/>
  <c r="Z304" i="4"/>
  <c r="F273" i="4"/>
  <c r="Q113" i="4" l="1"/>
  <c r="J188" i="4"/>
  <c r="AJ282" i="6"/>
  <c r="Q112" i="4"/>
  <c r="Q122" i="4"/>
  <c r="Q164" i="4" s="1"/>
  <c r="Q207" i="4"/>
  <c r="Q208" i="4" s="1"/>
  <c r="X207" i="4"/>
  <c r="X208" i="4" s="1"/>
  <c r="AA207" i="4"/>
  <c r="AA208" i="4" s="1"/>
  <c r="T113" i="4"/>
  <c r="T207" i="4"/>
  <c r="F156" i="4"/>
  <c r="F157" i="4" s="1"/>
  <c r="I150" i="4"/>
  <c r="I152" i="4"/>
  <c r="I154" i="4"/>
  <c r="I151" i="4"/>
  <c r="I153" i="4"/>
  <c r="I155" i="4"/>
  <c r="I149" i="4"/>
  <c r="H176" i="4"/>
  <c r="H150" i="4"/>
  <c r="H151" i="4"/>
  <c r="H152" i="4"/>
  <c r="H153" i="4"/>
  <c r="H154" i="4"/>
  <c r="H155" i="4"/>
  <c r="H149" i="4"/>
  <c r="G176" i="4"/>
  <c r="G150" i="4"/>
  <c r="G151" i="4"/>
  <c r="G152" i="4"/>
  <c r="G153" i="4"/>
  <c r="G154" i="4"/>
  <c r="G155" i="4"/>
  <c r="G149" i="4"/>
  <c r="J150" i="4"/>
  <c r="J151" i="4"/>
  <c r="J152" i="4"/>
  <c r="J153" i="4"/>
  <c r="J154" i="4"/>
  <c r="J155" i="4"/>
  <c r="J149" i="4"/>
  <c r="AF163" i="4"/>
  <c r="U194" i="4"/>
  <c r="AI194" i="4"/>
  <c r="AG194" i="4"/>
  <c r="AJ163" i="4"/>
  <c r="T163" i="4"/>
  <c r="AT129" i="4"/>
  <c r="AS199" i="4"/>
  <c r="S194" i="4"/>
  <c r="S163" i="4"/>
  <c r="AC255" i="5"/>
  <c r="AC194" i="4"/>
  <c r="AD194" i="4"/>
  <c r="AB194" i="4"/>
  <c r="AB163" i="4"/>
  <c r="X120" i="4"/>
  <c r="X190" i="4"/>
  <c r="Y190" i="4"/>
  <c r="V194" i="4"/>
  <c r="I176" i="4"/>
  <c r="H188" i="4"/>
  <c r="AG122" i="4"/>
  <c r="AG157" i="4"/>
  <c r="AG188" i="4"/>
  <c r="AE157" i="4"/>
  <c r="AE207" i="4"/>
  <c r="AE113" i="4"/>
  <c r="AE122" i="4"/>
  <c r="AE112" i="4"/>
  <c r="AC157" i="4"/>
  <c r="W111" i="4"/>
  <c r="X188" i="4" s="1"/>
  <c r="W187" i="4"/>
  <c r="W156" i="4"/>
  <c r="AH122" i="4"/>
  <c r="AH157" i="4"/>
  <c r="AH188" i="4"/>
  <c r="AF207" i="4"/>
  <c r="AF209" i="4" s="1"/>
  <c r="J176" i="4"/>
  <c r="Z111" i="4"/>
  <c r="AA188" i="4" s="1"/>
  <c r="Z156" i="4"/>
  <c r="Z187" i="4"/>
  <c r="Y122" i="4"/>
  <c r="U164" i="4"/>
  <c r="AC112" i="4"/>
  <c r="G188" i="4"/>
  <c r="AH156" i="4"/>
  <c r="AH187" i="4"/>
  <c r="R111" i="4"/>
  <c r="R156" i="4"/>
  <c r="R187" i="4"/>
  <c r="X113" i="4"/>
  <c r="X157" i="4"/>
  <c r="AA187" i="4"/>
  <c r="AD111" i="4"/>
  <c r="AD156" i="4"/>
  <c r="AD187" i="4"/>
  <c r="Y157" i="4"/>
  <c r="Y188" i="4"/>
  <c r="AF112" i="4"/>
  <c r="AF157" i="4"/>
  <c r="AF188" i="4"/>
  <c r="Y113" i="4"/>
  <c r="V111" i="4"/>
  <c r="V156" i="4"/>
  <c r="V187" i="4"/>
  <c r="X187" i="4"/>
  <c r="AA112" i="4"/>
  <c r="AA157" i="4"/>
  <c r="AC207" i="4"/>
  <c r="AC209" i="4" s="1"/>
  <c r="AA122" i="4"/>
  <c r="AA123" i="4" s="1"/>
  <c r="AB111" i="4"/>
  <c r="AC188" i="4" s="1"/>
  <c r="AB156" i="4"/>
  <c r="AB187" i="4"/>
  <c r="T157" i="4"/>
  <c r="S111" i="4"/>
  <c r="T188" i="4" s="1"/>
  <c r="S156" i="4"/>
  <c r="S187" i="4"/>
  <c r="U157" i="4"/>
  <c r="U188" i="4"/>
  <c r="AC122" i="4"/>
  <c r="AC123" i="4" s="1"/>
  <c r="J162" i="4"/>
  <c r="I113" i="4"/>
  <c r="H163" i="4"/>
  <c r="G113" i="4"/>
  <c r="I170" i="4"/>
  <c r="I147" i="4"/>
  <c r="I165" i="4"/>
  <c r="I166" i="4"/>
  <c r="I168" i="4"/>
  <c r="I167" i="4"/>
  <c r="I172" i="4"/>
  <c r="I160" i="4"/>
  <c r="I161" i="4"/>
  <c r="I159" i="4"/>
  <c r="I162" i="4"/>
  <c r="H165" i="4"/>
  <c r="H168" i="4"/>
  <c r="H147" i="4"/>
  <c r="H167" i="4"/>
  <c r="H172" i="4"/>
  <c r="H166" i="4"/>
  <c r="H170" i="4"/>
  <c r="H161" i="4"/>
  <c r="H159" i="4"/>
  <c r="H160" i="4"/>
  <c r="H162" i="4"/>
  <c r="G147" i="4"/>
  <c r="G167" i="4"/>
  <c r="G170" i="4"/>
  <c r="G165" i="4"/>
  <c r="G166" i="4"/>
  <c r="G168" i="4"/>
  <c r="G172" i="4"/>
  <c r="G161" i="4"/>
  <c r="G162" i="4"/>
  <c r="G159" i="4"/>
  <c r="G160" i="4"/>
  <c r="G163" i="4"/>
  <c r="J147" i="4"/>
  <c r="J165" i="4"/>
  <c r="J166" i="4"/>
  <c r="J167" i="4"/>
  <c r="J168" i="4"/>
  <c r="J170" i="4"/>
  <c r="J172" i="4"/>
  <c r="J159" i="4"/>
  <c r="J161" i="4"/>
  <c r="J160" i="4"/>
  <c r="H122" i="4"/>
  <c r="I255" i="5"/>
  <c r="I163" i="4"/>
  <c r="G95" i="4"/>
  <c r="G269" i="4"/>
  <c r="H95" i="4"/>
  <c r="I122" i="4"/>
  <c r="J120" i="4"/>
  <c r="J194" i="4" s="1"/>
  <c r="I269" i="4"/>
  <c r="AG16" i="4"/>
  <c r="AA209" i="4"/>
  <c r="I112" i="4"/>
  <c r="AG22" i="4"/>
  <c r="AG18" i="4"/>
  <c r="AG19" i="4"/>
  <c r="AG20" i="4"/>
  <c r="AG17" i="4"/>
  <c r="AJ10" i="4"/>
  <c r="AJ91" i="6"/>
  <c r="J91" i="6" s="1"/>
  <c r="J87" i="6"/>
  <c r="G122" i="4"/>
  <c r="J269" i="4"/>
  <c r="G112" i="4"/>
  <c r="H113" i="4"/>
  <c r="I95" i="4"/>
  <c r="F122" i="4"/>
  <c r="F164" i="4" s="1"/>
  <c r="F112" i="4"/>
  <c r="F113" i="4"/>
  <c r="H112" i="4"/>
  <c r="J95" i="4"/>
  <c r="H269" i="4"/>
  <c r="Y26" i="4"/>
  <c r="Y35" i="4"/>
  <c r="AA35" i="4"/>
  <c r="AA26" i="4"/>
  <c r="Q13" i="4"/>
  <c r="Q16" i="4" s="1"/>
  <c r="X35" i="4"/>
  <c r="X26" i="4"/>
  <c r="Z26" i="4"/>
  <c r="Z35" i="4"/>
  <c r="S13" i="4"/>
  <c r="S16" i="4" s="1"/>
  <c r="G65" i="5"/>
  <c r="G66" i="5" s="1"/>
  <c r="AJ62" i="20"/>
  <c r="AI112" i="20"/>
  <c r="AK176" i="20"/>
  <c r="AK139" i="20"/>
  <c r="AK101" i="20"/>
  <c r="J56" i="20"/>
  <c r="J47" i="20"/>
  <c r="J54" i="20"/>
  <c r="J45" i="20"/>
  <c r="I141" i="20"/>
  <c r="I39" i="20" s="1"/>
  <c r="I48" i="20" s="1"/>
  <c r="I36" i="20"/>
  <c r="I45" i="20" s="1"/>
  <c r="K138" i="20"/>
  <c r="K38" i="20" s="1"/>
  <c r="K35" i="20"/>
  <c r="AI141" i="20"/>
  <c r="AI36" i="20"/>
  <c r="AI45" i="20" s="1"/>
  <c r="AJ47" i="20"/>
  <c r="AN56" i="20"/>
  <c r="AM47" i="20"/>
  <c r="AN65" i="20"/>
  <c r="AL62" i="20"/>
  <c r="AL44" i="20"/>
  <c r="AK65" i="20"/>
  <c r="AK47" i="20"/>
  <c r="AM62" i="20"/>
  <c r="AJ63" i="20"/>
  <c r="AJ45" i="20"/>
  <c r="J53" i="20"/>
  <c r="J44" i="20"/>
  <c r="AM53" i="20"/>
  <c r="K353" i="4"/>
  <c r="K354" i="4"/>
  <c r="AM88" i="20"/>
  <c r="I135" i="5"/>
  <c r="I137" i="5" s="1"/>
  <c r="J131" i="5"/>
  <c r="J230" i="6"/>
  <c r="J186" i="6"/>
  <c r="J187" i="6" s="1"/>
  <c r="AI88" i="20"/>
  <c r="AI176" i="20"/>
  <c r="AN88" i="20"/>
  <c r="AJ101" i="20"/>
  <c r="AJ88" i="20"/>
  <c r="AJ176" i="20"/>
  <c r="AL92" i="20"/>
  <c r="AL85" i="20" s="1"/>
  <c r="AL87" i="20" s="1"/>
  <c r="AL88" i="20" s="1"/>
  <c r="AL116" i="6"/>
  <c r="AK127" i="6"/>
  <c r="AK137" i="6"/>
  <c r="AK121" i="6"/>
  <c r="AK123" i="6"/>
  <c r="AK117" i="6"/>
  <c r="AI139" i="20"/>
  <c r="AI38" i="20"/>
  <c r="AC214" i="6"/>
  <c r="AC233" i="6" s="1"/>
  <c r="AL369" i="4"/>
  <c r="AL301" i="4"/>
  <c r="AM316" i="4" s="1"/>
  <c r="AM319" i="4" s="1"/>
  <c r="AO181" i="21"/>
  <c r="AO64" i="21"/>
  <c r="AS175" i="21"/>
  <c r="AR164" i="21"/>
  <c r="AS164" i="21" s="1"/>
  <c r="AT164" i="21" s="1"/>
  <c r="AU164" i="21" s="1"/>
  <c r="AV164" i="21" s="1"/>
  <c r="AW164" i="21" s="1"/>
  <c r="AX164" i="21" s="1"/>
  <c r="AY164" i="21" s="1"/>
  <c r="AZ164" i="21" s="1"/>
  <c r="AR163" i="21"/>
  <c r="AV163" i="21" s="1"/>
  <c r="AZ163" i="21" s="1"/>
  <c r="L174" i="6"/>
  <c r="L172" i="6"/>
  <c r="L220" i="6"/>
  <c r="L221" i="6" s="1"/>
  <c r="L226" i="6"/>
  <c r="L227" i="6" s="1"/>
  <c r="K224" i="6"/>
  <c r="K225" i="6" s="1"/>
  <c r="K223" i="6"/>
  <c r="AK223" i="6" s="1"/>
  <c r="K221" i="6"/>
  <c r="AD222" i="6"/>
  <c r="AE223" i="6"/>
  <c r="AD225" i="6"/>
  <c r="AD224" i="6" s="1"/>
  <c r="AG222" i="6"/>
  <c r="AG225" i="6"/>
  <c r="AG224" i="6" s="1"/>
  <c r="AH223" i="6"/>
  <c r="J239" i="6"/>
  <c r="J118" i="6" s="1"/>
  <c r="J92" i="20"/>
  <c r="J85" i="20" s="1"/>
  <c r="J87" i="20" s="1"/>
  <c r="J139" i="20" s="1"/>
  <c r="L189" i="6"/>
  <c r="AI140" i="20"/>
  <c r="AN241" i="6"/>
  <c r="AN122" i="6" s="1"/>
  <c r="AL94" i="20"/>
  <c r="AH246" i="6"/>
  <c r="AG245" i="6"/>
  <c r="AH236" i="6"/>
  <c r="AG235" i="6"/>
  <c r="T12" i="4"/>
  <c r="R12" i="4"/>
  <c r="I143" i="20"/>
  <c r="I144" i="20"/>
  <c r="J140" i="20"/>
  <c r="K140" i="20"/>
  <c r="J364" i="4"/>
  <c r="X209" i="4"/>
  <c r="K163" i="5"/>
  <c r="K164" i="5"/>
  <c r="AP164" i="5"/>
  <c r="AP191" i="5"/>
  <c r="AU14" i="5"/>
  <c r="AT236" i="5"/>
  <c r="AZ233" i="5"/>
  <c r="AZ133" i="5"/>
  <c r="AV244" i="5"/>
  <c r="AW36" i="5"/>
  <c r="AP163" i="5"/>
  <c r="AP190" i="5"/>
  <c r="K99" i="4"/>
  <c r="AQ184" i="5"/>
  <c r="L184" i="5" s="1"/>
  <c r="J112" i="4"/>
  <c r="J113" i="4"/>
  <c r="AI124" i="20"/>
  <c r="AI123" i="20"/>
  <c r="U209" i="4"/>
  <c r="U208" i="4"/>
  <c r="I121" i="20"/>
  <c r="I113" i="20"/>
  <c r="T208" i="4"/>
  <c r="T209" i="4"/>
  <c r="AL138" i="20"/>
  <c r="AL38" i="20" s="1"/>
  <c r="AL102" i="20"/>
  <c r="Y209" i="4"/>
  <c r="Y208" i="4"/>
  <c r="AJ140" i="20"/>
  <c r="AJ139" i="20"/>
  <c r="J123" i="20"/>
  <c r="J124" i="20"/>
  <c r="AH207" i="4"/>
  <c r="AH112" i="4"/>
  <c r="AH113" i="4"/>
  <c r="AB29" i="4"/>
  <c r="AB38" i="4"/>
  <c r="K142" i="4"/>
  <c r="K119" i="4"/>
  <c r="K193" i="4" s="1"/>
  <c r="K118" i="4"/>
  <c r="K366" i="4"/>
  <c r="G112" i="20"/>
  <c r="G113" i="20"/>
  <c r="AM139" i="20"/>
  <c r="AM140" i="20"/>
  <c r="AC208" i="4"/>
  <c r="AJ121" i="20"/>
  <c r="AJ113" i="20"/>
  <c r="AJ112" i="20"/>
  <c r="AJ141" i="20"/>
  <c r="AJ39" i="20" s="1"/>
  <c r="Q209" i="4"/>
  <c r="AG112" i="4"/>
  <c r="AG113" i="4"/>
  <c r="AG207" i="4"/>
  <c r="K102" i="20"/>
  <c r="AN182" i="20"/>
  <c r="AL29" i="4"/>
  <c r="AM38" i="4"/>
  <c r="AL38" i="4"/>
  <c r="J273" i="4"/>
  <c r="J141" i="20"/>
  <c r="J39" i="20" s="1"/>
  <c r="M1" i="6"/>
  <c r="L2" i="6"/>
  <c r="AN14" i="6"/>
  <c r="AM15" i="6"/>
  <c r="Z25" i="4"/>
  <c r="Z34" i="4"/>
  <c r="AA34" i="4"/>
  <c r="AA25" i="4"/>
  <c r="J257" i="5"/>
  <c r="J256" i="5"/>
  <c r="U131" i="4"/>
  <c r="U124" i="4"/>
  <c r="U123" i="4"/>
  <c r="J435" i="4"/>
  <c r="AB122" i="4"/>
  <c r="Q124" i="4"/>
  <c r="AF255" i="5"/>
  <c r="Y124" i="4"/>
  <c r="AG123" i="4"/>
  <c r="AG124" i="4"/>
  <c r="AG131" i="4"/>
  <c r="AG326" i="4"/>
  <c r="AH123" i="4"/>
  <c r="AH131" i="4"/>
  <c r="AH124" i="4"/>
  <c r="AJ255" i="5"/>
  <c r="X122" i="4"/>
  <c r="T122" i="4"/>
  <c r="K2" i="4"/>
  <c r="K365" i="4"/>
  <c r="L1" i="4"/>
  <c r="L99" i="4" s="1"/>
  <c r="K275" i="4"/>
  <c r="K361" i="4"/>
  <c r="K368" i="4"/>
  <c r="H66" i="5"/>
  <c r="J218" i="5"/>
  <c r="AC218" i="5" s="1"/>
  <c r="J49" i="5"/>
  <c r="J40" i="5"/>
  <c r="I28" i="5"/>
  <c r="AU46" i="5"/>
  <c r="AT249" i="5"/>
  <c r="L172" i="5"/>
  <c r="L180" i="5"/>
  <c r="L215" i="5"/>
  <c r="L2" i="5"/>
  <c r="L171" i="5"/>
  <c r="M1" i="5"/>
  <c r="N1" i="5" s="1"/>
  <c r="L202" i="5"/>
  <c r="AS250" i="5"/>
  <c r="AT47" i="5"/>
  <c r="J26" i="5"/>
  <c r="J203" i="5"/>
  <c r="K211" i="5"/>
  <c r="K219" i="5" s="1"/>
  <c r="J215" i="5"/>
  <c r="J254" i="5"/>
  <c r="J251" i="5"/>
  <c r="J252" i="5" s="1"/>
  <c r="AR160" i="5"/>
  <c r="AR187" i="5"/>
  <c r="L187" i="5" s="1"/>
  <c r="AQ162" i="5"/>
  <c r="AQ189" i="5"/>
  <c r="J59" i="5"/>
  <c r="J63" i="5" s="1"/>
  <c r="J16" i="5"/>
  <c r="J132" i="5"/>
  <c r="K131" i="5" s="1"/>
  <c r="AS44" i="5"/>
  <c r="AR247" i="5"/>
  <c r="J197" i="5"/>
  <c r="I202" i="5"/>
  <c r="K33" i="5"/>
  <c r="K11" i="5"/>
  <c r="K233" i="5" s="1"/>
  <c r="K8" i="5"/>
  <c r="K46" i="5"/>
  <c r="K249" i="5" s="1"/>
  <c r="K53" i="5"/>
  <c r="K153" i="5"/>
  <c r="K45" i="5"/>
  <c r="K248" i="5" s="1"/>
  <c r="K161" i="5"/>
  <c r="K157" i="5"/>
  <c r="K14" i="5"/>
  <c r="K236" i="5" s="1"/>
  <c r="K15" i="5"/>
  <c r="K241" i="5" s="1"/>
  <c r="K21" i="5"/>
  <c r="K48" i="5"/>
  <c r="K61" i="5"/>
  <c r="K160" i="5"/>
  <c r="K149" i="5"/>
  <c r="K146" i="5"/>
  <c r="K159" i="5"/>
  <c r="K9" i="5"/>
  <c r="K134" i="5" s="1"/>
  <c r="K23" i="5"/>
  <c r="K239" i="5" s="1"/>
  <c r="K20" i="5"/>
  <c r="K32" i="5"/>
  <c r="K58" i="5"/>
  <c r="K47" i="5"/>
  <c r="K250" i="5" s="1"/>
  <c r="K148" i="5"/>
  <c r="K156" i="5"/>
  <c r="K162" i="5"/>
  <c r="K143" i="5"/>
  <c r="K22" i="5"/>
  <c r="K238" i="5" s="1"/>
  <c r="K34" i="5"/>
  <c r="K31" i="5"/>
  <c r="K42" i="5"/>
  <c r="K36" i="5"/>
  <c r="K244" i="5" s="1"/>
  <c r="K147" i="5"/>
  <c r="K44" i="5"/>
  <c r="K247" i="5" s="1"/>
  <c r="K158" i="5"/>
  <c r="K55" i="5"/>
  <c r="K268" i="5" s="1"/>
  <c r="K144" i="5"/>
  <c r="I51" i="5"/>
  <c r="I65" i="5" s="1"/>
  <c r="AT45" i="5"/>
  <c r="AS248" i="5"/>
  <c r="AS189" i="6"/>
  <c r="AR190" i="6"/>
  <c r="AJ55" i="6"/>
  <c r="AN56" i="6" s="1"/>
  <c r="Z67" i="6"/>
  <c r="Z65" i="6" s="1"/>
  <c r="Z57" i="6" s="1"/>
  <c r="Z59" i="6" s="1"/>
  <c r="AD13" i="6"/>
  <c r="AF56" i="6"/>
  <c r="Z79" i="6"/>
  <c r="Z18" i="6"/>
  <c r="Z20" i="6"/>
  <c r="AA18" i="6"/>
  <c r="AA20" i="6"/>
  <c r="AB16" i="6"/>
  <c r="AB19" i="6"/>
  <c r="AB75" i="6"/>
  <c r="AB78" i="6" s="1"/>
  <c r="AB74" i="6"/>
  <c r="X15" i="6"/>
  <c r="Y14" i="6"/>
  <c r="Y12" i="6" s="1"/>
  <c r="AA67" i="6"/>
  <c r="AA65" i="6" s="1"/>
  <c r="AA57" i="6" s="1"/>
  <c r="AA59" i="6" s="1"/>
  <c r="H73" i="6"/>
  <c r="AA79" i="6"/>
  <c r="AQ207" i="5"/>
  <c r="AQ159" i="5"/>
  <c r="AQ186" i="5"/>
  <c r="AQ156" i="5"/>
  <c r="AQ183" i="5"/>
  <c r="AQ158" i="5"/>
  <c r="AQ185" i="5"/>
  <c r="AN227" i="5"/>
  <c r="K227" i="5" s="1"/>
  <c r="AN273" i="4"/>
  <c r="K273" i="4" s="1"/>
  <c r="AS137" i="5"/>
  <c r="AQ208" i="5"/>
  <c r="AQ149" i="5"/>
  <c r="AQ150" i="5" s="1"/>
  <c r="AQ177" i="5"/>
  <c r="AS219" i="5"/>
  <c r="AS205" i="5"/>
  <c r="AN206" i="5"/>
  <c r="K198" i="5"/>
  <c r="AR148" i="5"/>
  <c r="AR176" i="5"/>
  <c r="L176" i="5" s="1"/>
  <c r="AS188" i="5"/>
  <c r="AS161" i="5"/>
  <c r="AR147" i="5"/>
  <c r="AR175" i="5"/>
  <c r="AR42" i="5"/>
  <c r="AS146" i="5"/>
  <c r="AS55" i="5"/>
  <c r="AH210" i="4"/>
  <c r="AS260" i="4"/>
  <c r="AR255" i="4"/>
  <c r="AE273" i="4"/>
  <c r="AE276" i="4" s="1"/>
  <c r="AF122" i="4"/>
  <c r="AC87" i="4"/>
  <c r="AC11" i="4" s="1"/>
  <c r="AD311" i="4"/>
  <c r="AD214" i="6" s="1"/>
  <c r="AC353" i="4"/>
  <c r="AQ261" i="4"/>
  <c r="AQ256" i="4"/>
  <c r="AB85" i="4"/>
  <c r="AB7" i="4" s="1"/>
  <c r="AB8" i="4" s="1"/>
  <c r="AB304" i="4"/>
  <c r="AB349" i="4"/>
  <c r="AB360" i="4" s="1"/>
  <c r="H353" i="4"/>
  <c r="K192" i="4" l="1"/>
  <c r="K179" i="4"/>
  <c r="AC131" i="4"/>
  <c r="AC210" i="4"/>
  <c r="AC213" i="4" s="1"/>
  <c r="AC215" i="4" s="1"/>
  <c r="AC124" i="4"/>
  <c r="Q131" i="4"/>
  <c r="Q169" i="4" s="1"/>
  <c r="Q123" i="4"/>
  <c r="AF208" i="4"/>
  <c r="G156" i="4"/>
  <c r="G157" i="4" s="1"/>
  <c r="H156" i="4"/>
  <c r="H157" i="4" s="1"/>
  <c r="I156" i="4"/>
  <c r="I157" i="4" s="1"/>
  <c r="J156" i="4"/>
  <c r="J157" i="4" s="1"/>
  <c r="X194" i="4"/>
  <c r="X163" i="4"/>
  <c r="Y194" i="4"/>
  <c r="AU129" i="4"/>
  <c r="AT199" i="4"/>
  <c r="S122" i="4"/>
  <c r="S123" i="4" s="1"/>
  <c r="AF164" i="4"/>
  <c r="AF195" i="4"/>
  <c r="AA124" i="4"/>
  <c r="AA164" i="4"/>
  <c r="AD157" i="4"/>
  <c r="AD188" i="4"/>
  <c r="AD112" i="4"/>
  <c r="AD122" i="4"/>
  <c r="AE195" i="4" s="1"/>
  <c r="AD207" i="4"/>
  <c r="AD113" i="4"/>
  <c r="Y164" i="4"/>
  <c r="Y195" i="4"/>
  <c r="Y123" i="4"/>
  <c r="AE208" i="4"/>
  <c r="AE209" i="4"/>
  <c r="AG169" i="4"/>
  <c r="Y131" i="4"/>
  <c r="Y133" i="4" s="1"/>
  <c r="AA131" i="4"/>
  <c r="AC164" i="4"/>
  <c r="AC195" i="4"/>
  <c r="AB113" i="4"/>
  <c r="AB157" i="4"/>
  <c r="AB188" i="4"/>
  <c r="AB112" i="4"/>
  <c r="AB207" i="4"/>
  <c r="V157" i="4"/>
  <c r="V188" i="4"/>
  <c r="V112" i="4"/>
  <c r="V122" i="4"/>
  <c r="V113" i="4"/>
  <c r="V207" i="4"/>
  <c r="R112" i="4"/>
  <c r="R157" i="4"/>
  <c r="R188" i="4"/>
  <c r="R113" i="4"/>
  <c r="R122" i="4"/>
  <c r="R207" i="4"/>
  <c r="W157" i="4"/>
  <c r="W188" i="4"/>
  <c r="W113" i="4"/>
  <c r="W207" i="4"/>
  <c r="W122" i="4"/>
  <c r="W112" i="4"/>
  <c r="AE123" i="4"/>
  <c r="AE164" i="4"/>
  <c r="AE131" i="4"/>
  <c r="AE124" i="4"/>
  <c r="T164" i="4"/>
  <c r="X164" i="4"/>
  <c r="X195" i="4"/>
  <c r="AC169" i="4"/>
  <c r="AB123" i="4"/>
  <c r="AB164" i="4"/>
  <c r="AB195" i="4"/>
  <c r="Z207" i="4"/>
  <c r="Z157" i="4"/>
  <c r="Z188" i="4"/>
  <c r="Z113" i="4"/>
  <c r="Z122" i="4"/>
  <c r="Z112" i="4"/>
  <c r="AH169" i="4"/>
  <c r="AH200" i="4"/>
  <c r="U169" i="4"/>
  <c r="S113" i="4"/>
  <c r="S157" i="4"/>
  <c r="S188" i="4"/>
  <c r="S112" i="4"/>
  <c r="S207" i="4"/>
  <c r="U195" i="4"/>
  <c r="AH164" i="4"/>
  <c r="AH195" i="4"/>
  <c r="AE188" i="4"/>
  <c r="AG164" i="4"/>
  <c r="AG195" i="4"/>
  <c r="L179" i="4"/>
  <c r="I195" i="4"/>
  <c r="H195" i="4"/>
  <c r="G195" i="4"/>
  <c r="H131" i="4"/>
  <c r="I123" i="4"/>
  <c r="H124" i="4"/>
  <c r="H123" i="4"/>
  <c r="H164" i="4"/>
  <c r="G123" i="4"/>
  <c r="G164" i="4"/>
  <c r="I131" i="4"/>
  <c r="I164" i="4"/>
  <c r="J122" i="4"/>
  <c r="J163" i="4"/>
  <c r="I124" i="4"/>
  <c r="K421" i="4"/>
  <c r="AL101" i="20"/>
  <c r="G131" i="4"/>
  <c r="AJ37" i="4"/>
  <c r="AK37" i="4"/>
  <c r="G124" i="4"/>
  <c r="AA134" i="4"/>
  <c r="F123" i="4"/>
  <c r="F131" i="4"/>
  <c r="F124" i="4"/>
  <c r="K92" i="4"/>
  <c r="AB35" i="4"/>
  <c r="AB26" i="4"/>
  <c r="R13" i="4"/>
  <c r="R40" i="4" s="1"/>
  <c r="S22" i="4"/>
  <c r="S20" i="4"/>
  <c r="S18" i="4"/>
  <c r="S17" i="4"/>
  <c r="S19" i="4"/>
  <c r="T13" i="4"/>
  <c r="T16" i="4" s="1"/>
  <c r="Q18" i="4"/>
  <c r="Q20" i="4"/>
  <c r="Q22" i="4"/>
  <c r="Q17" i="4"/>
  <c r="Q19" i="4"/>
  <c r="Q21" i="4"/>
  <c r="S21" i="4"/>
  <c r="AD43" i="6"/>
  <c r="AD40" i="6"/>
  <c r="AL73" i="6"/>
  <c r="AL19" i="6" s="1"/>
  <c r="K53" i="20"/>
  <c r="K44" i="20"/>
  <c r="J57" i="20"/>
  <c r="J48" i="20"/>
  <c r="K56" i="20"/>
  <c r="K47" i="20"/>
  <c r="AJ66" i="20"/>
  <c r="AJ48" i="20"/>
  <c r="AL65" i="20"/>
  <c r="AL47" i="20"/>
  <c r="I312" i="4"/>
  <c r="I313" i="4" s="1"/>
  <c r="I40" i="20"/>
  <c r="I49" i="20" s="1"/>
  <c r="AM65" i="20"/>
  <c r="AI39" i="20"/>
  <c r="AI48" i="20" s="1"/>
  <c r="AI144" i="20"/>
  <c r="AI143" i="20"/>
  <c r="AI142" i="20"/>
  <c r="AC215" i="6"/>
  <c r="AL176" i="20"/>
  <c r="AC241" i="6"/>
  <c r="AC231" i="6"/>
  <c r="AC232" i="6"/>
  <c r="AG215" i="6"/>
  <c r="AC216" i="6"/>
  <c r="AC230" i="6" s="1"/>
  <c r="AC237" i="6"/>
  <c r="AM56" i="20"/>
  <c r="AJ65" i="20"/>
  <c r="AI47" i="20"/>
  <c r="AL344" i="4"/>
  <c r="AM346" i="4" s="1"/>
  <c r="AL339" i="4"/>
  <c r="AL296" i="4"/>
  <c r="AL299" i="4" s="1"/>
  <c r="AL304" i="4"/>
  <c r="AL362" i="4"/>
  <c r="AL85" i="4"/>
  <c r="AL272" i="6" s="1"/>
  <c r="AT175" i="21"/>
  <c r="AK222" i="6"/>
  <c r="AL223" i="6"/>
  <c r="AK225" i="6"/>
  <c r="AK224" i="6" s="1"/>
  <c r="M172" i="6"/>
  <c r="M174" i="6"/>
  <c r="M220" i="6"/>
  <c r="M221" i="6" s="1"/>
  <c r="M226" i="6"/>
  <c r="M227" i="6" s="1"/>
  <c r="AH222" i="6"/>
  <c r="AI223" i="6"/>
  <c r="AH225" i="6"/>
  <c r="AH224" i="6" s="1"/>
  <c r="AE222" i="6"/>
  <c r="AF223" i="6"/>
  <c r="AE225" i="6"/>
  <c r="AE224" i="6" s="1"/>
  <c r="J240" i="6"/>
  <c r="J93" i="20"/>
  <c r="J176" i="20"/>
  <c r="J112" i="20"/>
  <c r="J101" i="20"/>
  <c r="L190" i="6"/>
  <c r="AD216" i="6"/>
  <c r="AD230" i="6" s="1"/>
  <c r="AD231" i="6"/>
  <c r="AD233" i="6"/>
  <c r="AD232" i="6"/>
  <c r="AD237" i="6"/>
  <c r="AD241" i="6"/>
  <c r="AN243" i="6"/>
  <c r="AR243" i="6" s="1"/>
  <c r="AV243" i="6" s="1"/>
  <c r="AZ243" i="6" s="1"/>
  <c r="AN94" i="20"/>
  <c r="AN242" i="6"/>
  <c r="AI246" i="6"/>
  <c r="AH245" i="6"/>
  <c r="AI236" i="6"/>
  <c r="AH235" i="6"/>
  <c r="I146" i="20"/>
  <c r="AD166" i="6"/>
  <c r="AM369" i="4"/>
  <c r="AM301" i="4"/>
  <c r="AM73" i="6" s="1"/>
  <c r="H349" i="4"/>
  <c r="H360" i="4" s="1"/>
  <c r="J142" i="20"/>
  <c r="J144" i="20"/>
  <c r="J143" i="20"/>
  <c r="L175" i="5"/>
  <c r="AQ163" i="5"/>
  <c r="AQ190" i="5"/>
  <c r="AX36" i="5"/>
  <c r="AW244" i="5"/>
  <c r="AV14" i="5"/>
  <c r="AU236" i="5"/>
  <c r="AQ164" i="5"/>
  <c r="AQ191" i="5"/>
  <c r="AJ144" i="20"/>
  <c r="AJ143" i="20"/>
  <c r="AJ142" i="20"/>
  <c r="AC38" i="4"/>
  <c r="AC29" i="4"/>
  <c r="AG29" i="4"/>
  <c r="AL139" i="20"/>
  <c r="AL140" i="20"/>
  <c r="I124" i="20"/>
  <c r="I123" i="20"/>
  <c r="AI128" i="20"/>
  <c r="AI126" i="20"/>
  <c r="AI125" i="20"/>
  <c r="AG209" i="4"/>
  <c r="AG208" i="4"/>
  <c r="AJ123" i="20"/>
  <c r="AJ124" i="20"/>
  <c r="AH208" i="4"/>
  <c r="AH209" i="4"/>
  <c r="J125" i="20"/>
  <c r="J128" i="20"/>
  <c r="J37" i="20" s="1"/>
  <c r="J126" i="20"/>
  <c r="AC212" i="4"/>
  <c r="N202" i="5"/>
  <c r="N2" i="5"/>
  <c r="N215" i="5"/>
  <c r="N172" i="5"/>
  <c r="N180" i="5"/>
  <c r="AB124" i="4"/>
  <c r="M2" i="6"/>
  <c r="N1" i="6"/>
  <c r="AC211" i="4"/>
  <c r="AN15" i="6"/>
  <c r="AO14" i="6"/>
  <c r="AB131" i="4"/>
  <c r="AB34" i="4"/>
  <c r="AB25" i="4"/>
  <c r="T124" i="4"/>
  <c r="T131" i="4"/>
  <c r="T123" i="4"/>
  <c r="AH133" i="4"/>
  <c r="AH134" i="4"/>
  <c r="AC133" i="4"/>
  <c r="AC134" i="4"/>
  <c r="L142" i="4"/>
  <c r="L129" i="4"/>
  <c r="L199" i="4" s="1"/>
  <c r="L365" i="4"/>
  <c r="L361" i="4"/>
  <c r="L2" i="4"/>
  <c r="M1" i="4"/>
  <c r="L368" i="4"/>
  <c r="L128" i="4"/>
  <c r="L198" i="4" s="1"/>
  <c r="X123" i="4"/>
  <c r="X131" i="4"/>
  <c r="X124" i="4"/>
  <c r="AG327" i="4"/>
  <c r="AG317" i="4"/>
  <c r="AG297" i="4" s="1"/>
  <c r="AG298" i="4" s="1"/>
  <c r="U134" i="4"/>
  <c r="U133" i="4"/>
  <c r="AG134" i="4"/>
  <c r="AG133" i="4"/>
  <c r="AC43" i="6"/>
  <c r="AC40" i="6"/>
  <c r="AA23" i="6"/>
  <c r="K133" i="5"/>
  <c r="AG218" i="5"/>
  <c r="AH218" i="5" s="1"/>
  <c r="J51" i="5"/>
  <c r="J65" i="5" s="1"/>
  <c r="K150" i="5"/>
  <c r="J135" i="5"/>
  <c r="J137" i="5" s="1"/>
  <c r="AR162" i="5"/>
  <c r="L162" i="5" s="1"/>
  <c r="AR189" i="5"/>
  <c r="L189" i="5" s="1"/>
  <c r="K197" i="5"/>
  <c r="K206" i="5" s="1"/>
  <c r="J202" i="5"/>
  <c r="AU47" i="5"/>
  <c r="AT250" i="5"/>
  <c r="AV46" i="5"/>
  <c r="AU249" i="5"/>
  <c r="J207" i="5"/>
  <c r="J206" i="5"/>
  <c r="J208" i="5"/>
  <c r="AC166" i="6"/>
  <c r="AT44" i="5"/>
  <c r="AS247" i="5"/>
  <c r="AS160" i="5"/>
  <c r="AS187" i="5"/>
  <c r="J28" i="5"/>
  <c r="L9" i="5"/>
  <c r="L134" i="5" s="1"/>
  <c r="L23" i="5"/>
  <c r="L239" i="5" s="1"/>
  <c r="L20" i="5"/>
  <c r="L53" i="5"/>
  <c r="L47" i="5"/>
  <c r="L250" i="5" s="1"/>
  <c r="L146" i="5"/>
  <c r="L55" i="5"/>
  <c r="L268" i="5" s="1"/>
  <c r="L8" i="5"/>
  <c r="L133" i="5" s="1"/>
  <c r="L22" i="5"/>
  <c r="L238" i="5" s="1"/>
  <c r="L34" i="5"/>
  <c r="L153" i="5"/>
  <c r="L21" i="5"/>
  <c r="L33" i="5"/>
  <c r="L11" i="5"/>
  <c r="L233" i="5" s="1"/>
  <c r="L45" i="5"/>
  <c r="L248" i="5" s="1"/>
  <c r="L46" i="5"/>
  <c r="L249" i="5" s="1"/>
  <c r="L48" i="5"/>
  <c r="L160" i="5"/>
  <c r="L32" i="5"/>
  <c r="L14" i="5"/>
  <c r="L236" i="5" s="1"/>
  <c r="L15" i="5"/>
  <c r="L241" i="5" s="1"/>
  <c r="L58" i="5"/>
  <c r="L44" i="5"/>
  <c r="L247" i="5" s="1"/>
  <c r="L144" i="5"/>
  <c r="L161" i="5"/>
  <c r="L36" i="5"/>
  <c r="L244" i="5" s="1"/>
  <c r="AU45" i="5"/>
  <c r="AT248" i="5"/>
  <c r="AC213" i="5"/>
  <c r="AD218" i="5"/>
  <c r="AD215" i="6"/>
  <c r="AH215" i="6"/>
  <c r="I66" i="5"/>
  <c r="M172" i="5"/>
  <c r="M180" i="5"/>
  <c r="M202" i="5"/>
  <c r="M2" i="5"/>
  <c r="M215" i="5"/>
  <c r="AL256" i="5"/>
  <c r="AL257" i="5"/>
  <c r="Z23" i="6"/>
  <c r="AC13" i="6"/>
  <c r="AB79" i="6"/>
  <c r="AB18" i="6"/>
  <c r="AB20" i="6"/>
  <c r="AJ56" i="6"/>
  <c r="H16" i="6"/>
  <c r="H17" i="6" s="1"/>
  <c r="H19" i="6"/>
  <c r="H20" i="6" s="1"/>
  <c r="H74" i="6"/>
  <c r="X14" i="6"/>
  <c r="X12" i="6" s="1"/>
  <c r="W15" i="6"/>
  <c r="AT189" i="6"/>
  <c r="AS218" i="6"/>
  <c r="AS190" i="6"/>
  <c r="Z21" i="6"/>
  <c r="AB67" i="6"/>
  <c r="AB65" i="6" s="1"/>
  <c r="AB57" i="6" s="1"/>
  <c r="AB59" i="6" s="1"/>
  <c r="AA21" i="6"/>
  <c r="AT188" i="5"/>
  <c r="AT161" i="5"/>
  <c r="AT205" i="5"/>
  <c r="AR208" i="5"/>
  <c r="AR156" i="5"/>
  <c r="AR183" i="5"/>
  <c r="L183" i="5" s="1"/>
  <c r="AS42" i="5"/>
  <c r="AT146" i="5"/>
  <c r="AS147" i="5"/>
  <c r="AS175" i="5"/>
  <c r="L147" i="5"/>
  <c r="AR149" i="5"/>
  <c r="AR177" i="5"/>
  <c r="L177" i="5" s="1"/>
  <c r="AR207" i="5"/>
  <c r="AT55" i="5"/>
  <c r="L42" i="5"/>
  <c r="AT219" i="5"/>
  <c r="AT137" i="5"/>
  <c r="AR158" i="5"/>
  <c r="AR185" i="5"/>
  <c r="L185" i="5" s="1"/>
  <c r="AR159" i="5"/>
  <c r="AR186" i="5"/>
  <c r="L186" i="5" s="1"/>
  <c r="AS148" i="5"/>
  <c r="AS176" i="5"/>
  <c r="L148" i="5"/>
  <c r="AE210" i="4"/>
  <c r="AR261" i="4"/>
  <c r="AR256" i="4"/>
  <c r="J274" i="4"/>
  <c r="AI274" i="4"/>
  <c r="AC301" i="4"/>
  <c r="AC73" i="6" s="1"/>
  <c r="AT260" i="4"/>
  <c r="AS255" i="4"/>
  <c r="AH211" i="4"/>
  <c r="AH213" i="4"/>
  <c r="AH212" i="4"/>
  <c r="AN274" i="4"/>
  <c r="AD87" i="4"/>
  <c r="AD11" i="4" s="1"/>
  <c r="AE311" i="4"/>
  <c r="AE214" i="6" s="1"/>
  <c r="AD353" i="4"/>
  <c r="AD301" i="4" s="1"/>
  <c r="AD73" i="6" s="1"/>
  <c r="AF123" i="4"/>
  <c r="AF124" i="4"/>
  <c r="AF210" i="4"/>
  <c r="AF131" i="4"/>
  <c r="AG200" i="4" s="1"/>
  <c r="AG274" i="4"/>
  <c r="AL363" i="4"/>
  <c r="AL364" i="4" s="1"/>
  <c r="S131" i="4" l="1"/>
  <c r="AC321" i="4"/>
  <c r="AC322" i="4" s="1"/>
  <c r="AC214" i="4"/>
  <c r="Y134" i="4"/>
  <c r="Y171" i="4" s="1"/>
  <c r="Q134" i="4"/>
  <c r="Q171" i="4" s="1"/>
  <c r="Q133" i="4"/>
  <c r="AV129" i="4"/>
  <c r="AU199" i="4"/>
  <c r="S124" i="4"/>
  <c r="S195" i="4"/>
  <c r="S164" i="4"/>
  <c r="T195" i="4"/>
  <c r="T169" i="4"/>
  <c r="T200" i="4"/>
  <c r="S208" i="4"/>
  <c r="S209" i="4"/>
  <c r="Z164" i="4"/>
  <c r="Z195" i="4"/>
  <c r="Z131" i="4"/>
  <c r="AA200" i="4" s="1"/>
  <c r="Z123" i="4"/>
  <c r="Z124" i="4"/>
  <c r="AE133" i="4"/>
  <c r="AE169" i="4"/>
  <c r="AE134" i="4"/>
  <c r="V208" i="4"/>
  <c r="G207" i="4"/>
  <c r="V209" i="4"/>
  <c r="X169" i="4"/>
  <c r="W209" i="4"/>
  <c r="W208" i="4"/>
  <c r="R208" i="4"/>
  <c r="F207" i="4"/>
  <c r="R209" i="4"/>
  <c r="V164" i="4"/>
  <c r="V195" i="4"/>
  <c r="V124" i="4"/>
  <c r="V123" i="4"/>
  <c r="V131" i="4"/>
  <c r="AB209" i="4"/>
  <c r="AB208" i="4"/>
  <c r="R164" i="4"/>
  <c r="R195" i="4"/>
  <c r="R123" i="4"/>
  <c r="R124" i="4"/>
  <c r="R131" i="4"/>
  <c r="S200" i="4" s="1"/>
  <c r="Y169" i="4"/>
  <c r="Y200" i="4"/>
  <c r="U171" i="4"/>
  <c r="Z208" i="4"/>
  <c r="Z209" i="4"/>
  <c r="H207" i="4"/>
  <c r="I207" i="4"/>
  <c r="AD208" i="4"/>
  <c r="AD209" i="4"/>
  <c r="AF200" i="4"/>
  <c r="AF169" i="4"/>
  <c r="AG171" i="4"/>
  <c r="AC171" i="4"/>
  <c r="AB133" i="4"/>
  <c r="AB169" i="4"/>
  <c r="AB200" i="4"/>
  <c r="AA171" i="4"/>
  <c r="AH171" i="4"/>
  <c r="AH202" i="4"/>
  <c r="U200" i="4"/>
  <c r="S133" i="4"/>
  <c r="S169" i="4"/>
  <c r="S134" i="4"/>
  <c r="AC200" i="4"/>
  <c r="W123" i="4"/>
  <c r="W164" i="4"/>
  <c r="W195" i="4"/>
  <c r="W131" i="4"/>
  <c r="X200" i="4" s="1"/>
  <c r="W124" i="4"/>
  <c r="AA133" i="4"/>
  <c r="AA219" i="4" s="1"/>
  <c r="AA169" i="4"/>
  <c r="AD164" i="4"/>
  <c r="AD195" i="4"/>
  <c r="AD210" i="4"/>
  <c r="I210" i="4" s="1"/>
  <c r="AD123" i="4"/>
  <c r="AD131" i="4"/>
  <c r="AE200" i="4" s="1"/>
  <c r="AD124" i="4"/>
  <c r="AA195" i="4"/>
  <c r="I200" i="4"/>
  <c r="J131" i="4"/>
  <c r="J200" i="4" s="1"/>
  <c r="J195" i="4"/>
  <c r="H200" i="4"/>
  <c r="H133" i="4"/>
  <c r="G200" i="4"/>
  <c r="J164" i="4"/>
  <c r="H134" i="4"/>
  <c r="H169" i="4"/>
  <c r="J123" i="4"/>
  <c r="J326" i="4"/>
  <c r="J327" i="4" s="1"/>
  <c r="J124" i="4"/>
  <c r="F169" i="4"/>
  <c r="I133" i="4"/>
  <c r="G133" i="4"/>
  <c r="G169" i="4"/>
  <c r="I134" i="4"/>
  <c r="I169" i="4"/>
  <c r="AA135" i="4"/>
  <c r="R16" i="4"/>
  <c r="AL16" i="6"/>
  <c r="T40" i="4"/>
  <c r="G134" i="4"/>
  <c r="AA136" i="4"/>
  <c r="AA138" i="4"/>
  <c r="AA216" i="4"/>
  <c r="AC217" i="6"/>
  <c r="S40" i="4"/>
  <c r="F133" i="4"/>
  <c r="F134" i="4"/>
  <c r="AG217" i="6"/>
  <c r="I321" i="4"/>
  <c r="I322" i="4" s="1"/>
  <c r="I332" i="4" s="1"/>
  <c r="I333" i="4" s="1"/>
  <c r="AD333" i="4" s="1"/>
  <c r="AE333" i="4" s="1"/>
  <c r="AF333" i="4" s="1"/>
  <c r="R22" i="4"/>
  <c r="R20" i="4"/>
  <c r="R18" i="4"/>
  <c r="R17" i="4"/>
  <c r="R19" i="4"/>
  <c r="T20" i="4"/>
  <c r="T22" i="4"/>
  <c r="T18" i="4"/>
  <c r="T17" i="4"/>
  <c r="T19" i="4"/>
  <c r="R21" i="4"/>
  <c r="T21" i="4"/>
  <c r="AL7" i="4"/>
  <c r="AL34" i="4" s="1"/>
  <c r="U219" i="4"/>
  <c r="U216" i="4"/>
  <c r="AH216" i="4"/>
  <c r="AH219" i="4"/>
  <c r="AL346" i="4"/>
  <c r="AC219" i="4"/>
  <c r="AC216" i="4"/>
  <c r="AG219" i="4"/>
  <c r="AG216" i="4"/>
  <c r="Y219" i="4"/>
  <c r="Y216" i="4"/>
  <c r="AE40" i="6"/>
  <c r="AE43" i="6"/>
  <c r="I164" i="6"/>
  <c r="I36" i="6"/>
  <c r="I124" i="6" s="1"/>
  <c r="J312" i="4"/>
  <c r="J40" i="20"/>
  <c r="I45" i="4"/>
  <c r="J55" i="20"/>
  <c r="J46" i="20"/>
  <c r="AI40" i="20"/>
  <c r="AI49" i="20" s="1"/>
  <c r="AI312" i="4"/>
  <c r="AI146" i="20"/>
  <c r="AI145" i="20"/>
  <c r="AJ312" i="4"/>
  <c r="AJ40" i="20"/>
  <c r="AI133" i="20"/>
  <c r="AI37" i="20"/>
  <c r="AI46" i="20" s="1"/>
  <c r="AF311" i="4"/>
  <c r="AF314" i="4" s="1"/>
  <c r="J147" i="20"/>
  <c r="J41" i="20" s="1"/>
  <c r="J150" i="20"/>
  <c r="AL88" i="4"/>
  <c r="AU175" i="21"/>
  <c r="AI147" i="20"/>
  <c r="AI41" i="20" s="1"/>
  <c r="AI50" i="20" s="1"/>
  <c r="AI150" i="20"/>
  <c r="N174" i="6"/>
  <c r="N172" i="6"/>
  <c r="N220" i="6"/>
  <c r="N221" i="6" s="1"/>
  <c r="N226" i="6"/>
  <c r="N227" i="6" s="1"/>
  <c r="AI222" i="6"/>
  <c r="AJ223" i="6"/>
  <c r="AI225" i="6"/>
  <c r="AI224" i="6" s="1"/>
  <c r="AL222" i="6"/>
  <c r="AL225" i="6"/>
  <c r="AL224" i="6" s="1"/>
  <c r="AM223" i="6"/>
  <c r="AF225" i="6"/>
  <c r="AF224" i="6" s="1"/>
  <c r="AF222" i="6"/>
  <c r="AE216" i="6"/>
  <c r="AE230" i="6" s="1"/>
  <c r="AE231" i="6"/>
  <c r="AE232" i="6"/>
  <c r="AE233" i="6"/>
  <c r="AE237" i="6"/>
  <c r="AE241" i="6"/>
  <c r="AF241" i="6" s="1"/>
  <c r="AS79" i="20"/>
  <c r="AJ246" i="6"/>
  <c r="AK246" i="6" s="1"/>
  <c r="AL246" i="6" s="1"/>
  <c r="AM246" i="6" s="1"/>
  <c r="AI245" i="6"/>
  <c r="AJ236" i="6"/>
  <c r="AJ235" i="6" s="1"/>
  <c r="AI235" i="6"/>
  <c r="J133" i="20"/>
  <c r="J63" i="21"/>
  <c r="J81" i="21" s="1"/>
  <c r="J109" i="21" s="1"/>
  <c r="AM304" i="4"/>
  <c r="AM82" i="6"/>
  <c r="AM19" i="6"/>
  <c r="AM16" i="6"/>
  <c r="AM75" i="6"/>
  <c r="AM78" i="6" s="1"/>
  <c r="AM67" i="6" s="1"/>
  <c r="AM65" i="6" s="1"/>
  <c r="AM339" i="4"/>
  <c r="AM349" i="4"/>
  <c r="AM360" i="4" s="1"/>
  <c r="AM302" i="4"/>
  <c r="AM43" i="4" s="1"/>
  <c r="AM296" i="4"/>
  <c r="AM299" i="4" s="1"/>
  <c r="AM85" i="4"/>
  <c r="J146" i="20"/>
  <c r="J145" i="20"/>
  <c r="AR164" i="5"/>
  <c r="AR191" i="5"/>
  <c r="L191" i="5" s="1"/>
  <c r="AR163" i="5"/>
  <c r="AR190" i="5"/>
  <c r="L190" i="5" s="1"/>
  <c r="AV249" i="5"/>
  <c r="AW46" i="5"/>
  <c r="AV236" i="5"/>
  <c r="AW14" i="5"/>
  <c r="AY36" i="5"/>
  <c r="AX244" i="5"/>
  <c r="AG255" i="5"/>
  <c r="AI255" i="5"/>
  <c r="J130" i="20"/>
  <c r="J129" i="20"/>
  <c r="J155" i="20"/>
  <c r="J156" i="20"/>
  <c r="AJ126" i="20"/>
  <c r="AJ125" i="20"/>
  <c r="AJ128" i="20"/>
  <c r="AI129" i="20"/>
  <c r="AI130" i="20"/>
  <c r="AJ146" i="20"/>
  <c r="AJ145" i="20"/>
  <c r="AD38" i="4"/>
  <c r="AD29" i="4"/>
  <c r="AH29" i="4"/>
  <c r="I126" i="20"/>
  <c r="I128" i="20"/>
  <c r="I37" i="20" s="1"/>
  <c r="I46" i="20" s="1"/>
  <c r="AB134" i="4"/>
  <c r="M99" i="4"/>
  <c r="M179" i="4" s="1"/>
  <c r="N1" i="4"/>
  <c r="N8" i="5"/>
  <c r="N133" i="5" s="1"/>
  <c r="N9" i="5"/>
  <c r="N134" i="5" s="1"/>
  <c r="N33" i="5"/>
  <c r="N158" i="5"/>
  <c r="N34" i="5"/>
  <c r="N22" i="5"/>
  <c r="N238" i="5" s="1"/>
  <c r="N53" i="5"/>
  <c r="N153" i="5"/>
  <c r="N23" i="5"/>
  <c r="N239" i="5" s="1"/>
  <c r="N58" i="5"/>
  <c r="N157" i="5"/>
  <c r="N31" i="5"/>
  <c r="N21" i="5"/>
  <c r="N155" i="5"/>
  <c r="N48" i="5"/>
  <c r="N20" i="5"/>
  <c r="N15" i="5"/>
  <c r="N241" i="5" s="1"/>
  <c r="N143" i="5"/>
  <c r="N11" i="5"/>
  <c r="N233" i="5" s="1"/>
  <c r="N144" i="5"/>
  <c r="N32" i="5"/>
  <c r="AC326" i="4"/>
  <c r="AC327" i="4" s="1"/>
  <c r="N2" i="6"/>
  <c r="AO15" i="6"/>
  <c r="AP14" i="6"/>
  <c r="AG318" i="4"/>
  <c r="AG46" i="4"/>
  <c r="U135" i="4"/>
  <c r="U136" i="4"/>
  <c r="U138" i="4"/>
  <c r="T133" i="4"/>
  <c r="T134" i="4"/>
  <c r="X133" i="4"/>
  <c r="X134" i="4"/>
  <c r="Y202" i="4" s="1"/>
  <c r="Y135" i="4"/>
  <c r="Y136" i="4"/>
  <c r="Y138" i="4"/>
  <c r="M142" i="4"/>
  <c r="M2" i="4"/>
  <c r="M361" i="4"/>
  <c r="M368" i="4"/>
  <c r="M129" i="4"/>
  <c r="M199" i="4" s="1"/>
  <c r="M128" i="4"/>
  <c r="M198" i="4" s="1"/>
  <c r="M365" i="4"/>
  <c r="AC135" i="4"/>
  <c r="AC136" i="4"/>
  <c r="AC138" i="4"/>
  <c r="AG138" i="4"/>
  <c r="AG135" i="4"/>
  <c r="AG136" i="4"/>
  <c r="AH135" i="4"/>
  <c r="AH136" i="4"/>
  <c r="AH138" i="4"/>
  <c r="AE166" i="6"/>
  <c r="AG213" i="5"/>
  <c r="AG215" i="5" s="1"/>
  <c r="J66" i="5"/>
  <c r="AE215" i="6"/>
  <c r="AI215" i="6"/>
  <c r="AH213" i="5"/>
  <c r="AH215" i="5" s="1"/>
  <c r="AI218" i="5"/>
  <c r="AI213" i="5" s="1"/>
  <c r="AI215" i="5" s="1"/>
  <c r="AD213" i="5"/>
  <c r="AD215" i="5" s="1"/>
  <c r="AE218" i="5"/>
  <c r="AE213" i="5" s="1"/>
  <c r="AE215" i="5" s="1"/>
  <c r="AT160" i="5"/>
  <c r="AT187" i="5"/>
  <c r="K207" i="5"/>
  <c r="K208" i="5"/>
  <c r="AC215" i="5"/>
  <c r="AU44" i="5"/>
  <c r="AT247" i="5"/>
  <c r="AV47" i="5"/>
  <c r="AU250" i="5"/>
  <c r="AS162" i="5"/>
  <c r="AS189" i="5"/>
  <c r="M8" i="5"/>
  <c r="M133" i="5" s="1"/>
  <c r="M22" i="5"/>
  <c r="M238" i="5" s="1"/>
  <c r="M34" i="5"/>
  <c r="M48" i="5"/>
  <c r="M58" i="5"/>
  <c r="M46" i="5"/>
  <c r="M249" i="5" s="1"/>
  <c r="M11" i="5"/>
  <c r="M233" i="5" s="1"/>
  <c r="M21" i="5"/>
  <c r="M33" i="5"/>
  <c r="M36" i="5"/>
  <c r="M244" i="5" s="1"/>
  <c r="M15" i="5"/>
  <c r="M241" i="5" s="1"/>
  <c r="M32" i="5"/>
  <c r="M14" i="5"/>
  <c r="M236" i="5" s="1"/>
  <c r="M53" i="5"/>
  <c r="M153" i="5"/>
  <c r="M20" i="5"/>
  <c r="M9" i="5"/>
  <c r="M134" i="5" s="1"/>
  <c r="M23" i="5"/>
  <c r="M239" i="5" s="1"/>
  <c r="M144" i="5"/>
  <c r="AD217" i="6"/>
  <c r="AH217" i="6"/>
  <c r="AV45" i="5"/>
  <c r="AU248" i="5"/>
  <c r="AM256" i="5"/>
  <c r="AM257" i="5"/>
  <c r="AC19" i="6"/>
  <c r="AC16" i="6"/>
  <c r="AG74" i="6"/>
  <c r="AC74" i="6"/>
  <c r="AS219" i="6"/>
  <c r="AS354" i="4"/>
  <c r="W14" i="6"/>
  <c r="W12" i="6" s="1"/>
  <c r="V15" i="6"/>
  <c r="AD19" i="6"/>
  <c r="AD16" i="6"/>
  <c r="AD74" i="6"/>
  <c r="AD75" i="6"/>
  <c r="AD78" i="6" s="1"/>
  <c r="AT190" i="6"/>
  <c r="AU189" i="6"/>
  <c r="AB13" i="6"/>
  <c r="AL196" i="6"/>
  <c r="AL219" i="6"/>
  <c r="AB23" i="6"/>
  <c r="AB21" i="6"/>
  <c r="AT176" i="5"/>
  <c r="AT148" i="5"/>
  <c r="AU55" i="5"/>
  <c r="AT147" i="5"/>
  <c r="AT175" i="5"/>
  <c r="AS159" i="5"/>
  <c r="AS186" i="5"/>
  <c r="L159" i="5"/>
  <c r="AU137" i="5"/>
  <c r="AT42" i="5"/>
  <c r="AU146" i="5"/>
  <c r="AU188" i="5"/>
  <c r="AU161" i="5"/>
  <c r="J276" i="4"/>
  <c r="J255" i="5"/>
  <c r="AU219" i="5"/>
  <c r="AS207" i="5"/>
  <c r="AS156" i="5"/>
  <c r="AS183" i="5"/>
  <c r="L156" i="5"/>
  <c r="AU205" i="5"/>
  <c r="AS158" i="5"/>
  <c r="AT185" i="5" s="1"/>
  <c r="AS185" i="5"/>
  <c r="L158" i="5"/>
  <c r="AS177" i="5"/>
  <c r="AS149" i="5"/>
  <c r="L149" i="5"/>
  <c r="AS208" i="5"/>
  <c r="AM363" i="4"/>
  <c r="AM364" i="4" s="1"/>
  <c r="AF211" i="4"/>
  <c r="AF212" i="4"/>
  <c r="AF213" i="4"/>
  <c r="AE87" i="4"/>
  <c r="AE11" i="4" s="1"/>
  <c r="AE353" i="4"/>
  <c r="AE301" i="4" s="1"/>
  <c r="AE73" i="6" s="1"/>
  <c r="AH215" i="4"/>
  <c r="AH214" i="4"/>
  <c r="AH321" i="4"/>
  <c r="AS256" i="4"/>
  <c r="AS261" i="4"/>
  <c r="AC85" i="4"/>
  <c r="AC7" i="4" s="1"/>
  <c r="AC8" i="4" s="1"/>
  <c r="AC304" i="4"/>
  <c r="AC349" i="4"/>
  <c r="AC360" i="4" s="1"/>
  <c r="AI276" i="4"/>
  <c r="AU260" i="4"/>
  <c r="AT255" i="4"/>
  <c r="AE212" i="4"/>
  <c r="AE213" i="4"/>
  <c r="AE211" i="4"/>
  <c r="AG276" i="4"/>
  <c r="AF133" i="4"/>
  <c r="AF134" i="4"/>
  <c r="AD85" i="4"/>
  <c r="AD7" i="4" s="1"/>
  <c r="AD8" i="4" s="1"/>
  <c r="AD304" i="4"/>
  <c r="AD349" i="4"/>
  <c r="AD360" i="4" s="1"/>
  <c r="K274" i="4"/>
  <c r="AN276" i="4"/>
  <c r="Q138" i="4" l="1"/>
  <c r="Q173" i="4" s="1"/>
  <c r="J133" i="4"/>
  <c r="Q135" i="4"/>
  <c r="Q216" i="4"/>
  <c r="Q136" i="4"/>
  <c r="Q219" i="4"/>
  <c r="I47" i="4"/>
  <c r="I66" i="4"/>
  <c r="AW129" i="4"/>
  <c r="AV199" i="4"/>
  <c r="I239" i="4"/>
  <c r="H239" i="4"/>
  <c r="G239" i="4"/>
  <c r="I212" i="4"/>
  <c r="AH173" i="4"/>
  <c r="AH204" i="4"/>
  <c r="AG173" i="4"/>
  <c r="S171" i="4"/>
  <c r="S135" i="4"/>
  <c r="S136" i="4"/>
  <c r="S216" i="4"/>
  <c r="S219" i="4"/>
  <c r="S138" i="4"/>
  <c r="AC173" i="4"/>
  <c r="X171" i="4"/>
  <c r="AB171" i="4"/>
  <c r="AB202" i="4"/>
  <c r="AA225" i="4"/>
  <c r="AA227" i="4" s="1"/>
  <c r="AA173" i="4"/>
  <c r="AD169" i="4"/>
  <c r="AD200" i="4"/>
  <c r="AD134" i="4"/>
  <c r="AD133" i="4"/>
  <c r="AC202" i="4"/>
  <c r="V169" i="4"/>
  <c r="V200" i="4"/>
  <c r="V133" i="4"/>
  <c r="V134" i="4"/>
  <c r="AE171" i="4"/>
  <c r="AE202" i="4"/>
  <c r="AE135" i="4"/>
  <c r="AE216" i="4"/>
  <c r="AE219" i="4"/>
  <c r="AE138" i="4"/>
  <c r="AE136" i="4"/>
  <c r="Y173" i="4"/>
  <c r="T171" i="4"/>
  <c r="T202" i="4"/>
  <c r="I208" i="4"/>
  <c r="I230" i="4" s="1"/>
  <c r="I209" i="4"/>
  <c r="U202" i="4"/>
  <c r="R169" i="4"/>
  <c r="R200" i="4"/>
  <c r="R134" i="4"/>
  <c r="S202" i="4" s="1"/>
  <c r="R133" i="4"/>
  <c r="AF171" i="4"/>
  <c r="AF202" i="4"/>
  <c r="U173" i="4"/>
  <c r="AD211" i="4"/>
  <c r="AD212" i="4"/>
  <c r="AD213" i="4"/>
  <c r="W169" i="4"/>
  <c r="W200" i="4"/>
  <c r="W134" i="4"/>
  <c r="X202" i="4" s="1"/>
  <c r="W133" i="4"/>
  <c r="AG202" i="4"/>
  <c r="H209" i="4"/>
  <c r="H208" i="4"/>
  <c r="H230" i="4" s="1"/>
  <c r="F208" i="4"/>
  <c r="F230" i="4" s="1"/>
  <c r="F209" i="4"/>
  <c r="G209" i="4"/>
  <c r="G208" i="4"/>
  <c r="G230" i="4" s="1"/>
  <c r="Z169" i="4"/>
  <c r="Z200" i="4"/>
  <c r="Z134" i="4"/>
  <c r="Z133" i="4"/>
  <c r="J169" i="4"/>
  <c r="J134" i="4"/>
  <c r="J202" i="4" s="1"/>
  <c r="I202" i="4"/>
  <c r="H202" i="4"/>
  <c r="H135" i="4"/>
  <c r="G202" i="4"/>
  <c r="H171" i="4"/>
  <c r="H136" i="4"/>
  <c r="H138" i="4"/>
  <c r="J317" i="4"/>
  <c r="J321" i="4" s="1"/>
  <c r="J322" i="4" s="1"/>
  <c r="J332" i="4" s="1"/>
  <c r="J333" i="4" s="1"/>
  <c r="AF214" i="6"/>
  <c r="AF232" i="6" s="1"/>
  <c r="G136" i="4"/>
  <c r="G171" i="4"/>
  <c r="I136" i="4"/>
  <c r="I171" i="4"/>
  <c r="I135" i="4"/>
  <c r="I138" i="4"/>
  <c r="F171" i="4"/>
  <c r="AA140" i="4"/>
  <c r="AA249" i="4"/>
  <c r="AA139" i="4"/>
  <c r="AA248" i="4"/>
  <c r="G138" i="4"/>
  <c r="AA222" i="4"/>
  <c r="AA224" i="4" s="1"/>
  <c r="AA269" i="5"/>
  <c r="AA271" i="5" s="1"/>
  <c r="G135" i="4"/>
  <c r="I326" i="4"/>
  <c r="I327" i="4" s="1"/>
  <c r="J45" i="4"/>
  <c r="J66" i="4" s="1"/>
  <c r="F138" i="4"/>
  <c r="F135" i="4"/>
  <c r="F136" i="4"/>
  <c r="AD26" i="4"/>
  <c r="AD35" i="4"/>
  <c r="AC35" i="4"/>
  <c r="AC26" i="4"/>
  <c r="AG26" i="4"/>
  <c r="J313" i="4"/>
  <c r="AH269" i="5"/>
  <c r="AH271" i="5" s="1"/>
  <c r="AH225" i="4"/>
  <c r="AH222" i="4"/>
  <c r="AG269" i="5"/>
  <c r="AG271" i="5" s="1"/>
  <c r="AG222" i="4"/>
  <c r="AG225" i="4"/>
  <c r="AA223" i="4"/>
  <c r="AC269" i="5"/>
  <c r="AC271" i="5" s="1"/>
  <c r="AC225" i="4"/>
  <c r="AC222" i="4"/>
  <c r="AF219" i="4"/>
  <c r="AF216" i="4"/>
  <c r="Q222" i="4"/>
  <c r="Y269" i="5"/>
  <c r="Y271" i="5" s="1"/>
  <c r="Y222" i="4"/>
  <c r="Y225" i="4"/>
  <c r="T219" i="4"/>
  <c r="T216" i="4"/>
  <c r="X216" i="4"/>
  <c r="X219" i="4"/>
  <c r="AB136" i="4"/>
  <c r="AB216" i="4"/>
  <c r="AB219" i="4"/>
  <c r="U222" i="4"/>
  <c r="U225" i="4"/>
  <c r="AA226" i="4"/>
  <c r="AF152" i="6"/>
  <c r="AE152" i="6" s="1"/>
  <c r="AE150" i="6" s="1"/>
  <c r="AE192" i="6" s="1"/>
  <c r="AG165" i="6"/>
  <c r="AF43" i="6"/>
  <c r="AF40" i="6"/>
  <c r="AG37" i="6"/>
  <c r="K276" i="4"/>
  <c r="I60" i="4"/>
  <c r="AH312" i="4"/>
  <c r="I61" i="4"/>
  <c r="I58" i="4"/>
  <c r="I52" i="4"/>
  <c r="AI135" i="20"/>
  <c r="AI134" i="20"/>
  <c r="AJ67" i="20"/>
  <c r="AJ49" i="20"/>
  <c r="AJ133" i="20"/>
  <c r="AJ37" i="20"/>
  <c r="I54" i="4"/>
  <c r="I59" i="4"/>
  <c r="J58" i="20"/>
  <c r="J49" i="20"/>
  <c r="J59" i="20"/>
  <c r="J50" i="20"/>
  <c r="AJ91" i="20"/>
  <c r="AJ114" i="6"/>
  <c r="AI91" i="20"/>
  <c r="AI114" i="6"/>
  <c r="AI95" i="20"/>
  <c r="AI106" i="4" s="1"/>
  <c r="AI130" i="6"/>
  <c r="I150" i="20"/>
  <c r="I147" i="20"/>
  <c r="I41" i="20" s="1"/>
  <c r="I50" i="20" s="1"/>
  <c r="AS73" i="20"/>
  <c r="AL12" i="4"/>
  <c r="AV175" i="21"/>
  <c r="AJ147" i="20"/>
  <c r="AJ41" i="20" s="1"/>
  <c r="AJ150" i="20"/>
  <c r="AM222" i="6"/>
  <c r="AN223" i="6"/>
  <c r="AM225" i="6"/>
  <c r="AM224" i="6" s="1"/>
  <c r="AJ225" i="6"/>
  <c r="AJ224" i="6" s="1"/>
  <c r="AJ222" i="6"/>
  <c r="AF237" i="6"/>
  <c r="AF243" i="6"/>
  <c r="AF242" i="6"/>
  <c r="AJ245" i="6"/>
  <c r="J149" i="20"/>
  <c r="J148" i="20"/>
  <c r="J152" i="20"/>
  <c r="J151" i="20"/>
  <c r="I133" i="20"/>
  <c r="I63" i="21"/>
  <c r="I81" i="21" s="1"/>
  <c r="I109" i="21" s="1"/>
  <c r="J135" i="20"/>
  <c r="J134" i="20"/>
  <c r="AB135" i="4"/>
  <c r="AB138" i="4"/>
  <c r="AM7" i="4"/>
  <c r="AM272" i="6"/>
  <c r="AM88" i="4"/>
  <c r="AM57" i="6"/>
  <c r="AM21" i="6" s="1"/>
  <c r="AM79" i="6"/>
  <c r="AN196" i="6"/>
  <c r="AX46" i="5"/>
  <c r="AW249" i="5"/>
  <c r="AS190" i="5"/>
  <c r="AS163" i="5"/>
  <c r="L163" i="5"/>
  <c r="AV250" i="5"/>
  <c r="AW47" i="5"/>
  <c r="AZ36" i="5"/>
  <c r="AY244" i="5"/>
  <c r="AV248" i="5"/>
  <c r="AW45" i="5"/>
  <c r="AX14" i="5"/>
  <c r="AW236" i="5"/>
  <c r="AS191" i="5"/>
  <c r="AS164" i="5"/>
  <c r="L164" i="5"/>
  <c r="AI177" i="20"/>
  <c r="AI148" i="20"/>
  <c r="AI149" i="20"/>
  <c r="AE29" i="4"/>
  <c r="AE38" i="4"/>
  <c r="AI29" i="4"/>
  <c r="AI151" i="20"/>
  <c r="AI152" i="20"/>
  <c r="AJ129" i="20"/>
  <c r="AJ130" i="20"/>
  <c r="I156" i="20"/>
  <c r="I155" i="20"/>
  <c r="I130" i="20"/>
  <c r="N361" i="4"/>
  <c r="N2" i="4"/>
  <c r="N365" i="4"/>
  <c r="N142" i="4"/>
  <c r="N128" i="4"/>
  <c r="N368" i="4"/>
  <c r="N99" i="4"/>
  <c r="AQ14" i="6"/>
  <c r="AP15" i="6"/>
  <c r="AG47" i="4"/>
  <c r="AG60" i="4" s="1"/>
  <c r="AG53" i="4"/>
  <c r="AD25" i="4"/>
  <c r="AD34" i="4"/>
  <c r="AC25" i="4"/>
  <c r="AC34" i="4"/>
  <c r="AG25" i="4"/>
  <c r="Q139" i="4"/>
  <c r="Q248" i="4"/>
  <c r="Q140" i="4"/>
  <c r="Q249" i="4"/>
  <c r="X138" i="4"/>
  <c r="X136" i="4"/>
  <c r="X135" i="4"/>
  <c r="AG248" i="4"/>
  <c r="AG139" i="4"/>
  <c r="AG249" i="4"/>
  <c r="AG140" i="4"/>
  <c r="AA217" i="4"/>
  <c r="AA250" i="4"/>
  <c r="AA218" i="4"/>
  <c r="AA251" i="4"/>
  <c r="AA270" i="4"/>
  <c r="U248" i="4"/>
  <c r="U140" i="4"/>
  <c r="U249" i="4"/>
  <c r="U139" i="4"/>
  <c r="Y140" i="4"/>
  <c r="Y249" i="4"/>
  <c r="Y248" i="4"/>
  <c r="Y139" i="4"/>
  <c r="AA253" i="4"/>
  <c r="AA220" i="4"/>
  <c r="AA252" i="4"/>
  <c r="AA221" i="4"/>
  <c r="T135" i="4"/>
  <c r="T138" i="4"/>
  <c r="T136" i="4"/>
  <c r="AH248" i="4"/>
  <c r="AH249" i="4"/>
  <c r="AH139" i="4"/>
  <c r="AH140" i="4"/>
  <c r="AC140" i="4"/>
  <c r="AC248" i="4"/>
  <c r="AC139" i="4"/>
  <c r="AC249" i="4"/>
  <c r="K364" i="4"/>
  <c r="I213" i="4"/>
  <c r="I41" i="6"/>
  <c r="I38" i="6"/>
  <c r="I40" i="6" s="1"/>
  <c r="AF166" i="6"/>
  <c r="I211" i="4"/>
  <c r="I231" i="4" s="1"/>
  <c r="M45" i="5"/>
  <c r="M248" i="5" s="1"/>
  <c r="M47" i="5"/>
  <c r="M250" i="5" s="1"/>
  <c r="AT189" i="5"/>
  <c r="AT162" i="5"/>
  <c r="AF213" i="5"/>
  <c r="AJ213" i="5"/>
  <c r="AE217" i="6"/>
  <c r="AI217" i="6"/>
  <c r="AJ215" i="6"/>
  <c r="AV44" i="5"/>
  <c r="AW44" i="5" s="1"/>
  <c r="AU247" i="5"/>
  <c r="I214" i="6"/>
  <c r="AU187" i="5"/>
  <c r="AU160" i="5"/>
  <c r="AP196" i="6"/>
  <c r="AL197" i="6"/>
  <c r="AK15" i="8" s="1"/>
  <c r="AK27" i="8" s="1"/>
  <c r="AK39" i="8" s="1"/>
  <c r="AU190" i="6"/>
  <c r="AV189" i="6"/>
  <c r="M189" i="6" s="1"/>
  <c r="AD18" i="6"/>
  <c r="AD20" i="6"/>
  <c r="AM196" i="6"/>
  <c r="AM219" i="6"/>
  <c r="AC17" i="6"/>
  <c r="AG17" i="6"/>
  <c r="AD67" i="6"/>
  <c r="AD65" i="6" s="1"/>
  <c r="AD77" i="6"/>
  <c r="U15" i="6"/>
  <c r="V14" i="6"/>
  <c r="V12" i="6" s="1"/>
  <c r="AC20" i="6"/>
  <c r="AC18" i="6"/>
  <c r="AG20" i="6"/>
  <c r="AE16" i="6"/>
  <c r="AE19" i="6"/>
  <c r="AE74" i="6"/>
  <c r="AE75" i="6"/>
  <c r="AE78" i="6" s="1"/>
  <c r="AD79" i="6"/>
  <c r="AD80" i="6"/>
  <c r="AD17" i="6"/>
  <c r="AA13" i="6"/>
  <c r="M185" i="5"/>
  <c r="AT207" i="5"/>
  <c r="AV161" i="5"/>
  <c r="AV188" i="5"/>
  <c r="M188" i="5" s="1"/>
  <c r="AT208" i="5"/>
  <c r="AT149" i="5"/>
  <c r="AT177" i="5"/>
  <c r="AV205" i="5"/>
  <c r="AW205" i="5" s="1"/>
  <c r="AX205" i="5" s="1"/>
  <c r="AY205" i="5" s="1"/>
  <c r="AZ205" i="5" s="1"/>
  <c r="AT156" i="5"/>
  <c r="AT183" i="5"/>
  <c r="AV219" i="5"/>
  <c r="AW219" i="5" s="1"/>
  <c r="AX219" i="5" s="1"/>
  <c r="AY219" i="5" s="1"/>
  <c r="AZ219" i="5" s="1"/>
  <c r="AV137" i="5"/>
  <c r="AW137" i="5" s="1"/>
  <c r="AX137" i="5" s="1"/>
  <c r="AY137" i="5" s="1"/>
  <c r="AZ137" i="5" s="1"/>
  <c r="AT159" i="5"/>
  <c r="AT186" i="5"/>
  <c r="AU42" i="5"/>
  <c r="AV146" i="5"/>
  <c r="AW146" i="5" s="1"/>
  <c r="AV261" i="5"/>
  <c r="AW261" i="5" s="1"/>
  <c r="AU148" i="5"/>
  <c r="AU176" i="5"/>
  <c r="AU147" i="5"/>
  <c r="AU175" i="5"/>
  <c r="AV55" i="5"/>
  <c r="AW55" i="5" s="1"/>
  <c r="AX55" i="5" s="1"/>
  <c r="AY55" i="5" s="1"/>
  <c r="AZ55" i="5" s="1"/>
  <c r="AF138" i="4"/>
  <c r="AG204" i="4" s="1"/>
  <c r="AF135" i="4"/>
  <c r="AF136" i="4"/>
  <c r="AE214" i="4"/>
  <c r="AE215" i="4"/>
  <c r="AE321" i="4"/>
  <c r="AV260" i="4"/>
  <c r="AU255" i="4"/>
  <c r="AH322" i="4"/>
  <c r="AH326" i="4"/>
  <c r="AH327" i="4" s="1"/>
  <c r="AF87" i="4"/>
  <c r="AF11" i="4" s="1"/>
  <c r="AF353" i="4"/>
  <c r="AM362" i="4"/>
  <c r="AF214" i="4"/>
  <c r="AF215" i="4"/>
  <c r="AF321" i="4"/>
  <c r="AG210" i="4"/>
  <c r="AT256" i="4"/>
  <c r="AT261" i="4"/>
  <c r="AE85" i="4"/>
  <c r="AE7" i="4" s="1"/>
  <c r="AE8" i="4" s="1"/>
  <c r="AE304" i="4"/>
  <c r="AE349" i="4"/>
  <c r="AE360" i="4" s="1"/>
  <c r="Q225" i="4" l="1"/>
  <c r="AI107" i="4"/>
  <c r="AI109" i="4" s="1"/>
  <c r="I57" i="4"/>
  <c r="I68" i="4"/>
  <c r="AF233" i="6"/>
  <c r="AF231" i="6"/>
  <c r="AX129" i="4"/>
  <c r="AW199" i="4"/>
  <c r="I215" i="4"/>
  <c r="J138" i="4"/>
  <c r="J269" i="5" s="1"/>
  <c r="J271" i="5" s="1"/>
  <c r="J46" i="4"/>
  <c r="J67" i="4" s="1"/>
  <c r="J318" i="4"/>
  <c r="AE248" i="4"/>
  <c r="AE173" i="4"/>
  <c r="AE139" i="4"/>
  <c r="AE225" i="4"/>
  <c r="AE140" i="4"/>
  <c r="AE249" i="4"/>
  <c r="AE269" i="5"/>
  <c r="AE271" i="5" s="1"/>
  <c r="AE222" i="4"/>
  <c r="AD171" i="4"/>
  <c r="AD202" i="4"/>
  <c r="AD138" i="4"/>
  <c r="AE204" i="4" s="1"/>
  <c r="AD216" i="4"/>
  <c r="AD270" i="4" s="1"/>
  <c r="AD136" i="4"/>
  <c r="AD219" i="4"/>
  <c r="AD252" i="4" s="1"/>
  <c r="AD135" i="4"/>
  <c r="AF215" i="6"/>
  <c r="X173" i="4"/>
  <c r="AF216" i="6"/>
  <c r="AF230" i="6" s="1"/>
  <c r="W171" i="4"/>
  <c r="W202" i="4"/>
  <c r="W219" i="4"/>
  <c r="W136" i="4"/>
  <c r="W216" i="4"/>
  <c r="W135" i="4"/>
  <c r="W138" i="4"/>
  <c r="AD321" i="4"/>
  <c r="AD214" i="4"/>
  <c r="AD215" i="4"/>
  <c r="AE220" i="4"/>
  <c r="AE253" i="4"/>
  <c r="AE252" i="4"/>
  <c r="AE221" i="4"/>
  <c r="S173" i="4"/>
  <c r="S248" i="4"/>
  <c r="S222" i="4"/>
  <c r="S139" i="4"/>
  <c r="S225" i="4"/>
  <c r="S249" i="4"/>
  <c r="S140" i="4"/>
  <c r="T173" i="4"/>
  <c r="T204" i="4"/>
  <c r="Z171" i="4"/>
  <c r="Z202" i="4"/>
  <c r="AA202" i="4"/>
  <c r="Z135" i="4"/>
  <c r="Z216" i="4"/>
  <c r="Z218" i="4" s="1"/>
  <c r="Z219" i="4"/>
  <c r="Z138" i="4"/>
  <c r="Z136" i="4"/>
  <c r="U204" i="4"/>
  <c r="AE217" i="4"/>
  <c r="AE270" i="4"/>
  <c r="AE218" i="4"/>
  <c r="AE251" i="4"/>
  <c r="AE250" i="4"/>
  <c r="V171" i="4"/>
  <c r="V202" i="4"/>
  <c r="V216" i="4"/>
  <c r="V217" i="4" s="1"/>
  <c r="V135" i="4"/>
  <c r="V219" i="4"/>
  <c r="V220" i="4" s="1"/>
  <c r="V138" i="4"/>
  <c r="V136" i="4"/>
  <c r="S220" i="4"/>
  <c r="S253" i="4"/>
  <c r="S221" i="4"/>
  <c r="S252" i="4"/>
  <c r="AF173" i="4"/>
  <c r="AF204" i="4"/>
  <c r="AB204" i="4"/>
  <c r="AB173" i="4"/>
  <c r="R171" i="4"/>
  <c r="R202" i="4"/>
  <c r="R219" i="4"/>
  <c r="R138" i="4"/>
  <c r="R135" i="4"/>
  <c r="R216" i="4"/>
  <c r="R270" i="4" s="1"/>
  <c r="R136" i="4"/>
  <c r="Y204" i="4"/>
  <c r="AC204" i="4"/>
  <c r="S250" i="4"/>
  <c r="S218" i="4"/>
  <c r="S270" i="4"/>
  <c r="S251" i="4"/>
  <c r="S217" i="4"/>
  <c r="J135" i="4"/>
  <c r="J171" i="4"/>
  <c r="J136" i="4"/>
  <c r="N179" i="4"/>
  <c r="I204" i="4"/>
  <c r="N198" i="4"/>
  <c r="H204" i="4"/>
  <c r="H173" i="4"/>
  <c r="G204" i="4"/>
  <c r="J297" i="4"/>
  <c r="J298" i="4" s="1"/>
  <c r="H248" i="4"/>
  <c r="H139" i="4"/>
  <c r="H249" i="4"/>
  <c r="H269" i="5"/>
  <c r="H271" i="5" s="1"/>
  <c r="H140" i="4"/>
  <c r="J335" i="4"/>
  <c r="F173" i="4"/>
  <c r="I269" i="5"/>
  <c r="I271" i="5" s="1"/>
  <c r="I173" i="4"/>
  <c r="I139" i="4"/>
  <c r="I249" i="4"/>
  <c r="I140" i="4"/>
  <c r="I248" i="4"/>
  <c r="G269" i="5"/>
  <c r="G271" i="5" s="1"/>
  <c r="G173" i="4"/>
  <c r="G140" i="4"/>
  <c r="G248" i="4"/>
  <c r="G249" i="4"/>
  <c r="G139" i="4"/>
  <c r="J52" i="4"/>
  <c r="F140" i="4"/>
  <c r="F139" i="4"/>
  <c r="F249" i="4"/>
  <c r="F248" i="4"/>
  <c r="AM34" i="4"/>
  <c r="AM8" i="4"/>
  <c r="AE35" i="4"/>
  <c r="AE26" i="4"/>
  <c r="X269" i="5"/>
  <c r="X271" i="5" s="1"/>
  <c r="X225" i="4"/>
  <c r="X222" i="4"/>
  <c r="Y227" i="4"/>
  <c r="Y226" i="4"/>
  <c r="Q226" i="4"/>
  <c r="Q227" i="4"/>
  <c r="AC224" i="4"/>
  <c r="AC223" i="4"/>
  <c r="AH224" i="4"/>
  <c r="AH223" i="4"/>
  <c r="Q223" i="4"/>
  <c r="Q224" i="4"/>
  <c r="T222" i="4"/>
  <c r="T225" i="4"/>
  <c r="AB222" i="4"/>
  <c r="AB225" i="4"/>
  <c r="U226" i="4"/>
  <c r="U227" i="4"/>
  <c r="Y224" i="4"/>
  <c r="Y223" i="4"/>
  <c r="AC226" i="4"/>
  <c r="AC227" i="4"/>
  <c r="AG226" i="4"/>
  <c r="AG227" i="4"/>
  <c r="AH227" i="4"/>
  <c r="AH226" i="4"/>
  <c r="AF269" i="5"/>
  <c r="AF271" i="5" s="1"/>
  <c r="AF222" i="4"/>
  <c r="AF225" i="4"/>
  <c r="U224" i="4"/>
  <c r="U223" i="4"/>
  <c r="AG224" i="4"/>
  <c r="AG223" i="4"/>
  <c r="AD152" i="6"/>
  <c r="AC152" i="6" s="1"/>
  <c r="AC150" i="6" s="1"/>
  <c r="AE243" i="6"/>
  <c r="AE153" i="6"/>
  <c r="AE182" i="6" s="1"/>
  <c r="AH165" i="6"/>
  <c r="AH37" i="6"/>
  <c r="AB248" i="4"/>
  <c r="AB269" i="5"/>
  <c r="AB271" i="5" s="1"/>
  <c r="AJ135" i="20"/>
  <c r="AJ134" i="20"/>
  <c r="AJ68" i="20"/>
  <c r="AJ50" i="20"/>
  <c r="AJ64" i="20"/>
  <c r="AJ46" i="20"/>
  <c r="AJ95" i="20"/>
  <c r="AJ130" i="6"/>
  <c r="AL39" i="4"/>
  <c r="AW175" i="21"/>
  <c r="I261" i="6"/>
  <c r="I256" i="6"/>
  <c r="I233" i="6"/>
  <c r="I258" i="6"/>
  <c r="AO223" i="6"/>
  <c r="AN222" i="6"/>
  <c r="AN225" i="6"/>
  <c r="AN224" i="6" s="1"/>
  <c r="I231" i="6"/>
  <c r="I232" i="6"/>
  <c r="I254" i="6"/>
  <c r="I236" i="6"/>
  <c r="AC236" i="6" s="1"/>
  <c r="I252" i="6"/>
  <c r="I246" i="6"/>
  <c r="AC246" i="6" s="1"/>
  <c r="I242" i="6"/>
  <c r="I250" i="6"/>
  <c r="I248" i="6"/>
  <c r="I237" i="6"/>
  <c r="I116" i="6" s="1"/>
  <c r="I152" i="20"/>
  <c r="I149" i="20"/>
  <c r="I135" i="20"/>
  <c r="AG166" i="6"/>
  <c r="AG167" i="6" s="1"/>
  <c r="AF13" i="8" s="1"/>
  <c r="AF25" i="8" s="1"/>
  <c r="AF37" i="8" s="1"/>
  <c r="AB270" i="4"/>
  <c r="AB140" i="4"/>
  <c r="AB139" i="4"/>
  <c r="AB253" i="4"/>
  <c r="AB249" i="4"/>
  <c r="AN219" i="6"/>
  <c r="K218" i="6"/>
  <c r="AM12" i="4"/>
  <c r="AM50" i="4"/>
  <c r="AM62" i="6"/>
  <c r="AM64" i="6" s="1"/>
  <c r="AM61" i="6" s="1"/>
  <c r="AM23" i="6"/>
  <c r="N55" i="5"/>
  <c r="AY14" i="5"/>
  <c r="AX236" i="5"/>
  <c r="AZ244" i="5"/>
  <c r="N36" i="5"/>
  <c r="N244" i="5" s="1"/>
  <c r="AT164" i="5"/>
  <c r="AT191" i="5"/>
  <c r="AX45" i="5"/>
  <c r="AW248" i="5"/>
  <c r="AX47" i="5"/>
  <c r="AW250" i="5"/>
  <c r="AW42" i="5"/>
  <c r="AX146" i="5"/>
  <c r="AT163" i="5"/>
  <c r="AT190" i="5"/>
  <c r="AX44" i="5"/>
  <c r="AW247" i="5"/>
  <c r="AX249" i="5"/>
  <c r="AY46" i="5"/>
  <c r="M161" i="5"/>
  <c r="AW161" i="5"/>
  <c r="AW188" i="5"/>
  <c r="AH45" i="4"/>
  <c r="AJ152" i="20"/>
  <c r="AJ151" i="20"/>
  <c r="AF29" i="4"/>
  <c r="AF38" i="4"/>
  <c r="AG38" i="4"/>
  <c r="AJ29" i="4"/>
  <c r="AV255" i="4"/>
  <c r="AV261" i="4" s="1"/>
  <c r="AW260" i="4"/>
  <c r="AJ148" i="20"/>
  <c r="AJ149" i="20"/>
  <c r="AJ177" i="20"/>
  <c r="AW189" i="6"/>
  <c r="AR14" i="6"/>
  <c r="AQ15" i="6"/>
  <c r="AG59" i="4"/>
  <c r="AG57" i="4"/>
  <c r="AG61" i="4"/>
  <c r="AG58" i="4"/>
  <c r="AG54" i="4"/>
  <c r="AE34" i="4"/>
  <c r="AE25" i="4"/>
  <c r="I214" i="4"/>
  <c r="I232" i="4" s="1"/>
  <c r="Y251" i="4"/>
  <c r="Y250" i="4"/>
  <c r="Y217" i="4"/>
  <c r="Y270" i="4"/>
  <c r="Y218" i="4"/>
  <c r="Z252" i="4"/>
  <c r="Z220" i="4"/>
  <c r="Z221" i="4"/>
  <c r="Z253" i="4"/>
  <c r="X249" i="4"/>
  <c r="X139" i="4"/>
  <c r="X248" i="4"/>
  <c r="X140" i="4"/>
  <c r="V252" i="4"/>
  <c r="V253" i="4"/>
  <c r="AC218" i="4"/>
  <c r="AC251" i="4"/>
  <c r="AC217" i="4"/>
  <c r="AC270" i="4"/>
  <c r="AC250" i="4"/>
  <c r="U218" i="4"/>
  <c r="U251" i="4"/>
  <c r="U217" i="4"/>
  <c r="U270" i="4"/>
  <c r="U250" i="4"/>
  <c r="Z270" i="4"/>
  <c r="AN197" i="6"/>
  <c r="AM15" i="8" s="1"/>
  <c r="AM27" i="8" s="1"/>
  <c r="AM39" i="8" s="1"/>
  <c r="AR196" i="6"/>
  <c r="AD220" i="4"/>
  <c r="Q253" i="4"/>
  <c r="Q221" i="4"/>
  <c r="Q252" i="4"/>
  <c r="Q220" i="4"/>
  <c r="Y252" i="4"/>
  <c r="Y253" i="4"/>
  <c r="Y220" i="4"/>
  <c r="Y221" i="4"/>
  <c r="U252" i="4"/>
  <c r="U220" i="4"/>
  <c r="U253" i="4"/>
  <c r="U221" i="4"/>
  <c r="R250" i="4"/>
  <c r="T249" i="4"/>
  <c r="T139" i="4"/>
  <c r="T248" i="4"/>
  <c r="T140" i="4"/>
  <c r="AD218" i="4"/>
  <c r="AG250" i="4"/>
  <c r="AG270" i="4"/>
  <c r="AG251" i="4"/>
  <c r="AG217" i="4"/>
  <c r="AG218" i="4"/>
  <c r="AC252" i="4"/>
  <c r="AC220" i="4"/>
  <c r="AC253" i="4"/>
  <c r="AC221" i="4"/>
  <c r="AH252" i="4"/>
  <c r="AH253" i="4"/>
  <c r="AH221" i="4"/>
  <c r="AH220" i="4"/>
  <c r="AH217" i="4"/>
  <c r="AH270" i="4"/>
  <c r="AH251" i="4"/>
  <c r="AH218" i="4"/>
  <c r="AH250" i="4"/>
  <c r="V251" i="4"/>
  <c r="AG221" i="4"/>
  <c r="AG253" i="4"/>
  <c r="AG252" i="4"/>
  <c r="AG220" i="4"/>
  <c r="R253" i="4"/>
  <c r="R252" i="4"/>
  <c r="R221" i="4"/>
  <c r="R220" i="4"/>
  <c r="Q218" i="4"/>
  <c r="Q251" i="4"/>
  <c r="Q250" i="4"/>
  <c r="Q217" i="4"/>
  <c r="Q270" i="4"/>
  <c r="I43" i="6"/>
  <c r="AG43" i="6"/>
  <c r="AG44" i="6" s="1"/>
  <c r="AG39" i="6"/>
  <c r="AG42" i="6"/>
  <c r="AG40" i="6"/>
  <c r="AJ217" i="6"/>
  <c r="AF217" i="6"/>
  <c r="AF182" i="6"/>
  <c r="AU189" i="5"/>
  <c r="AU162" i="5"/>
  <c r="I215" i="6"/>
  <c r="J215" i="6"/>
  <c r="AV247" i="5"/>
  <c r="M44" i="5"/>
  <c r="M247" i="5" s="1"/>
  <c r="AJ215" i="5"/>
  <c r="AJ218" i="5"/>
  <c r="AK218" i="5" s="1"/>
  <c r="AV160" i="5"/>
  <c r="AV187" i="5"/>
  <c r="M187" i="5" s="1"/>
  <c r="AF218" i="5"/>
  <c r="AF215" i="5"/>
  <c r="AE80" i="6"/>
  <c r="AE79" i="6"/>
  <c r="AE20" i="6"/>
  <c r="AE18" i="6"/>
  <c r="AT196" i="6"/>
  <c r="AP218" i="6"/>
  <c r="AE17" i="6"/>
  <c r="Z13" i="6"/>
  <c r="AV190" i="6"/>
  <c r="AD66" i="6"/>
  <c r="AD57" i="6"/>
  <c r="AQ196" i="6"/>
  <c r="AM197" i="6"/>
  <c r="AL15" i="8" s="1"/>
  <c r="AL27" i="8" s="1"/>
  <c r="AL39" i="8" s="1"/>
  <c r="AD23" i="6"/>
  <c r="T15" i="6"/>
  <c r="U14" i="6"/>
  <c r="U12" i="6" s="1"/>
  <c r="AE67" i="6"/>
  <c r="AE65" i="6" s="1"/>
  <c r="AE23" i="6" s="1"/>
  <c r="AE77" i="6"/>
  <c r="M190" i="6"/>
  <c r="AV147" i="5"/>
  <c r="AV175" i="5"/>
  <c r="M175" i="5" s="1"/>
  <c r="AV148" i="5"/>
  <c r="AV176" i="5"/>
  <c r="M176" i="5" s="1"/>
  <c r="AU156" i="5"/>
  <c r="AU183" i="5"/>
  <c r="AU149" i="5"/>
  <c r="AU177" i="5"/>
  <c r="AV42" i="5"/>
  <c r="M146" i="5"/>
  <c r="AU159" i="5"/>
  <c r="AU186" i="5"/>
  <c r="AU207" i="5"/>
  <c r="M55" i="5"/>
  <c r="M268" i="5" s="1"/>
  <c r="AU208" i="5"/>
  <c r="AF326" i="4"/>
  <c r="AF327" i="4" s="1"/>
  <c r="AF322" i="4"/>
  <c r="AF301" i="4"/>
  <c r="AF73" i="6" s="1"/>
  <c r="AU261" i="4"/>
  <c r="AU256" i="4"/>
  <c r="AG211" i="4"/>
  <c r="AG213" i="4"/>
  <c r="AG212" i="4"/>
  <c r="AH329" i="4"/>
  <c r="AH303" i="4" s="1"/>
  <c r="AG10" i="8" s="1"/>
  <c r="AG22" i="8" s="1"/>
  <c r="AG34" i="8" s="1"/>
  <c r="AH335" i="4"/>
  <c r="AE322" i="4"/>
  <c r="AE326" i="4"/>
  <c r="AE327" i="4" s="1"/>
  <c r="AF140" i="4"/>
  <c r="AF139" i="4"/>
  <c r="AF248" i="4"/>
  <c r="AF249" i="4"/>
  <c r="AJ317" i="21" l="1"/>
  <c r="AJ106" i="4"/>
  <c r="AI111" i="4"/>
  <c r="AI156" i="4"/>
  <c r="AI187" i="4"/>
  <c r="V270" i="4"/>
  <c r="V218" i="4"/>
  <c r="R217" i="4"/>
  <c r="Z251" i="4"/>
  <c r="V250" i="4"/>
  <c r="R218" i="4"/>
  <c r="R251" i="4"/>
  <c r="Z250" i="4"/>
  <c r="Z217" i="4"/>
  <c r="AD217" i="4"/>
  <c r="AD250" i="4"/>
  <c r="AD251" i="4"/>
  <c r="AH52" i="4"/>
  <c r="I216" i="6"/>
  <c r="I186" i="6" s="1"/>
  <c r="I187" i="6" s="1"/>
  <c r="AY129" i="4"/>
  <c r="AX199" i="4"/>
  <c r="J249" i="4"/>
  <c r="J139" i="4"/>
  <c r="J47" i="4"/>
  <c r="J68" i="4" s="1"/>
  <c r="J53" i="4"/>
  <c r="J173" i="4"/>
  <c r="J204" i="4"/>
  <c r="G219" i="4"/>
  <c r="J140" i="4"/>
  <c r="J248" i="4"/>
  <c r="W173" i="4"/>
  <c r="W204" i="4"/>
  <c r="W248" i="4"/>
  <c r="W269" i="5"/>
  <c r="W271" i="5" s="1"/>
  <c r="W249" i="4"/>
  <c r="W222" i="4"/>
  <c r="W139" i="4"/>
  <c r="W225" i="4"/>
  <c r="W140" i="4"/>
  <c r="AD253" i="4"/>
  <c r="V221" i="4"/>
  <c r="AD326" i="4"/>
  <c r="AD327" i="4" s="1"/>
  <c r="AD322" i="4"/>
  <c r="AD173" i="4"/>
  <c r="AD204" i="4"/>
  <c r="AD269" i="5"/>
  <c r="AD271" i="5" s="1"/>
  <c r="AD249" i="4"/>
  <c r="AD225" i="4"/>
  <c r="AD139" i="4"/>
  <c r="AD222" i="4"/>
  <c r="I222" i="4" s="1"/>
  <c r="AD140" i="4"/>
  <c r="AD248" i="4"/>
  <c r="V173" i="4"/>
  <c r="V204" i="4"/>
  <c r="V269" i="5"/>
  <c r="V271" i="5" s="1"/>
  <c r="V272" i="5" s="1"/>
  <c r="V140" i="4"/>
  <c r="V225" i="4"/>
  <c r="V249" i="4"/>
  <c r="V222" i="4"/>
  <c r="V248" i="4"/>
  <c r="V139" i="4"/>
  <c r="S224" i="4"/>
  <c r="S223" i="4"/>
  <c r="W220" i="4"/>
  <c r="W253" i="4"/>
  <c r="W221" i="4"/>
  <c r="W252" i="4"/>
  <c r="AD221" i="4"/>
  <c r="R173" i="4"/>
  <c r="R204" i="4"/>
  <c r="R222" i="4"/>
  <c r="R139" i="4"/>
  <c r="R248" i="4"/>
  <c r="R249" i="4"/>
  <c r="R225" i="4"/>
  <c r="F225" i="4" s="1"/>
  <c r="R140" i="4"/>
  <c r="Z173" i="4"/>
  <c r="Z204" i="4"/>
  <c r="Z222" i="4"/>
  <c r="Z249" i="4"/>
  <c r="Z140" i="4"/>
  <c r="Z269" i="5"/>
  <c r="Z271" i="5" s="1"/>
  <c r="Z248" i="4"/>
  <c r="AA204" i="4"/>
  <c r="Z225" i="4"/>
  <c r="Z139" i="4"/>
  <c r="X204" i="4"/>
  <c r="S226" i="4"/>
  <c r="S227" i="4"/>
  <c r="S204" i="4"/>
  <c r="W217" i="4"/>
  <c r="W250" i="4"/>
  <c r="W218" i="4"/>
  <c r="W270" i="4"/>
  <c r="W251" i="4"/>
  <c r="AE224" i="4"/>
  <c r="AE223" i="4"/>
  <c r="AE226" i="4"/>
  <c r="AE227" i="4"/>
  <c r="G272" i="5"/>
  <c r="G273" i="5" s="1"/>
  <c r="AV256" i="4"/>
  <c r="AM13" i="4"/>
  <c r="AF227" i="4"/>
  <c r="AF226" i="4"/>
  <c r="AB227" i="4"/>
  <c r="AB226" i="4"/>
  <c r="T227" i="4"/>
  <c r="T226" i="4"/>
  <c r="X223" i="4"/>
  <c r="X224" i="4"/>
  <c r="AF223" i="4"/>
  <c r="AF224" i="4"/>
  <c r="AB223" i="4"/>
  <c r="AB224" i="4"/>
  <c r="T223" i="4"/>
  <c r="T224" i="4"/>
  <c r="X227" i="4"/>
  <c r="X226" i="4"/>
  <c r="AD150" i="6"/>
  <c r="AD192" i="6" s="1"/>
  <c r="AI165" i="6"/>
  <c r="AH43" i="6"/>
  <c r="AH44" i="6" s="1"/>
  <c r="AH40" i="6"/>
  <c r="AI37" i="6"/>
  <c r="N268" i="5"/>
  <c r="AX175" i="21"/>
  <c r="AO225" i="6"/>
  <c r="AO224" i="6" s="1"/>
  <c r="AP223" i="6"/>
  <c r="AO222" i="6"/>
  <c r="AO75" i="21" s="1"/>
  <c r="I239" i="6"/>
  <c r="I118" i="6" s="1"/>
  <c r="I92" i="20"/>
  <c r="I85" i="20" s="1"/>
  <c r="I87" i="20" s="1"/>
  <c r="AC243" i="6"/>
  <c r="K196" i="6"/>
  <c r="AP79" i="20"/>
  <c r="AD246" i="6"/>
  <c r="AC245" i="6"/>
  <c r="AD236" i="6"/>
  <c r="AC235" i="6"/>
  <c r="AB250" i="4"/>
  <c r="AB218" i="4"/>
  <c r="H216" i="4"/>
  <c r="AB217" i="4"/>
  <c r="AB251" i="4"/>
  <c r="AC153" i="6"/>
  <c r="AH166" i="6"/>
  <c r="AH167" i="6" s="1"/>
  <c r="AG13" i="8" s="1"/>
  <c r="AG25" i="8" s="1"/>
  <c r="AG37" i="8" s="1"/>
  <c r="K219" i="6"/>
  <c r="AB220" i="4"/>
  <c r="AB221" i="4"/>
  <c r="AB252" i="4"/>
  <c r="H219" i="4"/>
  <c r="AM39" i="4"/>
  <c r="AM59" i="6"/>
  <c r="AW147" i="5"/>
  <c r="AW175" i="5"/>
  <c r="AZ46" i="5"/>
  <c r="AY249" i="5"/>
  <c r="AY44" i="5"/>
  <c r="AX247" i="5"/>
  <c r="AX42" i="5"/>
  <c r="AY146" i="5"/>
  <c r="AZ14" i="5"/>
  <c r="AY236" i="5"/>
  <c r="M148" i="5"/>
  <c r="AW148" i="5"/>
  <c r="AW176" i="5"/>
  <c r="AY47" i="5"/>
  <c r="AX250" i="5"/>
  <c r="AU164" i="5"/>
  <c r="AU191" i="5"/>
  <c r="AU163" i="5"/>
  <c r="AU190" i="5"/>
  <c r="AX248" i="5"/>
  <c r="AY45" i="5"/>
  <c r="M160" i="5"/>
  <c r="AW160" i="5"/>
  <c r="AW187" i="5"/>
  <c r="AX161" i="5"/>
  <c r="AX188" i="5"/>
  <c r="AH313" i="4"/>
  <c r="AH73" i="4"/>
  <c r="J160" i="20"/>
  <c r="J159" i="20"/>
  <c r="I158" i="20"/>
  <c r="I177" i="20"/>
  <c r="I157" i="20"/>
  <c r="AW255" i="4"/>
  <c r="AX260" i="4"/>
  <c r="I159" i="20"/>
  <c r="I160" i="20"/>
  <c r="AF312" i="4"/>
  <c r="AF313" i="4" s="1"/>
  <c r="J158" i="20"/>
  <c r="J177" i="20"/>
  <c r="J157" i="20"/>
  <c r="AE312" i="4"/>
  <c r="AE45" i="4" s="1"/>
  <c r="AE52" i="4" s="1"/>
  <c r="AW218" i="6"/>
  <c r="AW79" i="20" s="1"/>
  <c r="AW73" i="20" s="1"/>
  <c r="AW190" i="6"/>
  <c r="AX189" i="6"/>
  <c r="AY189" i="6" s="1"/>
  <c r="AT218" i="6"/>
  <c r="AX196" i="6"/>
  <c r="AR15" i="6"/>
  <c r="AS14" i="6"/>
  <c r="AV196" i="6"/>
  <c r="AR218" i="6"/>
  <c r="T252" i="4"/>
  <c r="T220" i="4"/>
  <c r="T253" i="4"/>
  <c r="T221" i="4"/>
  <c r="F219" i="4"/>
  <c r="G216" i="4"/>
  <c r="X250" i="4"/>
  <c r="X218" i="4"/>
  <c r="X270" i="4"/>
  <c r="X217" i="4"/>
  <c r="X251" i="4"/>
  <c r="F216" i="4"/>
  <c r="T250" i="4"/>
  <c r="T217" i="4"/>
  <c r="T218" i="4"/>
  <c r="T270" i="4"/>
  <c r="T251" i="4"/>
  <c r="X252" i="4"/>
  <c r="X253" i="4"/>
  <c r="X221" i="4"/>
  <c r="X220" i="4"/>
  <c r="AH42" i="6"/>
  <c r="AI42" i="6"/>
  <c r="AF253" i="4"/>
  <c r="AF252" i="4"/>
  <c r="AH39" i="6"/>
  <c r="AI39" i="6"/>
  <c r="AF221" i="4"/>
  <c r="AF220" i="4"/>
  <c r="I219" i="4"/>
  <c r="AL218" i="5"/>
  <c r="AV162" i="5"/>
  <c r="AV189" i="5"/>
  <c r="M189" i="5" s="1"/>
  <c r="Y13" i="6"/>
  <c r="AD58" i="6"/>
  <c r="AD59" i="6"/>
  <c r="AD21" i="6"/>
  <c r="AE24" i="6"/>
  <c r="T14" i="6"/>
  <c r="T12" i="6" s="1"/>
  <c r="X13" i="6" s="1"/>
  <c r="S15" i="6"/>
  <c r="AD24" i="6"/>
  <c r="AU196" i="6"/>
  <c r="AQ218" i="6"/>
  <c r="AQ79" i="20" s="1"/>
  <c r="AP219" i="6"/>
  <c r="AF16" i="6"/>
  <c r="AF19" i="6"/>
  <c r="AF75" i="6"/>
  <c r="AF74" i="6"/>
  <c r="I73" i="6"/>
  <c r="AE66" i="6"/>
  <c r="AE57" i="6"/>
  <c r="AV208" i="5"/>
  <c r="AW208" i="5" s="1"/>
  <c r="AX208" i="5" s="1"/>
  <c r="AY208" i="5" s="1"/>
  <c r="AZ208" i="5" s="1"/>
  <c r="M42" i="5"/>
  <c r="AV149" i="5"/>
  <c r="AV177" i="5"/>
  <c r="M177" i="5" s="1"/>
  <c r="AV207" i="5"/>
  <c r="AW207" i="5" s="1"/>
  <c r="AX207" i="5" s="1"/>
  <c r="AY207" i="5" s="1"/>
  <c r="AZ207" i="5" s="1"/>
  <c r="M147" i="5"/>
  <c r="AV159" i="5"/>
  <c r="AV186" i="5"/>
  <c r="M186" i="5" s="1"/>
  <c r="AV156" i="5"/>
  <c r="AV183" i="5"/>
  <c r="M183" i="5" s="1"/>
  <c r="AF85" i="4"/>
  <c r="AF7" i="4" s="1"/>
  <c r="AF8" i="4" s="1"/>
  <c r="AF304" i="4"/>
  <c r="AF349" i="4"/>
  <c r="AF360" i="4" s="1"/>
  <c r="AG304" i="4"/>
  <c r="AF335" i="4"/>
  <c r="AF329" i="4"/>
  <c r="AF303" i="4" s="1"/>
  <c r="AE10" i="8" s="1"/>
  <c r="AE22" i="8" s="1"/>
  <c r="AE34" i="8" s="1"/>
  <c r="AP354" i="4"/>
  <c r="AF270" i="4"/>
  <c r="AF217" i="4"/>
  <c r="AF250" i="4"/>
  <c r="AF251" i="4"/>
  <c r="AF218" i="4"/>
  <c r="I216" i="4"/>
  <c r="AE329" i="4"/>
  <c r="AE303" i="4" s="1"/>
  <c r="AD10" i="8" s="1"/>
  <c r="AD22" i="8" s="1"/>
  <c r="AD34" i="8" s="1"/>
  <c r="AE335" i="4"/>
  <c r="AG215" i="4"/>
  <c r="AG321" i="4"/>
  <c r="AG214" i="4"/>
  <c r="I243" i="4" l="1"/>
  <c r="AJ107" i="4"/>
  <c r="AJ109" i="4" s="1"/>
  <c r="AI188" i="4"/>
  <c r="AI113" i="4"/>
  <c r="AI157" i="4"/>
  <c r="AI112" i="4"/>
  <c r="AI207" i="4"/>
  <c r="AI122" i="4"/>
  <c r="AI144" i="4" s="1"/>
  <c r="I217" i="6"/>
  <c r="I230" i="6"/>
  <c r="J217" i="6"/>
  <c r="AZ129" i="4"/>
  <c r="AZ199" i="4" s="1"/>
  <c r="AY199" i="4"/>
  <c r="I242" i="4"/>
  <c r="H243" i="4"/>
  <c r="H242" i="4"/>
  <c r="G243" i="4"/>
  <c r="G242" i="4"/>
  <c r="I224" i="4"/>
  <c r="H220" i="4"/>
  <c r="H234" i="4" s="1"/>
  <c r="H217" i="4"/>
  <c r="H233" i="4" s="1"/>
  <c r="G252" i="4"/>
  <c r="J59" i="4"/>
  <c r="J61" i="4"/>
  <c r="J60" i="4"/>
  <c r="J58" i="4"/>
  <c r="J57" i="4"/>
  <c r="G253" i="4"/>
  <c r="G220" i="4"/>
  <c r="G234" i="4" s="1"/>
  <c r="G221" i="4"/>
  <c r="I223" i="4"/>
  <c r="I235" i="4" s="1"/>
  <c r="F226" i="4"/>
  <c r="F236" i="4" s="1"/>
  <c r="F227" i="4"/>
  <c r="Z226" i="4"/>
  <c r="Z227" i="4"/>
  <c r="V227" i="4"/>
  <c r="V226" i="4"/>
  <c r="W226" i="4"/>
  <c r="W227" i="4"/>
  <c r="H225" i="4"/>
  <c r="G225" i="4"/>
  <c r="Z224" i="4"/>
  <c r="Z223" i="4"/>
  <c r="H222" i="4"/>
  <c r="I244" i="4" s="1"/>
  <c r="R227" i="4"/>
  <c r="R226" i="4"/>
  <c r="R224" i="4"/>
  <c r="R223" i="4"/>
  <c r="V224" i="4"/>
  <c r="V223" i="4"/>
  <c r="V273" i="5"/>
  <c r="W267" i="5"/>
  <c r="W272" i="5" s="1"/>
  <c r="AD226" i="4"/>
  <c r="AD227" i="4"/>
  <c r="F222" i="4"/>
  <c r="I225" i="4"/>
  <c r="W223" i="4"/>
  <c r="W224" i="4"/>
  <c r="G222" i="4"/>
  <c r="G244" i="4" s="1"/>
  <c r="AD223" i="4"/>
  <c r="AD224" i="4"/>
  <c r="AD329" i="4"/>
  <c r="AD303" i="4" s="1"/>
  <c r="AD312" i="4"/>
  <c r="AC312" i="4" s="1"/>
  <c r="AC45" i="4" s="1"/>
  <c r="AG66" i="4" s="1"/>
  <c r="AD335" i="4"/>
  <c r="H267" i="5"/>
  <c r="H272" i="5" s="1"/>
  <c r="H273" i="5" s="1"/>
  <c r="AM22" i="4"/>
  <c r="AM19" i="4"/>
  <c r="AM18" i="4"/>
  <c r="AM20" i="4"/>
  <c r="AF35" i="4"/>
  <c r="AF26" i="4"/>
  <c r="AG35" i="4"/>
  <c r="AM21" i="4"/>
  <c r="AM17" i="4"/>
  <c r="AD243" i="6"/>
  <c r="I150" i="6"/>
  <c r="AD153" i="6"/>
  <c r="AD182" i="6" s="1"/>
  <c r="AQ73" i="20"/>
  <c r="AP73" i="20"/>
  <c r="AP307" i="21"/>
  <c r="AQ307" i="21" s="1"/>
  <c r="AY175" i="21"/>
  <c r="AQ223" i="6"/>
  <c r="AP222" i="6"/>
  <c r="AP225" i="6"/>
  <c r="AP224" i="6" s="1"/>
  <c r="AO216" i="21"/>
  <c r="AF45" i="4"/>
  <c r="AF52" i="4" s="1"/>
  <c r="I240" i="6"/>
  <c r="I93" i="20"/>
  <c r="I176" i="20"/>
  <c r="J88" i="20"/>
  <c r="I88" i="20"/>
  <c r="I139" i="20"/>
  <c r="I101" i="20"/>
  <c r="I142" i="20"/>
  <c r="I112" i="20"/>
  <c r="I145" i="20"/>
  <c r="I125" i="20"/>
  <c r="I129" i="20"/>
  <c r="I148" i="20"/>
  <c r="I151" i="20"/>
  <c r="I134" i="20"/>
  <c r="AC182" i="6"/>
  <c r="AR79" i="20"/>
  <c r="AR73" i="20" s="1"/>
  <c r="AT354" i="4"/>
  <c r="AT79" i="20"/>
  <c r="AT73" i="20" s="1"/>
  <c r="AC239" i="6"/>
  <c r="AE246" i="6"/>
  <c r="AD245" i="6"/>
  <c r="H218" i="4"/>
  <c r="AE236" i="6"/>
  <c r="AD235" i="6"/>
  <c r="H251" i="4"/>
  <c r="H250" i="4"/>
  <c r="H270" i="4"/>
  <c r="AI166" i="6"/>
  <c r="AI167" i="6" s="1"/>
  <c r="AH13" i="8" s="1"/>
  <c r="AH25" i="8" s="1"/>
  <c r="AH37" i="8" s="1"/>
  <c r="H221" i="4"/>
  <c r="H253" i="4"/>
  <c r="H252" i="4"/>
  <c r="AM16" i="4"/>
  <c r="I349" i="4"/>
  <c r="I360" i="4" s="1"/>
  <c r="AZ47" i="5"/>
  <c r="AY250" i="5"/>
  <c r="AZ236" i="5"/>
  <c r="N14" i="5"/>
  <c r="N236" i="5" s="1"/>
  <c r="AY247" i="5"/>
  <c r="AZ44" i="5"/>
  <c r="AZ249" i="5"/>
  <c r="N46" i="5"/>
  <c r="N249" i="5" s="1"/>
  <c r="M149" i="5"/>
  <c r="AW149" i="5"/>
  <c r="AW150" i="5" s="1"/>
  <c r="AW177" i="5"/>
  <c r="AX148" i="5"/>
  <c r="AX176" i="5"/>
  <c r="AZ146" i="5"/>
  <c r="AY42" i="5"/>
  <c r="AV163" i="5"/>
  <c r="AV190" i="5"/>
  <c r="M190" i="5" s="1"/>
  <c r="AV164" i="5"/>
  <c r="AV191" i="5"/>
  <c r="M191" i="5" s="1"/>
  <c r="AX147" i="5"/>
  <c r="AX175" i="5"/>
  <c r="M156" i="5"/>
  <c r="AW156" i="5"/>
  <c r="AW183" i="5"/>
  <c r="AZ45" i="5"/>
  <c r="AY248" i="5"/>
  <c r="M159" i="5"/>
  <c r="AW159" i="5"/>
  <c r="AW186" i="5"/>
  <c r="M162" i="5"/>
  <c r="AW162" i="5"/>
  <c r="AW189" i="5"/>
  <c r="AX160" i="5"/>
  <c r="AX187" i="5"/>
  <c r="AY161" i="5"/>
  <c r="AY188" i="5"/>
  <c r="AE313" i="4"/>
  <c r="AW256" i="4"/>
  <c r="AW261" i="4"/>
  <c r="AX255" i="4"/>
  <c r="AY260" i="4"/>
  <c r="AW354" i="4"/>
  <c r="AT219" i="6"/>
  <c r="AQ219" i="6"/>
  <c r="AW219" i="6"/>
  <c r="AX218" i="6"/>
  <c r="AX79" i="20" s="1"/>
  <c r="AX73" i="20" s="1"/>
  <c r="AX190" i="6"/>
  <c r="AY190" i="6"/>
  <c r="AZ189" i="6"/>
  <c r="AV218" i="6"/>
  <c r="AV79" i="20" s="1"/>
  <c r="AV73" i="20" s="1"/>
  <c r="AZ196" i="6"/>
  <c r="AU218" i="6"/>
  <c r="AU79" i="20" s="1"/>
  <c r="AU73" i="20" s="1"/>
  <c r="AY196" i="6"/>
  <c r="AS15" i="6"/>
  <c r="AT14" i="6"/>
  <c r="AF34" i="4"/>
  <c r="AF25" i="4"/>
  <c r="AG34" i="4"/>
  <c r="F218" i="4"/>
  <c r="F217" i="4"/>
  <c r="F233" i="4" s="1"/>
  <c r="F250" i="4"/>
  <c r="F251" i="4"/>
  <c r="F270" i="4"/>
  <c r="AR219" i="6"/>
  <c r="AR354" i="4"/>
  <c r="F252" i="4"/>
  <c r="F253" i="4"/>
  <c r="F221" i="4"/>
  <c r="F220" i="4"/>
  <c r="F234" i="4" s="1"/>
  <c r="G251" i="4"/>
  <c r="G218" i="4"/>
  <c r="G250" i="4"/>
  <c r="G217" i="4"/>
  <c r="G233" i="4" s="1"/>
  <c r="G270" i="4"/>
  <c r="AI43" i="6"/>
  <c r="AI44" i="6" s="1"/>
  <c r="AI40" i="6"/>
  <c r="J164" i="6"/>
  <c r="J169" i="6"/>
  <c r="J41" i="6"/>
  <c r="AJ39" i="6"/>
  <c r="I252" i="4"/>
  <c r="I253" i="4"/>
  <c r="I221" i="4"/>
  <c r="I220" i="4"/>
  <c r="I234" i="4" s="1"/>
  <c r="AM218" i="5"/>
  <c r="AF17" i="6"/>
  <c r="AD60" i="6"/>
  <c r="AD69" i="6"/>
  <c r="I16" i="6"/>
  <c r="I19" i="6"/>
  <c r="I74" i="6"/>
  <c r="AF77" i="6"/>
  <c r="L218" i="6"/>
  <c r="S14" i="6"/>
  <c r="S12" i="6" s="1"/>
  <c r="W13" i="6" s="1"/>
  <c r="R15" i="6"/>
  <c r="AD22" i="6"/>
  <c r="AE58" i="6"/>
  <c r="AE59" i="6"/>
  <c r="AE21" i="6"/>
  <c r="AF78" i="6"/>
  <c r="AF18" i="6"/>
  <c r="AF20" i="6"/>
  <c r="AG340" i="4"/>
  <c r="AG322" i="4"/>
  <c r="AE302" i="4"/>
  <c r="AE43" i="4" s="1"/>
  <c r="AQ354" i="4"/>
  <c r="I270" i="4"/>
  <c r="I217" i="4"/>
  <c r="I233" i="4" s="1"/>
  <c r="I218" i="4"/>
  <c r="I250" i="4"/>
  <c r="I251" i="4"/>
  <c r="AF302" i="4"/>
  <c r="AF43" i="4" s="1"/>
  <c r="G245" i="4" l="1"/>
  <c r="I245" i="4"/>
  <c r="H226" i="4"/>
  <c r="H236" i="4" s="1"/>
  <c r="AJ111" i="4"/>
  <c r="AJ156" i="4"/>
  <c r="AJ187" i="4"/>
  <c r="AI208" i="4"/>
  <c r="AI209" i="4"/>
  <c r="AI195" i="4"/>
  <c r="AI123" i="4"/>
  <c r="AI124" i="4"/>
  <c r="AI131" i="4"/>
  <c r="AI164" i="4"/>
  <c r="AI210" i="4"/>
  <c r="N129" i="4"/>
  <c r="H245" i="4"/>
  <c r="H244" i="4"/>
  <c r="H227" i="4"/>
  <c r="AC10" i="8"/>
  <c r="AC22" i="8" s="1"/>
  <c r="AC34" i="8" s="1"/>
  <c r="AD302" i="4"/>
  <c r="AD43" i="4" s="1"/>
  <c r="AD50" i="4" s="1"/>
  <c r="AD45" i="4"/>
  <c r="AH66" i="4" s="1"/>
  <c r="AD313" i="4"/>
  <c r="G224" i="4"/>
  <c r="G223" i="4"/>
  <c r="G235" i="4" s="1"/>
  <c r="F224" i="4"/>
  <c r="F223" i="4"/>
  <c r="F235" i="4" s="1"/>
  <c r="G226" i="4"/>
  <c r="G236" i="4" s="1"/>
  <c r="G227" i="4"/>
  <c r="I227" i="4"/>
  <c r="I226" i="4"/>
  <c r="I236" i="4" s="1"/>
  <c r="X267" i="5"/>
  <c r="X272" i="5" s="1"/>
  <c r="W273" i="5"/>
  <c r="H223" i="4"/>
  <c r="H235" i="4" s="1"/>
  <c r="H224" i="4"/>
  <c r="I267" i="5"/>
  <c r="I272" i="5" s="1"/>
  <c r="I273" i="5" s="1"/>
  <c r="I153" i="6"/>
  <c r="AO165" i="6"/>
  <c r="AS165" i="6" s="1"/>
  <c r="AW165" i="6" s="1"/>
  <c r="AF73" i="4"/>
  <c r="AG73" i="4"/>
  <c r="J36" i="6"/>
  <c r="J43" i="6" s="1"/>
  <c r="J44" i="6" s="1"/>
  <c r="AR307" i="21"/>
  <c r="AS307" i="21" s="1"/>
  <c r="AT307" i="21" s="1"/>
  <c r="AU307" i="21" s="1"/>
  <c r="AV307" i="21" s="1"/>
  <c r="AW307" i="21" s="1"/>
  <c r="AX307" i="21" s="1"/>
  <c r="AP216" i="21"/>
  <c r="AP199" i="21" s="1"/>
  <c r="AP75" i="21"/>
  <c r="AZ175" i="21"/>
  <c r="AO199" i="21"/>
  <c r="AO187" i="21" s="1"/>
  <c r="AO204" i="21"/>
  <c r="AO213" i="21"/>
  <c r="AQ225" i="6"/>
  <c r="AQ224" i="6" s="1"/>
  <c r="AQ222" i="6"/>
  <c r="AQ75" i="21" s="1"/>
  <c r="AR223" i="6"/>
  <c r="N189" i="6"/>
  <c r="AD239" i="6"/>
  <c r="AF246" i="6"/>
  <c r="AF245" i="6" s="1"/>
  <c r="AE245" i="6"/>
  <c r="AF236" i="6"/>
  <c r="AF235" i="6" s="1"/>
  <c r="AE235" i="6"/>
  <c r="AJ152" i="6"/>
  <c r="AG152" i="6" s="1"/>
  <c r="AC313" i="4"/>
  <c r="AY148" i="5"/>
  <c r="AY176" i="5"/>
  <c r="AZ248" i="5"/>
  <c r="N45" i="5"/>
  <c r="N248" i="5" s="1"/>
  <c r="AX156" i="5"/>
  <c r="AX183" i="5"/>
  <c r="AY147" i="5"/>
  <c r="AY175" i="5"/>
  <c r="AW190" i="5"/>
  <c r="AW163" i="5"/>
  <c r="M163" i="5"/>
  <c r="AZ42" i="5"/>
  <c r="N42" i="5" s="1"/>
  <c r="N146" i="5"/>
  <c r="AX149" i="5"/>
  <c r="AX177" i="5"/>
  <c r="AZ250" i="5"/>
  <c r="N47" i="5"/>
  <c r="N250" i="5" s="1"/>
  <c r="AW191" i="5"/>
  <c r="AW164" i="5"/>
  <c r="M164" i="5"/>
  <c r="AZ247" i="5"/>
  <c r="N44" i="5"/>
  <c r="N247" i="5" s="1"/>
  <c r="AC332" i="4"/>
  <c r="AC52" i="4"/>
  <c r="AZ161" i="5"/>
  <c r="AZ188" i="5"/>
  <c r="N188" i="5" s="1"/>
  <c r="AX162" i="5"/>
  <c r="AX189" i="5"/>
  <c r="AX159" i="5"/>
  <c r="AW39" i="5"/>
  <c r="AX186" i="5"/>
  <c r="AY160" i="5"/>
  <c r="AY187" i="5"/>
  <c r="AY255" i="4"/>
  <c r="AZ260" i="4"/>
  <c r="AX256" i="4"/>
  <c r="AX261" i="4"/>
  <c r="AU219" i="6"/>
  <c r="AV354" i="4"/>
  <c r="AX219" i="6"/>
  <c r="AU354" i="4"/>
  <c r="AX354" i="4"/>
  <c r="AY218" i="6"/>
  <c r="AY79" i="20" s="1"/>
  <c r="AY73" i="20" s="1"/>
  <c r="M218" i="6"/>
  <c r="AV219" i="6"/>
  <c r="AZ218" i="6"/>
  <c r="AZ190" i="6"/>
  <c r="AU14" i="6"/>
  <c r="AT15" i="6"/>
  <c r="AG71" i="4"/>
  <c r="AF50" i="4"/>
  <c r="AF71" i="4"/>
  <c r="AE50" i="4"/>
  <c r="L354" i="4"/>
  <c r="J42" i="6"/>
  <c r="J38" i="6"/>
  <c r="AO42" i="6"/>
  <c r="AJ165" i="6"/>
  <c r="AJ154" i="6"/>
  <c r="AJ42" i="6"/>
  <c r="AJ40" i="6"/>
  <c r="AJ166" i="6"/>
  <c r="AJ37" i="6"/>
  <c r="AJ43" i="6"/>
  <c r="AO39" i="6"/>
  <c r="AO150" i="6"/>
  <c r="AO192" i="6" s="1"/>
  <c r="AE60" i="6"/>
  <c r="AE69" i="6"/>
  <c r="Q15" i="6"/>
  <c r="Q14" i="6" s="1"/>
  <c r="Q12" i="6" s="1"/>
  <c r="U13" i="6" s="1"/>
  <c r="R14" i="6"/>
  <c r="R12" i="6" s="1"/>
  <c r="V13" i="6" s="1"/>
  <c r="AF80" i="6"/>
  <c r="AF79" i="6"/>
  <c r="L219" i="6"/>
  <c r="L196" i="6"/>
  <c r="I20" i="6"/>
  <c r="AE22" i="6"/>
  <c r="AF67" i="6"/>
  <c r="AF65" i="6" s="1"/>
  <c r="AF23" i="6" s="1"/>
  <c r="AF24" i="6" s="1"/>
  <c r="I17" i="6"/>
  <c r="AG333" i="4"/>
  <c r="AG335" i="4" s="1"/>
  <c r="AJ207" i="4" l="1"/>
  <c r="AJ113" i="4"/>
  <c r="AJ157" i="4"/>
  <c r="AJ122" i="4"/>
  <c r="AJ144" i="4" s="1"/>
  <c r="AJ112" i="4"/>
  <c r="AJ188" i="4"/>
  <c r="AI213" i="4"/>
  <c r="AI212" i="4"/>
  <c r="AI211" i="4"/>
  <c r="AI200" i="4"/>
  <c r="AI134" i="4"/>
  <c r="AI169" i="4"/>
  <c r="AI133" i="4"/>
  <c r="AD73" i="4"/>
  <c r="N199" i="4"/>
  <c r="AC302" i="4"/>
  <c r="AE71" i="4"/>
  <c r="AD52" i="4"/>
  <c r="AE73" i="4"/>
  <c r="X273" i="5"/>
  <c r="Y267" i="5"/>
  <c r="Y272" i="5" s="1"/>
  <c r="J267" i="5"/>
  <c r="J272" i="5" s="1"/>
  <c r="J273" i="5" s="1"/>
  <c r="AL165" i="6"/>
  <c r="AL124" i="6"/>
  <c r="AP124" i="6" s="1"/>
  <c r="AT124" i="6" s="1"/>
  <c r="AK165" i="6"/>
  <c r="AK124" i="6"/>
  <c r="AO124" i="6" s="1"/>
  <c r="AO37" i="6"/>
  <c r="AK37" i="6"/>
  <c r="AP204" i="21"/>
  <c r="J37" i="6"/>
  <c r="J124" i="6"/>
  <c r="J125" i="6" s="1"/>
  <c r="AY307" i="21"/>
  <c r="AP213" i="21"/>
  <c r="AP196" i="21" s="1"/>
  <c r="AR225" i="6"/>
  <c r="AR224" i="6" s="1"/>
  <c r="L224" i="6" s="1"/>
  <c r="L225" i="6" s="1"/>
  <c r="AR222" i="6"/>
  <c r="L222" i="6" s="1"/>
  <c r="L223" i="6" s="1"/>
  <c r="AS223" i="6"/>
  <c r="AP187" i="21"/>
  <c r="AQ216" i="21"/>
  <c r="AO259" i="21"/>
  <c r="AO207" i="21"/>
  <c r="AO196" i="21"/>
  <c r="AO190" i="21" s="1"/>
  <c r="AO193" i="21" s="1"/>
  <c r="N190" i="6"/>
  <c r="M219" i="6"/>
  <c r="AZ79" i="20"/>
  <c r="AZ73" i="20" s="1"/>
  <c r="AE239" i="6"/>
  <c r="AH152" i="6"/>
  <c r="AG150" i="6"/>
  <c r="AG192" i="6" s="1"/>
  <c r="J166" i="6"/>
  <c r="AK166" i="6"/>
  <c r="AK167" i="6" s="1"/>
  <c r="AJ13" i="8" s="1"/>
  <c r="AJ25" i="8" s="1"/>
  <c r="AJ37" i="8" s="1"/>
  <c r="AY149" i="5"/>
  <c r="AY150" i="5" s="1"/>
  <c r="AY177" i="5"/>
  <c r="AY156" i="5"/>
  <c r="AY183" i="5"/>
  <c r="AX164" i="5"/>
  <c r="AX191" i="5"/>
  <c r="AX150" i="5"/>
  <c r="AZ148" i="5"/>
  <c r="AZ176" i="5"/>
  <c r="N176" i="5" s="1"/>
  <c r="AX163" i="5"/>
  <c r="AX190" i="5"/>
  <c r="AZ147" i="5"/>
  <c r="AZ175" i="5"/>
  <c r="N175" i="5" s="1"/>
  <c r="AW165" i="5"/>
  <c r="AW43" i="5" s="1"/>
  <c r="AW49" i="5" s="1"/>
  <c r="AJ313" i="4"/>
  <c r="AI313" i="4"/>
  <c r="M354" i="4"/>
  <c r="AX165" i="5"/>
  <c r="AI45" i="4"/>
  <c r="AZ160" i="5"/>
  <c r="AZ187" i="5"/>
  <c r="N187" i="5" s="1"/>
  <c r="AY159" i="5"/>
  <c r="AX39" i="5"/>
  <c r="AY186" i="5"/>
  <c r="N161" i="5"/>
  <c r="AY162" i="5"/>
  <c r="AY189" i="5"/>
  <c r="AZ255" i="4"/>
  <c r="AY261" i="4"/>
  <c r="AY256" i="4"/>
  <c r="AY219" i="6"/>
  <c r="N218" i="6"/>
  <c r="AY354" i="4"/>
  <c r="M196" i="6"/>
  <c r="AZ219" i="6"/>
  <c r="AZ354" i="4"/>
  <c r="AU15" i="6"/>
  <c r="AV14" i="6"/>
  <c r="AC303" i="4"/>
  <c r="AB10" i="8" s="1"/>
  <c r="AB22" i="8" s="1"/>
  <c r="AB34" i="8" s="1"/>
  <c r="AC43" i="4"/>
  <c r="AG64" i="4" s="1"/>
  <c r="AK43" i="6"/>
  <c r="J40" i="6"/>
  <c r="J39" i="6"/>
  <c r="AK40" i="6"/>
  <c r="AK42" i="6"/>
  <c r="AL42" i="6"/>
  <c r="AK39" i="6"/>
  <c r="AJ167" i="6"/>
  <c r="AI13" i="8" s="1"/>
  <c r="AI25" i="8" s="1"/>
  <c r="AI37" i="8" s="1"/>
  <c r="AJ44" i="6"/>
  <c r="AK35" i="6"/>
  <c r="AJ182" i="6"/>
  <c r="AS164" i="6"/>
  <c r="AS150" i="6" s="1"/>
  <c r="AS192" i="6" s="1"/>
  <c r="AO153" i="6"/>
  <c r="AF66" i="6"/>
  <c r="AF57" i="6"/>
  <c r="AS36" i="6"/>
  <c r="AW36" i="6" s="1"/>
  <c r="AJ123" i="4" l="1"/>
  <c r="AJ164" i="4"/>
  <c r="AJ124" i="4"/>
  <c r="AJ131" i="4"/>
  <c r="AJ210" i="4"/>
  <c r="AJ195" i="4"/>
  <c r="AJ209" i="4"/>
  <c r="AJ208" i="4"/>
  <c r="J207" i="4"/>
  <c r="AI135" i="4"/>
  <c r="AI171" i="4"/>
  <c r="AI219" i="4"/>
  <c r="AI136" i="4"/>
  <c r="AI138" i="4"/>
  <c r="AI202" i="4"/>
  <c r="AI216" i="4"/>
  <c r="AI321" i="4"/>
  <c r="AI215" i="4"/>
  <c r="AI214" i="4"/>
  <c r="AI52" i="4"/>
  <c r="AI66" i="4"/>
  <c r="Z267" i="5"/>
  <c r="Z272" i="5" s="1"/>
  <c r="Y273" i="5"/>
  <c r="K267" i="5"/>
  <c r="AP164" i="6"/>
  <c r="AP150" i="6" s="1"/>
  <c r="AP192" i="6" s="1"/>
  <c r="AM165" i="6"/>
  <c r="AL40" i="6"/>
  <c r="AL37" i="6"/>
  <c r="AP36" i="6"/>
  <c r="AP122" i="6" s="1"/>
  <c r="AM124" i="6"/>
  <c r="AQ124" i="6" s="1"/>
  <c r="AS43" i="6"/>
  <c r="AW43" i="6" s="1"/>
  <c r="AW41" i="6" s="1"/>
  <c r="AO44" i="6"/>
  <c r="AS124" i="6"/>
  <c r="AW124" i="6" s="1"/>
  <c r="AW122" i="6" s="1"/>
  <c r="AO122" i="6"/>
  <c r="AW166" i="5"/>
  <c r="AX193" i="5"/>
  <c r="AX124" i="6"/>
  <c r="AQ204" i="21"/>
  <c r="AZ307" i="21"/>
  <c r="AP259" i="21"/>
  <c r="AR216" i="21"/>
  <c r="AR75" i="21"/>
  <c r="L75" i="21" s="1"/>
  <c r="AP190" i="21"/>
  <c r="AP193" i="21" s="1"/>
  <c r="AO210" i="21"/>
  <c r="AP207" i="21"/>
  <c r="AS222" i="6"/>
  <c r="AS75" i="21" s="1"/>
  <c r="AT223" i="6"/>
  <c r="AS225" i="6"/>
  <c r="AS224" i="6" s="1"/>
  <c r="AQ199" i="21"/>
  <c r="AQ187" i="21" s="1"/>
  <c r="AQ213" i="21"/>
  <c r="AG151" i="6"/>
  <c r="AG153" i="6"/>
  <c r="AG243" i="6"/>
  <c r="AG244" i="6" s="1"/>
  <c r="AI152" i="6"/>
  <c r="AI150" i="6" s="1"/>
  <c r="AI192" i="6" s="1"/>
  <c r="AH150" i="6"/>
  <c r="AH192" i="6" s="1"/>
  <c r="AL166" i="6"/>
  <c r="AP166" i="6" s="1"/>
  <c r="AI73" i="4"/>
  <c r="AJ45" i="4"/>
  <c r="AX127" i="4"/>
  <c r="N148" i="5"/>
  <c r="N147" i="5"/>
  <c r="AY164" i="5"/>
  <c r="AY191" i="5"/>
  <c r="AZ149" i="5"/>
  <c r="AZ177" i="5"/>
  <c r="N177" i="5" s="1"/>
  <c r="AZ156" i="5"/>
  <c r="AZ183" i="5"/>
  <c r="N183" i="5" s="1"/>
  <c r="AY163" i="5"/>
  <c r="AY165" i="5" s="1"/>
  <c r="AY190" i="5"/>
  <c r="AY193" i="5" s="1"/>
  <c r="AX166" i="5"/>
  <c r="AX108" i="5"/>
  <c r="AX43" i="5"/>
  <c r="AX49" i="5" s="1"/>
  <c r="AY39" i="5"/>
  <c r="AZ159" i="5"/>
  <c r="AZ186" i="5"/>
  <c r="AZ162" i="5"/>
  <c r="AZ189" i="5"/>
  <c r="N189" i="5" s="1"/>
  <c r="N160" i="5"/>
  <c r="AZ261" i="4"/>
  <c r="AZ256" i="4"/>
  <c r="N354" i="4"/>
  <c r="N196" i="6"/>
  <c r="N219" i="6"/>
  <c r="AV15" i="6"/>
  <c r="AW14" i="6"/>
  <c r="AS153" i="6"/>
  <c r="AW164" i="6"/>
  <c r="AW150" i="6" s="1"/>
  <c r="AW192" i="6" s="1"/>
  <c r="AC329" i="4"/>
  <c r="AC50" i="4"/>
  <c r="AD71" i="4"/>
  <c r="AK44" i="6"/>
  <c r="AL43" i="6"/>
  <c r="AP43" i="6" s="1"/>
  <c r="AT43" i="6" s="1"/>
  <c r="AX43" i="6" s="1"/>
  <c r="AM48" i="6"/>
  <c r="AL39" i="6"/>
  <c r="AL35" i="6"/>
  <c r="AM51" i="6"/>
  <c r="AF58" i="6"/>
  <c r="AF59" i="6"/>
  <c r="AF21" i="6"/>
  <c r="AF22" i="6" s="1"/>
  <c r="J239" i="4" l="1"/>
  <c r="J208" i="4"/>
  <c r="J230" i="4" s="1"/>
  <c r="J209" i="4"/>
  <c r="AJ213" i="4"/>
  <c r="AJ211" i="4"/>
  <c r="AJ212" i="4"/>
  <c r="J210" i="4"/>
  <c r="AJ134" i="4"/>
  <c r="AJ169" i="4"/>
  <c r="AJ133" i="4"/>
  <c r="AJ200" i="4"/>
  <c r="AI218" i="4"/>
  <c r="AI250" i="4"/>
  <c r="AI251" i="4"/>
  <c r="AI270" i="4"/>
  <c r="AI217" i="4"/>
  <c r="AI221" i="4"/>
  <c r="AI253" i="4"/>
  <c r="AI252" i="4"/>
  <c r="AI220" i="4"/>
  <c r="AI322" i="4"/>
  <c r="AI326" i="4"/>
  <c r="AI327" i="4" s="1"/>
  <c r="AI139" i="4"/>
  <c r="AI269" i="5"/>
  <c r="AI271" i="5" s="1"/>
  <c r="AI248" i="4"/>
  <c r="AI173" i="4"/>
  <c r="AI249" i="4"/>
  <c r="AI204" i="4"/>
  <c r="AI225" i="4"/>
  <c r="AI140" i="4"/>
  <c r="AI222" i="4"/>
  <c r="AJ52" i="4"/>
  <c r="AJ66" i="4"/>
  <c r="Z273" i="5"/>
  <c r="AA267" i="5"/>
  <c r="AA272" i="5" s="1"/>
  <c r="AP153" i="6"/>
  <c r="AT164" i="6"/>
  <c r="AT150" i="6" s="1"/>
  <c r="AT151" i="6" s="1"/>
  <c r="AM37" i="6"/>
  <c r="AQ164" i="6"/>
  <c r="AQ150" i="6" s="1"/>
  <c r="AQ192" i="6" s="1"/>
  <c r="AT36" i="6"/>
  <c r="AX36" i="6" s="1"/>
  <c r="AX122" i="6" s="1"/>
  <c r="AS41" i="6"/>
  <c r="AW42" i="6" s="1"/>
  <c r="AQ36" i="6"/>
  <c r="AQ122" i="6" s="1"/>
  <c r="AM69" i="6"/>
  <c r="AQ69" i="6" s="1"/>
  <c r="AU69" i="6" s="1"/>
  <c r="AY69" i="6" s="1"/>
  <c r="AS122" i="6"/>
  <c r="AR204" i="21"/>
  <c r="L204" i="21" s="1"/>
  <c r="L216" i="21" s="1"/>
  <c r="AU124" i="6"/>
  <c r="AR213" i="21"/>
  <c r="AR259" i="21" s="1"/>
  <c r="AR199" i="21"/>
  <c r="AR187" i="21" s="1"/>
  <c r="L187" i="21" s="1"/>
  <c r="L199" i="21" s="1"/>
  <c r="AQ196" i="21"/>
  <c r="AQ190" i="21" s="1"/>
  <c r="AQ193" i="21" s="1"/>
  <c r="AQ259" i="21"/>
  <c r="AT222" i="6"/>
  <c r="AT225" i="6"/>
  <c r="AT224" i="6" s="1"/>
  <c r="AU223" i="6"/>
  <c r="AS216" i="21"/>
  <c r="AQ207" i="21"/>
  <c r="AP210" i="21"/>
  <c r="AS154" i="6"/>
  <c r="AG182" i="6"/>
  <c r="J150" i="6"/>
  <c r="J192" i="6" s="1"/>
  <c r="AW151" i="6"/>
  <c r="AH151" i="6"/>
  <c r="AI151" i="6"/>
  <c r="I243" i="6"/>
  <c r="AG154" i="6"/>
  <c r="AI153" i="6"/>
  <c r="AI154" i="6" s="1"/>
  <c r="AH153" i="6"/>
  <c r="AH154" i="6" s="1"/>
  <c r="AL167" i="6"/>
  <c r="AK13" i="8" s="1"/>
  <c r="AK25" i="8" s="1"/>
  <c r="AK37" i="8" s="1"/>
  <c r="AJ73" i="4"/>
  <c r="N156" i="5"/>
  <c r="N149" i="5"/>
  <c r="N150" i="5" s="1"/>
  <c r="AZ164" i="5"/>
  <c r="AZ191" i="5"/>
  <c r="AZ150" i="5"/>
  <c r="AZ163" i="5"/>
  <c r="AZ165" i="5" s="1"/>
  <c r="AZ190" i="5"/>
  <c r="N190" i="5" s="1"/>
  <c r="N191" i="5"/>
  <c r="N162" i="5"/>
  <c r="AZ39" i="5"/>
  <c r="N39" i="5" s="1"/>
  <c r="N159" i="5"/>
  <c r="AY127" i="4"/>
  <c r="AY197" i="4" s="1"/>
  <c r="N186" i="5"/>
  <c r="AY166" i="5"/>
  <c r="AY43" i="5"/>
  <c r="AY49" i="5" s="1"/>
  <c r="AY108" i="5"/>
  <c r="AX14" i="6"/>
  <c r="AW15" i="6"/>
  <c r="AW153" i="6"/>
  <c r="K41" i="6"/>
  <c r="K169" i="6"/>
  <c r="AN39" i="6"/>
  <c r="AL44" i="6"/>
  <c r="AM40" i="6"/>
  <c r="AM45" i="6"/>
  <c r="AM43" i="6"/>
  <c r="AQ43" i="6" s="1"/>
  <c r="AU43" i="6" s="1"/>
  <c r="AY43" i="6" s="1"/>
  <c r="AM166" i="6"/>
  <c r="AQ166" i="6" s="1"/>
  <c r="AM42" i="6"/>
  <c r="AM39" i="6"/>
  <c r="AF69" i="6"/>
  <c r="AF60" i="6"/>
  <c r="AP41" i="6"/>
  <c r="AP42" i="6" s="1"/>
  <c r="AP169" i="6"/>
  <c r="AT166" i="6"/>
  <c r="AJ219" i="4" l="1"/>
  <c r="AJ171" i="4"/>
  <c r="AJ216" i="4"/>
  <c r="AJ136" i="4"/>
  <c r="AJ138" i="4"/>
  <c r="AJ135" i="4"/>
  <c r="AJ202" i="4"/>
  <c r="J144" i="4" s="1"/>
  <c r="J212" i="4"/>
  <c r="J211" i="4"/>
  <c r="J231" i="4" s="1"/>
  <c r="J240" i="4"/>
  <c r="AJ321" i="4"/>
  <c r="AJ214" i="4"/>
  <c r="AJ215" i="4"/>
  <c r="J213" i="4"/>
  <c r="AI227" i="4"/>
  <c r="AI226" i="4"/>
  <c r="AI332" i="4"/>
  <c r="AI329" i="4" s="1"/>
  <c r="AI303" i="4" s="1"/>
  <c r="AH10" i="8" s="1"/>
  <c r="AH22" i="8" s="1"/>
  <c r="AH34" i="8" s="1"/>
  <c r="AI224" i="4"/>
  <c r="AI223" i="4"/>
  <c r="AA273" i="5"/>
  <c r="AB267" i="5"/>
  <c r="AB272" i="5" s="1"/>
  <c r="AT192" i="6"/>
  <c r="AT153" i="6"/>
  <c r="AT154" i="6" s="1"/>
  <c r="AX164" i="6"/>
  <c r="AX150" i="6" s="1"/>
  <c r="AX192" i="6" s="1"/>
  <c r="AU164" i="6"/>
  <c r="AU150" i="6" s="1"/>
  <c r="AU151" i="6" s="1"/>
  <c r="AQ153" i="6"/>
  <c r="AU36" i="6"/>
  <c r="AY36" i="6" s="1"/>
  <c r="AY59" i="6" s="1"/>
  <c r="AT41" i="6"/>
  <c r="AX41" i="6"/>
  <c r="AT122" i="6"/>
  <c r="AS42" i="6"/>
  <c r="AZ193" i="5"/>
  <c r="AZ127" i="4" s="1"/>
  <c r="AZ197" i="4" s="1"/>
  <c r="AY124" i="6"/>
  <c r="K36" i="6"/>
  <c r="K37" i="6" s="1"/>
  <c r="AN124" i="6"/>
  <c r="AR196" i="21"/>
  <c r="AR190" i="21" s="1"/>
  <c r="AT216" i="21"/>
  <c r="AT199" i="21" s="1"/>
  <c r="AT75" i="21"/>
  <c r="L259" i="21"/>
  <c r="AQ210" i="21"/>
  <c r="AR207" i="21"/>
  <c r="L207" i="21" s="1"/>
  <c r="L213" i="21" s="1"/>
  <c r="AS213" i="21"/>
  <c r="AS199" i="21"/>
  <c r="AS187" i="21" s="1"/>
  <c r="AS204" i="21"/>
  <c r="AU222" i="6"/>
  <c r="AU75" i="21" s="1"/>
  <c r="AV223" i="6"/>
  <c r="AU225" i="6"/>
  <c r="AU224" i="6" s="1"/>
  <c r="J153" i="6"/>
  <c r="J151" i="6"/>
  <c r="J243" i="6"/>
  <c r="J244" i="6" s="1"/>
  <c r="AH182" i="6"/>
  <c r="AI182" i="6"/>
  <c r="AN152" i="6"/>
  <c r="AK152" i="6" s="1"/>
  <c r="AL152" i="6" s="1"/>
  <c r="K164" i="6"/>
  <c r="K165" i="6" s="1"/>
  <c r="AN170" i="6"/>
  <c r="AO170" i="6" s="1"/>
  <c r="N164" i="5"/>
  <c r="N163" i="5"/>
  <c r="AZ166" i="5"/>
  <c r="AZ108" i="5"/>
  <c r="AZ43" i="5"/>
  <c r="AY14" i="6"/>
  <c r="AX15" i="6"/>
  <c r="AW154" i="6"/>
  <c r="AT169" i="6"/>
  <c r="AX166" i="6"/>
  <c r="K42" i="6"/>
  <c r="K38" i="6"/>
  <c r="AN40" i="6"/>
  <c r="AR164" i="6"/>
  <c r="AN165" i="6"/>
  <c r="AN43" i="6"/>
  <c r="AN42" i="6"/>
  <c r="AN37" i="6"/>
  <c r="AR36" i="6"/>
  <c r="L36" i="6" s="1"/>
  <c r="AN166" i="6"/>
  <c r="AM167" i="6"/>
  <c r="AL13" i="8" s="1"/>
  <c r="AL25" i="8" s="1"/>
  <c r="AL37" i="8" s="1"/>
  <c r="AM44" i="6"/>
  <c r="AQ59" i="6"/>
  <c r="AQ60" i="6" s="1"/>
  <c r="AQ169" i="6"/>
  <c r="AU166" i="6"/>
  <c r="AQ41" i="6"/>
  <c r="AQ42" i="6" s="1"/>
  <c r="AI335" i="4" l="1"/>
  <c r="AJ326" i="4"/>
  <c r="AJ327" i="4" s="1"/>
  <c r="AJ322" i="4"/>
  <c r="AJ250" i="4"/>
  <c r="AJ251" i="4"/>
  <c r="AJ270" i="4"/>
  <c r="AJ217" i="4"/>
  <c r="AJ218" i="4"/>
  <c r="J216" i="4"/>
  <c r="J241" i="4"/>
  <c r="J214" i="4"/>
  <c r="J232" i="4" s="1"/>
  <c r="J215" i="4"/>
  <c r="AJ222" i="4"/>
  <c r="AJ140" i="4"/>
  <c r="AJ248" i="4"/>
  <c r="AJ173" i="4"/>
  <c r="AJ269" i="5"/>
  <c r="AJ271" i="5" s="1"/>
  <c r="AJ249" i="4"/>
  <c r="AJ225" i="4"/>
  <c r="AJ139" i="4"/>
  <c r="AJ204" i="4"/>
  <c r="AJ253" i="4"/>
  <c r="AJ221" i="4"/>
  <c r="AJ252" i="4"/>
  <c r="AJ220" i="4"/>
  <c r="J219" i="4"/>
  <c r="AC267" i="5"/>
  <c r="AC272" i="5" s="1"/>
  <c r="AB273" i="5"/>
  <c r="AX151" i="6"/>
  <c r="AX153" i="6"/>
  <c r="AX154" i="6" s="1"/>
  <c r="AU192" i="6"/>
  <c r="AY164" i="6"/>
  <c r="AY150" i="6" s="1"/>
  <c r="AY151" i="6" s="1"/>
  <c r="AU153" i="6"/>
  <c r="AU154" i="6" s="1"/>
  <c r="AU59" i="6"/>
  <c r="AY60" i="6" s="1"/>
  <c r="AY41" i="6"/>
  <c r="AU122" i="6"/>
  <c r="AU41" i="6"/>
  <c r="AU42" i="6" s="1"/>
  <c r="AX42" i="6"/>
  <c r="AT42" i="6"/>
  <c r="K43" i="6"/>
  <c r="K44" i="6" s="1"/>
  <c r="L37" i="6"/>
  <c r="AY122" i="6"/>
  <c r="AR124" i="6"/>
  <c r="AT213" i="21"/>
  <c r="AT259" i="21" s="1"/>
  <c r="AR193" i="21"/>
  <c r="L193" i="21" s="1"/>
  <c r="L190" i="21"/>
  <c r="L196" i="21" s="1"/>
  <c r="AW223" i="6"/>
  <c r="AV222" i="6"/>
  <c r="M222" i="6" s="1"/>
  <c r="M223" i="6" s="1"/>
  <c r="AV225" i="6"/>
  <c r="AV224" i="6" s="1"/>
  <c r="M224" i="6" s="1"/>
  <c r="M225" i="6" s="1"/>
  <c r="AT187" i="21"/>
  <c r="AU216" i="21"/>
  <c r="AS196" i="21"/>
  <c r="AS190" i="21" s="1"/>
  <c r="AS259" i="21"/>
  <c r="AS207" i="21"/>
  <c r="AR210" i="21"/>
  <c r="L210" i="21" s="1"/>
  <c r="AT204" i="21"/>
  <c r="J154" i="6"/>
  <c r="J171" i="6"/>
  <c r="J176" i="6" s="1"/>
  <c r="J179" i="6" s="1"/>
  <c r="J182" i="6"/>
  <c r="AM170" i="6"/>
  <c r="AM168" i="6" s="1"/>
  <c r="L164" i="6"/>
  <c r="L165" i="6" s="1"/>
  <c r="AR150" i="6"/>
  <c r="AK150" i="6"/>
  <c r="AK192" i="6" s="1"/>
  <c r="AM152" i="6"/>
  <c r="AM150" i="6" s="1"/>
  <c r="AM192" i="6" s="1"/>
  <c r="AL150" i="6"/>
  <c r="AL192" i="6" s="1"/>
  <c r="AZ49" i="5"/>
  <c r="N43" i="5"/>
  <c r="AX169" i="6"/>
  <c r="AZ14" i="6"/>
  <c r="AY15" i="6"/>
  <c r="AU169" i="6"/>
  <c r="AY166" i="6"/>
  <c r="K40" i="6"/>
  <c r="K39" i="6"/>
  <c r="AP40" i="6"/>
  <c r="AQ40" i="6" s="1"/>
  <c r="AN154" i="6"/>
  <c r="K166" i="6"/>
  <c r="K167" i="6" s="1"/>
  <c r="AV36" i="6"/>
  <c r="AR166" i="6"/>
  <c r="AN167" i="6"/>
  <c r="AM13" i="8" s="1"/>
  <c r="AM25" i="8" s="1"/>
  <c r="AM37" i="8" s="1"/>
  <c r="AR43" i="6"/>
  <c r="AV43" i="6" s="1"/>
  <c r="AZ43" i="6" s="1"/>
  <c r="AN44" i="6"/>
  <c r="AR153" i="6"/>
  <c r="L153" i="6" s="1"/>
  <c r="AV164" i="6"/>
  <c r="AV150" i="6" s="1"/>
  <c r="AJ226" i="4" l="1"/>
  <c r="AJ227" i="4"/>
  <c r="J225" i="4"/>
  <c r="AJ224" i="4"/>
  <c r="AJ223" i="4"/>
  <c r="J222" i="4"/>
  <c r="J270" i="4"/>
  <c r="J217" i="4"/>
  <c r="J233" i="4" s="1"/>
  <c r="J218" i="4"/>
  <c r="J242" i="4"/>
  <c r="J250" i="4"/>
  <c r="J251" i="4"/>
  <c r="J221" i="4"/>
  <c r="J243" i="4"/>
  <c r="J253" i="4"/>
  <c r="J220" i="4"/>
  <c r="J234" i="4" s="1"/>
  <c r="J252" i="4"/>
  <c r="AJ332" i="4"/>
  <c r="AJ335" i="4" s="1"/>
  <c r="AC273" i="5"/>
  <c r="AD267" i="5"/>
  <c r="AD272" i="5" s="1"/>
  <c r="AU60" i="6"/>
  <c r="AY42" i="6"/>
  <c r="AY192" i="6"/>
  <c r="AY153" i="6"/>
  <c r="AY154" i="6" s="1"/>
  <c r="AV124" i="6"/>
  <c r="AR122" i="6"/>
  <c r="AT196" i="21"/>
  <c r="AT190" i="21" s="1"/>
  <c r="AT193" i="21" s="1"/>
  <c r="AT207" i="21"/>
  <c r="AT210" i="21" s="1"/>
  <c r="AV216" i="21"/>
  <c r="AV213" i="21" s="1"/>
  <c r="AV75" i="21"/>
  <c r="M75" i="21" s="1"/>
  <c r="AS210" i="21"/>
  <c r="AS193" i="21"/>
  <c r="AU213" i="21"/>
  <c r="AU199" i="21"/>
  <c r="AU187" i="21" s="1"/>
  <c r="AX223" i="6"/>
  <c r="AW225" i="6"/>
  <c r="AW224" i="6" s="1"/>
  <c r="AW222" i="6"/>
  <c r="AW75" i="21" s="1"/>
  <c r="AU204" i="21"/>
  <c r="L150" i="6"/>
  <c r="L192" i="6" s="1"/>
  <c r="AR192" i="6"/>
  <c r="M150" i="6"/>
  <c r="M192" i="6" s="1"/>
  <c r="AV192" i="6"/>
  <c r="K150" i="6"/>
  <c r="AV241" i="6"/>
  <c r="AV94" i="20" s="1"/>
  <c r="AR151" i="6"/>
  <c r="AR241" i="6"/>
  <c r="AR94" i="20" s="1"/>
  <c r="AL170" i="6"/>
  <c r="AK170" i="6" s="1"/>
  <c r="AV151" i="6"/>
  <c r="AL151" i="6"/>
  <c r="AP151" i="6"/>
  <c r="AM151" i="6"/>
  <c r="AQ151" i="6"/>
  <c r="AK151" i="6"/>
  <c r="AL153" i="6"/>
  <c r="AL154" i="6" s="1"/>
  <c r="AL243" i="6"/>
  <c r="AP243" i="6" s="1"/>
  <c r="AM153" i="6"/>
  <c r="AM171" i="6" s="1"/>
  <c r="AM172" i="6" s="1"/>
  <c r="AM243" i="6"/>
  <c r="AQ243" i="6" s="1"/>
  <c r="AK153" i="6"/>
  <c r="AK243" i="6"/>
  <c r="AO243" i="6" s="1"/>
  <c r="AZ164" i="6"/>
  <c r="M164" i="6"/>
  <c r="AZ15" i="6"/>
  <c r="N49" i="5"/>
  <c r="N165" i="5"/>
  <c r="N166" i="5" s="1"/>
  <c r="AY169" i="6"/>
  <c r="M36" i="6"/>
  <c r="M37" i="6" s="1"/>
  <c r="AZ36" i="6"/>
  <c r="AP38" i="6"/>
  <c r="AR41" i="6"/>
  <c r="L41" i="6" s="1"/>
  <c r="AR154" i="6"/>
  <c r="AV166" i="6"/>
  <c r="AR169" i="6"/>
  <c r="AV153" i="6"/>
  <c r="M153" i="6" s="1"/>
  <c r="AV41" i="6"/>
  <c r="M41" i="6" s="1"/>
  <c r="AR40" i="6"/>
  <c r="AQ38" i="6"/>
  <c r="AQ39" i="6" s="1"/>
  <c r="AJ329" i="4" l="1"/>
  <c r="J245" i="4"/>
  <c r="J226" i="4"/>
  <c r="J236" i="4" s="1"/>
  <c r="J227" i="4"/>
  <c r="J244" i="4"/>
  <c r="J223" i="4"/>
  <c r="J235" i="4" s="1"/>
  <c r="J224" i="4"/>
  <c r="AD273" i="5"/>
  <c r="AE267" i="5"/>
  <c r="AE272" i="5" s="1"/>
  <c r="L122" i="6"/>
  <c r="L124" i="6" s="1"/>
  <c r="AR273" i="6"/>
  <c r="AZ124" i="6"/>
  <c r="AV122" i="6"/>
  <c r="AU207" i="21"/>
  <c r="AU210" i="21" s="1"/>
  <c r="AV199" i="21"/>
  <c r="AV187" i="21" s="1"/>
  <c r="M187" i="21" s="1"/>
  <c r="M199" i="21" s="1"/>
  <c r="AV196" i="21"/>
  <c r="AV259" i="21"/>
  <c r="AV204" i="21"/>
  <c r="M204" i="21" s="1"/>
  <c r="M216" i="21" s="1"/>
  <c r="AW216" i="21"/>
  <c r="AU196" i="21"/>
  <c r="AU190" i="21" s="1"/>
  <c r="AU193" i="21" s="1"/>
  <c r="AU259" i="21"/>
  <c r="AY223" i="6"/>
  <c r="AX225" i="6"/>
  <c r="AX224" i="6" s="1"/>
  <c r="AX222" i="6"/>
  <c r="K151" i="6"/>
  <c r="K192" i="6"/>
  <c r="K153" i="6"/>
  <c r="L151" i="6"/>
  <c r="M151" i="6"/>
  <c r="K243" i="6"/>
  <c r="K244" i="6" s="1"/>
  <c r="AU243" i="6"/>
  <c r="AQ241" i="6"/>
  <c r="AT243" i="6"/>
  <c r="AP241" i="6"/>
  <c r="AS243" i="6"/>
  <c r="AO241" i="6"/>
  <c r="AK244" i="6"/>
  <c r="AL168" i="6"/>
  <c r="AL171" i="6" s="1"/>
  <c r="AL172" i="6" s="1"/>
  <c r="AZ150" i="6"/>
  <c r="AZ192" i="6" s="1"/>
  <c r="AM154" i="6"/>
  <c r="AP154" i="6"/>
  <c r="AO154" i="6"/>
  <c r="AZ153" i="6"/>
  <c r="AQ154" i="6"/>
  <c r="AK154" i="6"/>
  <c r="N164" i="6"/>
  <c r="N165" i="6" s="1"/>
  <c r="AM176" i="6"/>
  <c r="AJ170" i="6"/>
  <c r="AK168" i="6"/>
  <c r="AK171" i="6" s="1"/>
  <c r="AK172" i="6" s="1"/>
  <c r="N36" i="6"/>
  <c r="N37" i="6" s="1"/>
  <c r="M165" i="6"/>
  <c r="AZ41" i="6"/>
  <c r="N41" i="6" s="1"/>
  <c r="AV169" i="6"/>
  <c r="AZ166" i="6"/>
  <c r="M43" i="6"/>
  <c r="L42" i="6"/>
  <c r="L43" i="6"/>
  <c r="L44" i="6" s="1"/>
  <c r="M42" i="6"/>
  <c r="AR42" i="6"/>
  <c r="AP39" i="6"/>
  <c r="AV42" i="6"/>
  <c r="AV154" i="6"/>
  <c r="AR38" i="6"/>
  <c r="AR39" i="6" s="1"/>
  <c r="AS40" i="6"/>
  <c r="AE273" i="5" l="1"/>
  <c r="AF267" i="5"/>
  <c r="AF272" i="5" s="1"/>
  <c r="AP94" i="20"/>
  <c r="AP273" i="6"/>
  <c r="M122" i="6"/>
  <c r="M124" i="6" s="1"/>
  <c r="M125" i="6" s="1"/>
  <c r="AV273" i="6"/>
  <c r="AQ94" i="20"/>
  <c r="AQ273" i="6"/>
  <c r="AO94" i="20"/>
  <c r="AO273" i="6"/>
  <c r="AZ122" i="6"/>
  <c r="AV207" i="21"/>
  <c r="M207" i="21" s="1"/>
  <c r="M213" i="21" s="1"/>
  <c r="AX216" i="21"/>
  <c r="AX199" i="21" s="1"/>
  <c r="AX75" i="21"/>
  <c r="M259" i="21"/>
  <c r="AW213" i="21"/>
  <c r="AW199" i="21"/>
  <c r="AW187" i="21" s="1"/>
  <c r="AV190" i="21"/>
  <c r="M190" i="21" s="1"/>
  <c r="M196" i="21" s="1"/>
  <c r="AY222" i="6"/>
  <c r="AZ223" i="6"/>
  <c r="AY225" i="6"/>
  <c r="AY224" i="6" s="1"/>
  <c r="AW204" i="21"/>
  <c r="K172" i="6"/>
  <c r="K154" i="6"/>
  <c r="L154" i="6"/>
  <c r="K171" i="6"/>
  <c r="K176" i="6" s="1"/>
  <c r="K177" i="6" s="1"/>
  <c r="N153" i="6"/>
  <c r="N154" i="6" s="1"/>
  <c r="N150" i="6"/>
  <c r="AZ151" i="6"/>
  <c r="AZ241" i="6"/>
  <c r="AZ94" i="20" s="1"/>
  <c r="AX243" i="6"/>
  <c r="AT241" i="6"/>
  <c r="AW243" i="6"/>
  <c r="AS241" i="6"/>
  <c r="AY243" i="6"/>
  <c r="AU241" i="6"/>
  <c r="AL176" i="6"/>
  <c r="AZ154" i="6"/>
  <c r="AK176" i="6"/>
  <c r="AI170" i="6"/>
  <c r="AJ168" i="6"/>
  <c r="AJ171" i="6" s="1"/>
  <c r="AJ172" i="6" s="1"/>
  <c r="AZ169" i="6"/>
  <c r="N42" i="6"/>
  <c r="N43" i="6"/>
  <c r="N44" i="6" s="1"/>
  <c r="M154" i="6"/>
  <c r="AZ42" i="6"/>
  <c r="M44" i="6"/>
  <c r="L38" i="6"/>
  <c r="AS38" i="6"/>
  <c r="AT40" i="6"/>
  <c r="AF273" i="5" l="1"/>
  <c r="AG267" i="5"/>
  <c r="AG272" i="5" s="1"/>
  <c r="AS94" i="20"/>
  <c r="AS273" i="6"/>
  <c r="AU94" i="20"/>
  <c r="AU273" i="6"/>
  <c r="AT94" i="20"/>
  <c r="AT273" i="6"/>
  <c r="N122" i="6"/>
  <c r="N124" i="6" s="1"/>
  <c r="N125" i="6" s="1"/>
  <c r="AZ273" i="6"/>
  <c r="AV210" i="21"/>
  <c r="M210" i="21" s="1"/>
  <c r="AX213" i="21"/>
  <c r="AX196" i="21" s="1"/>
  <c r="AY216" i="21"/>
  <c r="AY213" i="21" s="1"/>
  <c r="AY75" i="21"/>
  <c r="AX187" i="21"/>
  <c r="AZ222" i="6"/>
  <c r="N222" i="6" s="1"/>
  <c r="N223" i="6" s="1"/>
  <c r="AZ225" i="6"/>
  <c r="AZ224" i="6" s="1"/>
  <c r="N224" i="6" s="1"/>
  <c r="N225" i="6" s="1"/>
  <c r="AW196" i="21"/>
  <c r="AW190" i="21" s="1"/>
  <c r="AW259" i="21"/>
  <c r="AW207" i="21"/>
  <c r="AX204" i="21"/>
  <c r="AV193" i="21"/>
  <c r="M193" i="21" s="1"/>
  <c r="N151" i="6"/>
  <c r="N192" i="6"/>
  <c r="AY241" i="6"/>
  <c r="AX241" i="6"/>
  <c r="AW241" i="6"/>
  <c r="AJ176" i="6"/>
  <c r="AH170" i="6"/>
  <c r="AI168" i="6"/>
  <c r="AI171" i="6" s="1"/>
  <c r="AI172" i="6" s="1"/>
  <c r="L40" i="6"/>
  <c r="L39" i="6"/>
  <c r="AS39" i="6"/>
  <c r="AU40" i="6"/>
  <c r="AT38" i="6"/>
  <c r="AT39" i="6" s="1"/>
  <c r="AG273" i="5" l="1"/>
  <c r="AH267" i="5"/>
  <c r="AH272" i="5" s="1"/>
  <c r="AX94" i="20"/>
  <c r="AX273" i="6"/>
  <c r="AW94" i="20"/>
  <c r="AW273" i="6"/>
  <c r="AY94" i="20"/>
  <c r="AY273" i="6"/>
  <c r="AX259" i="21"/>
  <c r="AX207" i="21"/>
  <c r="AX210" i="21" s="1"/>
  <c r="AY199" i="21"/>
  <c r="AY187" i="21" s="1"/>
  <c r="AZ216" i="21"/>
  <c r="AZ213" i="21" s="1"/>
  <c r="AZ75" i="21"/>
  <c r="N75" i="21" s="1"/>
  <c r="AW210" i="21"/>
  <c r="AW193" i="21"/>
  <c r="AX190" i="21"/>
  <c r="AY204" i="21"/>
  <c r="AY259" i="21"/>
  <c r="AY196" i="21"/>
  <c r="AI176" i="6"/>
  <c r="AJ179" i="6"/>
  <c r="AG170" i="6"/>
  <c r="AH168" i="6"/>
  <c r="AH171" i="6" s="1"/>
  <c r="AH172" i="6" s="1"/>
  <c r="AV40" i="6"/>
  <c r="AW40" i="6" s="1"/>
  <c r="AX40" i="6" s="1"/>
  <c r="AY40" i="6" s="1"/>
  <c r="AZ40" i="6" s="1"/>
  <c r="AU38" i="6"/>
  <c r="AU39" i="6" s="1"/>
  <c r="AH273" i="5" l="1"/>
  <c r="AI267" i="5"/>
  <c r="AI272" i="5" s="1"/>
  <c r="AY207" i="21"/>
  <c r="AZ207" i="21" s="1"/>
  <c r="N207" i="21" s="1"/>
  <c r="N213" i="21" s="1"/>
  <c r="AZ199" i="21"/>
  <c r="AZ187" i="21" s="1"/>
  <c r="N187" i="21" s="1"/>
  <c r="N199" i="21" s="1"/>
  <c r="AZ204" i="21"/>
  <c r="N204" i="21" s="1"/>
  <c r="N216" i="21" s="1"/>
  <c r="AZ196" i="21"/>
  <c r="AZ259" i="21"/>
  <c r="N259" i="21" s="1"/>
  <c r="AX193" i="21"/>
  <c r="AY190" i="21"/>
  <c r="AY193" i="21" s="1"/>
  <c r="AH176" i="6"/>
  <c r="AI179" i="6"/>
  <c r="AM177" i="6"/>
  <c r="AF170" i="6"/>
  <c r="AG168" i="6"/>
  <c r="AG171" i="6" s="1"/>
  <c r="AG172" i="6" s="1"/>
  <c r="J172" i="6" s="1"/>
  <c r="AV38" i="6"/>
  <c r="AV39" i="6" s="1"/>
  <c r="AI273" i="5" l="1"/>
  <c r="AJ267" i="5"/>
  <c r="AJ272" i="5" s="1"/>
  <c r="AY210" i="21"/>
  <c r="AZ210" i="21"/>
  <c r="N210" i="21" s="1"/>
  <c r="AZ190" i="21"/>
  <c r="N190" i="21" s="1"/>
  <c r="N196" i="21" s="1"/>
  <c r="AG176" i="6"/>
  <c r="AH179" i="6"/>
  <c r="AL177" i="6"/>
  <c r="AE170" i="6"/>
  <c r="AF168" i="6"/>
  <c r="AF171" i="6" s="1"/>
  <c r="AF172" i="6" s="1"/>
  <c r="M38" i="6"/>
  <c r="M39" i="6" s="1"/>
  <c r="AW38" i="6"/>
  <c r="AK267" i="5" l="1"/>
  <c r="AJ273" i="5"/>
  <c r="AZ193" i="21"/>
  <c r="N193" i="21" s="1"/>
  <c r="AF176" i="6"/>
  <c r="AG179" i="6"/>
  <c r="AK177" i="6"/>
  <c r="AP9" i="20"/>
  <c r="AQ9" i="20"/>
  <c r="AD170" i="6"/>
  <c r="AE168" i="6"/>
  <c r="AE171" i="6" s="1"/>
  <c r="AE172" i="6" s="1"/>
  <c r="AW39" i="6"/>
  <c r="M40" i="6"/>
  <c r="AX38" i="6"/>
  <c r="AX39" i="6" s="1"/>
  <c r="AF179" i="6" l="1"/>
  <c r="AJ180" i="6" s="1"/>
  <c r="AI12" i="8" s="1"/>
  <c r="AI24" i="8" s="1"/>
  <c r="AI36" i="8" s="1"/>
  <c r="AJ177" i="6"/>
  <c r="AE176" i="6"/>
  <c r="AO9" i="20"/>
  <c r="AP30" i="20" s="1"/>
  <c r="AT9" i="20"/>
  <c r="AQ30" i="20"/>
  <c r="AQ23" i="20"/>
  <c r="AP23" i="20"/>
  <c r="AU9" i="20"/>
  <c r="AC170" i="6"/>
  <c r="AC168" i="6" s="1"/>
  <c r="AC171" i="6" s="1"/>
  <c r="AC172" i="6" s="1"/>
  <c r="AD168" i="6"/>
  <c r="AD171" i="6" s="1"/>
  <c r="AD172" i="6" s="1"/>
  <c r="AY38" i="6"/>
  <c r="AZ38" i="6"/>
  <c r="AZ39" i="6" s="1"/>
  <c r="AE179" i="6" l="1"/>
  <c r="AI180" i="6" s="1"/>
  <c r="AH12" i="8" s="1"/>
  <c r="AH24" i="8" s="1"/>
  <c r="AH36" i="8" s="1"/>
  <c r="AI177" i="6"/>
  <c r="AS9" i="20"/>
  <c r="AS23" i="20" s="1"/>
  <c r="AD176" i="6"/>
  <c r="AO23" i="20"/>
  <c r="AO30" i="20"/>
  <c r="AC176" i="6"/>
  <c r="AU23" i="20"/>
  <c r="AU30" i="20"/>
  <c r="AX9" i="20"/>
  <c r="AY9" i="20"/>
  <c r="AT23" i="20"/>
  <c r="AY39" i="6"/>
  <c r="N38" i="6"/>
  <c r="AW9" i="20" l="1"/>
  <c r="AW23" i="20" s="1"/>
  <c r="AD179" i="6"/>
  <c r="AH180" i="6" s="1"/>
  <c r="AG12" i="8" s="1"/>
  <c r="AG24" i="8" s="1"/>
  <c r="AG36" i="8" s="1"/>
  <c r="AH177" i="6"/>
  <c r="AT30" i="20"/>
  <c r="AC179" i="6"/>
  <c r="AG180" i="6" s="1"/>
  <c r="AF12" i="8" s="1"/>
  <c r="AF24" i="8" s="1"/>
  <c r="AF36" i="8" s="1"/>
  <c r="AG177" i="6"/>
  <c r="AX23" i="20"/>
  <c r="AY23" i="20"/>
  <c r="AY30" i="20"/>
  <c r="N39" i="6"/>
  <c r="N40" i="6"/>
  <c r="AX30" i="20" l="1"/>
  <c r="D10" i="3" l="1"/>
  <c r="K221" i="5" l="1"/>
  <c r="AK221" i="5" s="1"/>
  <c r="AL221" i="5" l="1"/>
  <c r="AK214" i="5"/>
  <c r="K216" i="5"/>
  <c r="L211" i="5" s="1"/>
  <c r="K218" i="5"/>
  <c r="AO211" i="5"/>
  <c r="K19" i="5"/>
  <c r="AK220" i="5" l="1"/>
  <c r="AK213" i="5"/>
  <c r="AM221" i="5"/>
  <c r="AL214" i="5"/>
  <c r="AO212" i="5"/>
  <c r="AL220" i="5" l="1"/>
  <c r="AL213" i="5"/>
  <c r="AL215" i="5" s="1"/>
  <c r="AN221" i="5"/>
  <c r="AN214" i="5" s="1"/>
  <c r="AM214" i="5"/>
  <c r="AK215" i="5"/>
  <c r="AO226" i="5"/>
  <c r="AM220" i="5" l="1"/>
  <c r="AM213" i="5"/>
  <c r="AN220" i="5"/>
  <c r="AO275" i="4"/>
  <c r="AM215" i="5" l="1"/>
  <c r="AN213" i="5"/>
  <c r="K108" i="4"/>
  <c r="K186" i="4" s="1"/>
  <c r="AN324" i="4"/>
  <c r="K324" i="4" s="1"/>
  <c r="AN218" i="5" l="1"/>
  <c r="AN215" i="5"/>
  <c r="K215" i="5" s="1"/>
  <c r="K56" i="5"/>
  <c r="K136" i="5" l="1"/>
  <c r="AN281" i="4" l="1"/>
  <c r="K281" i="4" s="1"/>
  <c r="AN338" i="4"/>
  <c r="K141" i="6"/>
  <c r="K143" i="6" s="1"/>
  <c r="AN344" i="4" l="1"/>
  <c r="AN316" i="4"/>
  <c r="AN319" i="4" s="1"/>
  <c r="K144" i="6"/>
  <c r="AN280" i="4"/>
  <c r="K139" i="6" l="1"/>
  <c r="K280" i="4"/>
  <c r="AN289" i="4"/>
  <c r="K146" i="6"/>
  <c r="K282" i="4" l="1"/>
  <c r="K286" i="4" s="1"/>
  <c r="K285" i="4" l="1"/>
  <c r="AN90" i="4"/>
  <c r="AN95" i="4"/>
  <c r="AN269" i="4"/>
  <c r="K269" i="6"/>
  <c r="K273" i="6"/>
  <c r="K122" i="6" s="1"/>
  <c r="K124" i="6" s="1"/>
  <c r="K277" i="6"/>
  <c r="K128" i="6" s="1"/>
  <c r="K285" i="6"/>
  <c r="K136" i="6" s="1"/>
  <c r="K125" i="6" l="1"/>
  <c r="L125" i="6"/>
  <c r="K100" i="4"/>
  <c r="K109" i="4" s="1"/>
  <c r="K201" i="5"/>
  <c r="K180" i="4" l="1"/>
  <c r="K187" i="4"/>
  <c r="K203" i="5"/>
  <c r="L197" i="5" s="1"/>
  <c r="AO197" i="5"/>
  <c r="AO199" i="5" l="1"/>
  <c r="AO126" i="6" s="1"/>
  <c r="AO275" i="6" s="1"/>
  <c r="AO200" i="5"/>
  <c r="K18" i="5"/>
  <c r="AN26" i="5"/>
  <c r="AO225" i="5" l="1"/>
  <c r="AO224" i="5"/>
  <c r="AO198" i="5"/>
  <c r="AO182" i="20" l="1"/>
  <c r="AO71" i="5"/>
  <c r="AO206" i="5"/>
  <c r="AO227" i="5"/>
  <c r="AO273" i="4"/>
  <c r="AO103" i="4"/>
  <c r="AO183" i="4" s="1"/>
  <c r="AO274" i="4"/>
  <c r="AO276" i="4" l="1"/>
  <c r="K7" i="5"/>
  <c r="K132" i="5" s="1"/>
  <c r="L131" i="5" l="1"/>
  <c r="K135" i="5"/>
  <c r="K137" i="5" s="1"/>
  <c r="K12" i="5"/>
  <c r="AN16" i="5"/>
  <c r="AN28" i="5" s="1"/>
  <c r="K234" i="5" l="1"/>
  <c r="K35" i="5"/>
  <c r="K243" i="5" s="1"/>
  <c r="K39" i="5" l="1"/>
  <c r="AN40" i="5"/>
  <c r="K43" i="5"/>
  <c r="K49" i="5" s="1"/>
  <c r="AN49" i="5"/>
  <c r="AN51" i="5" l="1"/>
  <c r="K165" i="5"/>
  <c r="K166" i="5" s="1"/>
  <c r="K57" i="5"/>
  <c r="AN63" i="5"/>
  <c r="AN65" i="5" l="1"/>
  <c r="AN66" i="5" s="1"/>
  <c r="K59" i="5"/>
  <c r="K63" i="5" s="1"/>
  <c r="AO131" i="5"/>
  <c r="K37" i="5"/>
  <c r="K38" i="5"/>
  <c r="K246" i="5" s="1"/>
  <c r="K24" i="5"/>
  <c r="K240" i="5" s="1"/>
  <c r="K25" i="5"/>
  <c r="K237" i="5" s="1"/>
  <c r="K10" i="5"/>
  <c r="K232" i="5" s="1"/>
  <c r="K13" i="5"/>
  <c r="K235" i="5" s="1"/>
  <c r="K256" i="5" s="1"/>
  <c r="K40" i="5" l="1"/>
  <c r="K51" i="5" s="1"/>
  <c r="K65" i="5" s="1"/>
  <c r="K245" i="5"/>
  <c r="K251" i="5" s="1"/>
  <c r="K252" i="5" s="1"/>
  <c r="K16" i="5"/>
  <c r="K26" i="5"/>
  <c r="K257" i="5"/>
  <c r="K28" i="5" l="1"/>
  <c r="K66" i="5" s="1"/>
  <c r="K271" i="6"/>
  <c r="K120" i="6" s="1"/>
  <c r="K279" i="6"/>
  <c r="AN350" i="4"/>
  <c r="AN45" i="6"/>
  <c r="AN47" i="6" s="1"/>
  <c r="AN51" i="6"/>
  <c r="AN53" i="6" s="1"/>
  <c r="K130" i="6" l="1"/>
  <c r="K214" i="6"/>
  <c r="AN215" i="6"/>
  <c r="K261" i="6" l="1"/>
  <c r="K256" i="6"/>
  <c r="K233" i="6"/>
  <c r="K258" i="6"/>
  <c r="K231" i="6"/>
  <c r="K232" i="6"/>
  <c r="K254" i="6"/>
  <c r="K236" i="6"/>
  <c r="AK236" i="6" s="1"/>
  <c r="K246" i="6"/>
  <c r="K242" i="6"/>
  <c r="K248" i="6"/>
  <c r="K215" i="6"/>
  <c r="K237" i="6"/>
  <c r="K116" i="6" s="1"/>
  <c r="K11" i="4"/>
  <c r="K29" i="4" s="1"/>
  <c r="AN346" i="4"/>
  <c r="K239" i="6" l="1"/>
  <c r="K118" i="6" s="1"/>
  <c r="K92" i="20"/>
  <c r="K85" i="20" s="1"/>
  <c r="K87" i="20" s="1"/>
  <c r="AK245" i="6"/>
  <c r="AK130" i="6" s="1"/>
  <c r="AK131" i="6" s="1"/>
  <c r="AL236" i="6"/>
  <c r="AK235" i="6"/>
  <c r="AK91" i="20" l="1"/>
  <c r="AK114" i="6"/>
  <c r="AK115" i="6" s="1"/>
  <c r="K240" i="6"/>
  <c r="K93" i="20"/>
  <c r="K139" i="20"/>
  <c r="K101" i="20"/>
  <c r="K88" i="20"/>
  <c r="K176" i="20"/>
  <c r="AK95" i="20"/>
  <c r="AK106" i="4" s="1"/>
  <c r="AL245" i="6"/>
  <c r="AM236" i="6"/>
  <c r="AL235" i="6"/>
  <c r="AN306" i="4"/>
  <c r="AN301" i="4" s="1"/>
  <c r="AN304" i="4" s="1"/>
  <c r="AK107" i="4" l="1"/>
  <c r="AK109" i="4" s="1"/>
  <c r="AK96" i="20"/>
  <c r="AK247" i="6" s="1"/>
  <c r="AK248" i="6" s="1"/>
  <c r="AO248" i="6" s="1"/>
  <c r="AS248" i="6" s="1"/>
  <c r="AW248" i="6" s="1"/>
  <c r="AL91" i="20"/>
  <c r="AL114" i="6"/>
  <c r="AL95" i="20"/>
  <c r="AL106" i="4" s="1"/>
  <c r="AL130" i="6"/>
  <c r="AM245" i="6"/>
  <c r="AN236" i="6"/>
  <c r="AN235" i="6" s="1"/>
  <c r="AM235" i="6"/>
  <c r="AN339" i="4"/>
  <c r="AN362" i="4"/>
  <c r="K362" i="4" s="1"/>
  <c r="AN85" i="4"/>
  <c r="AN302" i="4"/>
  <c r="AN43" i="4" s="1"/>
  <c r="AN73" i="6"/>
  <c r="K301" i="4"/>
  <c r="AN349" i="4"/>
  <c r="AN360" i="4" s="1"/>
  <c r="AN367" i="4"/>
  <c r="K367" i="4" s="1"/>
  <c r="AN87" i="6"/>
  <c r="K306" i="4"/>
  <c r="AN86" i="4"/>
  <c r="AK111" i="4" l="1"/>
  <c r="AK156" i="4"/>
  <c r="AK187" i="4"/>
  <c r="AL107" i="4"/>
  <c r="AL109" i="4" s="1"/>
  <c r="AK128" i="6"/>
  <c r="AK129" i="6" s="1"/>
  <c r="AO129" i="6" s="1"/>
  <c r="AS129" i="6" s="1"/>
  <c r="AW129" i="6" s="1"/>
  <c r="AL96" i="20"/>
  <c r="AL247" i="6" s="1"/>
  <c r="AL248" i="6" s="1"/>
  <c r="AP248" i="6" s="1"/>
  <c r="AT248" i="6" s="1"/>
  <c r="AX248" i="6" s="1"/>
  <c r="AM95" i="20"/>
  <c r="AM106" i="4" s="1"/>
  <c r="AM130" i="6"/>
  <c r="AN91" i="20"/>
  <c r="AN114" i="6"/>
  <c r="AM91" i="20"/>
  <c r="AM114" i="6"/>
  <c r="AN245" i="6"/>
  <c r="AN75" i="6"/>
  <c r="AN78" i="6" s="1"/>
  <c r="AN79" i="6" s="1"/>
  <c r="AN82" i="6"/>
  <c r="K73" i="6"/>
  <c r="AN16" i="6"/>
  <c r="AN71" i="4"/>
  <c r="AN7" i="4"/>
  <c r="K85" i="4"/>
  <c r="AN10" i="4"/>
  <c r="K86" i="4"/>
  <c r="AN91" i="6"/>
  <c r="AN88" i="6"/>
  <c r="K87" i="6"/>
  <c r="K88" i="6" s="1"/>
  <c r="AN88" i="4"/>
  <c r="AN272" i="6"/>
  <c r="AM107" i="4" l="1"/>
  <c r="AM109" i="4" s="1"/>
  <c r="AL111" i="4"/>
  <c r="AL156" i="4"/>
  <c r="AL187" i="4"/>
  <c r="AK188" i="4"/>
  <c r="AK207" i="4"/>
  <c r="AK112" i="4"/>
  <c r="AK157" i="4"/>
  <c r="AK113" i="4"/>
  <c r="AN50" i="4"/>
  <c r="AN8" i="4"/>
  <c r="K10" i="4"/>
  <c r="K28" i="4" s="1"/>
  <c r="AL128" i="6"/>
  <c r="AM96" i="20"/>
  <c r="AM247" i="6" s="1"/>
  <c r="AM248" i="6" s="1"/>
  <c r="AQ248" i="6" s="1"/>
  <c r="AU248" i="6" s="1"/>
  <c r="AY248" i="6" s="1"/>
  <c r="AN246" i="6"/>
  <c r="AN130" i="6"/>
  <c r="AN95" i="20"/>
  <c r="AN106" i="4" s="1"/>
  <c r="K7" i="4"/>
  <c r="K25" i="4" s="1"/>
  <c r="K16" i="6"/>
  <c r="AN34" i="4"/>
  <c r="AN67" i="6"/>
  <c r="AN12" i="4"/>
  <c r="K88" i="4"/>
  <c r="AN37" i="4"/>
  <c r="AN28" i="4"/>
  <c r="AN92" i="6"/>
  <c r="AR91" i="6"/>
  <c r="AV91" i="6" s="1"/>
  <c r="AZ91" i="6" s="1"/>
  <c r="AO92" i="6"/>
  <c r="AO91" i="6" s="1"/>
  <c r="K91" i="6"/>
  <c r="K92" i="6" s="1"/>
  <c r="K272" i="6"/>
  <c r="AN107" i="4" l="1"/>
  <c r="AN109" i="4" s="1"/>
  <c r="AL188" i="4"/>
  <c r="AL113" i="4"/>
  <c r="AL207" i="4"/>
  <c r="AL157" i="4"/>
  <c r="AL112" i="4"/>
  <c r="AK209" i="4"/>
  <c r="AK208" i="4"/>
  <c r="AM156" i="4"/>
  <c r="AM187" i="4"/>
  <c r="AM111" i="4"/>
  <c r="AN35" i="4"/>
  <c r="AN13" i="4"/>
  <c r="AN16" i="4" s="1"/>
  <c r="K89" i="4"/>
  <c r="AM128" i="6"/>
  <c r="AN39" i="4"/>
  <c r="AN96" i="20"/>
  <c r="AN247" i="6" s="1"/>
  <c r="AN296" i="4"/>
  <c r="AN299" i="4" s="1"/>
  <c r="AN369" i="4"/>
  <c r="K369" i="4" s="1"/>
  <c r="K316" i="4"/>
  <c r="K296" i="4" s="1"/>
  <c r="AP92" i="6"/>
  <c r="AP91" i="6" s="1"/>
  <c r="AO87" i="6"/>
  <c r="AS91" i="6"/>
  <c r="AW91" i="6" s="1"/>
  <c r="K12" i="4"/>
  <c r="K30" i="4" s="1"/>
  <c r="K363" i="4"/>
  <c r="AL209" i="4" l="1"/>
  <c r="AL208" i="4"/>
  <c r="AN156" i="4"/>
  <c r="AN187" i="4"/>
  <c r="AN111" i="4"/>
  <c r="AM113" i="4"/>
  <c r="AM207" i="4"/>
  <c r="AM112" i="4"/>
  <c r="AM157" i="4"/>
  <c r="AM188" i="4"/>
  <c r="AN19" i="4"/>
  <c r="AN22" i="4"/>
  <c r="AN18" i="4"/>
  <c r="AN20" i="4"/>
  <c r="AN40" i="4"/>
  <c r="AN17" i="4"/>
  <c r="AN21" i="4"/>
  <c r="K94" i="4"/>
  <c r="K280" i="6"/>
  <c r="K90" i="4"/>
  <c r="K259" i="5"/>
  <c r="K82" i="4"/>
  <c r="K304" i="6" s="1"/>
  <c r="K305" i="6" s="1"/>
  <c r="K111" i="4"/>
  <c r="AN248" i="6"/>
  <c r="AR248" i="6" s="1"/>
  <c r="AV248" i="6" s="1"/>
  <c r="AZ248" i="6" s="1"/>
  <c r="AN128" i="6"/>
  <c r="AO8" i="20"/>
  <c r="AO88" i="6"/>
  <c r="AO86" i="4"/>
  <c r="AO10" i="4" s="1"/>
  <c r="AP87" i="6"/>
  <c r="AT91" i="6"/>
  <c r="AX91" i="6" s="1"/>
  <c r="AQ92" i="6"/>
  <c r="AQ91" i="6" s="1"/>
  <c r="K278" i="6"/>
  <c r="K276" i="6"/>
  <c r="K266" i="6"/>
  <c r="K258" i="5"/>
  <c r="K274" i="6"/>
  <c r="K286" i="6"/>
  <c r="AM208" i="4" l="1"/>
  <c r="AM209" i="4"/>
  <c r="AN207" i="4"/>
  <c r="AN113" i="4"/>
  <c r="AN112" i="4"/>
  <c r="AN157" i="4"/>
  <c r="AN188" i="4"/>
  <c r="K188" i="4"/>
  <c r="K176" i="4"/>
  <c r="K150" i="4"/>
  <c r="K151" i="4"/>
  <c r="K152" i="4"/>
  <c r="K153" i="4"/>
  <c r="K154" i="4"/>
  <c r="K155" i="4"/>
  <c r="K149" i="4"/>
  <c r="K165" i="4"/>
  <c r="K166" i="4"/>
  <c r="K147" i="4"/>
  <c r="K167" i="4"/>
  <c r="K168" i="4"/>
  <c r="K170" i="4"/>
  <c r="K172" i="4"/>
  <c r="K161" i="4"/>
  <c r="K162" i="4"/>
  <c r="K95" i="4"/>
  <c r="K269" i="4"/>
  <c r="K113" i="4"/>
  <c r="K270" i="6"/>
  <c r="K112" i="4"/>
  <c r="AO22" i="20"/>
  <c r="AO29" i="20"/>
  <c r="AP8" i="20"/>
  <c r="AO37" i="4"/>
  <c r="AO28" i="4"/>
  <c r="AU91" i="6"/>
  <c r="L91" i="6"/>
  <c r="L92" i="6" s="1"/>
  <c r="AO306" i="4"/>
  <c r="AP88" i="6"/>
  <c r="AP86" i="4"/>
  <c r="AP10" i="4" s="1"/>
  <c r="K260" i="5"/>
  <c r="K220" i="5"/>
  <c r="K289" i="4"/>
  <c r="K145" i="6"/>
  <c r="K254" i="5"/>
  <c r="K140" i="6"/>
  <c r="K261" i="5"/>
  <c r="K142" i="6"/>
  <c r="K205" i="5"/>
  <c r="K338" i="4"/>
  <c r="K290" i="4"/>
  <c r="AN209" i="4" l="1"/>
  <c r="AN208" i="4"/>
  <c r="K207" i="4"/>
  <c r="K156" i="4"/>
  <c r="K157" i="4" s="1"/>
  <c r="AP29" i="20"/>
  <c r="AP22" i="20"/>
  <c r="M91" i="6"/>
  <c r="AY91" i="6"/>
  <c r="AP37" i="4"/>
  <c r="AP28" i="4"/>
  <c r="AP306" i="4"/>
  <c r="AO367" i="4"/>
  <c r="AO362" i="4" s="1"/>
  <c r="AO309" i="4"/>
  <c r="K155" i="5"/>
  <c r="AO155" i="5"/>
  <c r="AP182" i="5" s="1"/>
  <c r="AP193" i="5" s="1"/>
  <c r="AO182" i="5"/>
  <c r="AO193" i="5" s="1"/>
  <c r="K239" i="4" l="1"/>
  <c r="K209" i="4"/>
  <c r="K208" i="4"/>
  <c r="K230" i="4" s="1"/>
  <c r="AP155" i="5"/>
  <c r="AQ155" i="5" s="1"/>
  <c r="AQ165" i="5" s="1"/>
  <c r="AO165" i="5"/>
  <c r="AP127" i="4"/>
  <c r="N91" i="6"/>
  <c r="M92" i="6"/>
  <c r="AP367" i="4"/>
  <c r="AP362" i="4" s="1"/>
  <c r="AP309" i="4"/>
  <c r="AO39" i="5"/>
  <c r="AP39" i="5"/>
  <c r="AQ182" i="5" l="1"/>
  <c r="AQ193" i="5" s="1"/>
  <c r="AQ127" i="4" s="1"/>
  <c r="AQ197" i="4" s="1"/>
  <c r="AP165" i="5"/>
  <c r="AP43" i="5" s="1"/>
  <c r="AP49" i="5" s="1"/>
  <c r="AO108" i="5"/>
  <c r="AO127" i="5" s="1"/>
  <c r="N92" i="6"/>
  <c r="AO127" i="4"/>
  <c r="AO197" i="4" s="1"/>
  <c r="AQ39" i="5"/>
  <c r="AR182" i="5"/>
  <c r="AR193" i="5" s="1"/>
  <c r="AO43" i="5"/>
  <c r="AO49" i="5" s="1"/>
  <c r="AO166" i="5"/>
  <c r="AP197" i="4" l="1"/>
  <c r="AP108" i="5"/>
  <c r="AP166" i="5"/>
  <c r="AR127" i="4"/>
  <c r="L116" i="20"/>
  <c r="L193" i="5"/>
  <c r="L182" i="5"/>
  <c r="AQ43" i="5"/>
  <c r="AQ49" i="5" s="1"/>
  <c r="AQ166" i="5"/>
  <c r="AQ108" i="5"/>
  <c r="AN254" i="5"/>
  <c r="AO254" i="5" s="1"/>
  <c r="AN256" i="5"/>
  <c r="AN257" i="5"/>
  <c r="AO257" i="5" s="1"/>
  <c r="AP257" i="5" s="1"/>
  <c r="AQ257" i="5" s="1"/>
  <c r="AR257" i="5" s="1"/>
  <c r="AS257" i="5" s="1"/>
  <c r="AT257" i="5" s="1"/>
  <c r="AU257" i="5" s="1"/>
  <c r="AV257" i="5" s="1"/>
  <c r="AW257" i="5" s="1"/>
  <c r="AN258" i="5"/>
  <c r="AO258" i="5" s="1"/>
  <c r="AN260" i="5"/>
  <c r="AR260" i="5" s="1"/>
  <c r="AV260" i="5" s="1"/>
  <c r="AZ260" i="5" s="1"/>
  <c r="AN261" i="5"/>
  <c r="L127" i="4" l="1"/>
  <c r="L197" i="4" s="1"/>
  <c r="AR197" i="4"/>
  <c r="AO256" i="5"/>
  <c r="AP256" i="5" s="1"/>
  <c r="AQ256" i="5" s="1"/>
  <c r="AR256" i="5" s="1"/>
  <c r="AP258" i="5"/>
  <c r="AS258" i="5"/>
  <c r="AW258" i="5" s="1"/>
  <c r="AX257" i="5" l="1"/>
  <c r="AY257" i="5" s="1"/>
  <c r="AQ258" i="5"/>
  <c r="AT258" i="5"/>
  <c r="AX258" i="5" s="1"/>
  <c r="AS256" i="5"/>
  <c r="AT256" i="5" s="1"/>
  <c r="AU256" i="5" s="1"/>
  <c r="AV256" i="5" s="1"/>
  <c r="AW256" i="5" s="1"/>
  <c r="AX256" i="5" s="1"/>
  <c r="AY256" i="5" s="1"/>
  <c r="AZ256" i="5" s="1"/>
  <c r="AZ257" i="5" l="1"/>
  <c r="AR258" i="5"/>
  <c r="AV258" i="5" s="1"/>
  <c r="AZ258" i="5" s="1"/>
  <c r="AU258" i="5"/>
  <c r="AY258" i="5" s="1"/>
  <c r="AS103" i="6" l="1"/>
  <c r="AS366" i="4" l="1"/>
  <c r="AZ103" i="6"/>
  <c r="AU103" i="6"/>
  <c r="AT103" i="6"/>
  <c r="M104" i="6"/>
  <c r="AV103" i="6"/>
  <c r="AS87" i="6"/>
  <c r="AX103" i="6" l="1"/>
  <c r="AZ87" i="6"/>
  <c r="AZ366" i="4"/>
  <c r="AT87" i="6"/>
  <c r="AT86" i="4" s="1"/>
  <c r="AT10" i="4" s="1"/>
  <c r="AT366" i="4"/>
  <c r="AV87" i="6"/>
  <c r="AV8" i="20" s="1"/>
  <c r="AV366" i="4"/>
  <c r="AU104" i="6"/>
  <c r="AU366" i="4"/>
  <c r="AQ87" i="6"/>
  <c r="AQ86" i="4" s="1"/>
  <c r="AQ10" i="4" s="1"/>
  <c r="AQ366" i="4"/>
  <c r="AR87" i="6"/>
  <c r="AR88" i="6" s="1"/>
  <c r="AR366" i="4"/>
  <c r="AS8" i="20"/>
  <c r="AY103" i="6"/>
  <c r="AW103" i="6"/>
  <c r="N104" i="6"/>
  <c r="AU87" i="6"/>
  <c r="AV104" i="6"/>
  <c r="AZ104" i="6"/>
  <c r="AS86" i="4"/>
  <c r="AS88" i="6"/>
  <c r="AX87" i="6" l="1"/>
  <c r="AX104" i="6"/>
  <c r="AX366" i="4"/>
  <c r="AQ8" i="20"/>
  <c r="AT88" i="6"/>
  <c r="AV86" i="4"/>
  <c r="AV10" i="4" s="1"/>
  <c r="L87" i="6"/>
  <c r="L88" i="6" s="1"/>
  <c r="AZ86" i="4"/>
  <c r="AZ306" i="4" s="1"/>
  <c r="AQ88" i="6"/>
  <c r="AZ8" i="20"/>
  <c r="AZ22" i="20" s="1"/>
  <c r="AT8" i="20"/>
  <c r="M366" i="4"/>
  <c r="AV88" i="6"/>
  <c r="AZ88" i="6"/>
  <c r="AQ37" i="4"/>
  <c r="AQ28" i="4"/>
  <c r="AW87" i="6"/>
  <c r="AW88" i="6" s="1"/>
  <c r="AW366" i="4"/>
  <c r="AY87" i="6"/>
  <c r="AY366" i="4"/>
  <c r="AR86" i="4"/>
  <c r="AR10" i="4" s="1"/>
  <c r="AR28" i="4" s="1"/>
  <c r="L366" i="4"/>
  <c r="AQ306" i="4"/>
  <c r="AQ309" i="4" s="1"/>
  <c r="AT306" i="4"/>
  <c r="AT367" i="4" s="1"/>
  <c r="M87" i="6"/>
  <c r="AS22" i="20"/>
  <c r="AW104" i="6"/>
  <c r="AY104" i="6"/>
  <c r="AU88" i="6"/>
  <c r="AU86" i="4"/>
  <c r="AU10" i="4" s="1"/>
  <c r="AT28" i="4"/>
  <c r="AS10" i="4"/>
  <c r="AT37" i="4" s="1"/>
  <c r="AS306" i="4"/>
  <c r="AX8" i="20" l="1"/>
  <c r="AX22" i="20" s="1"/>
  <c r="AX88" i="6"/>
  <c r="L79" i="20"/>
  <c r="L8" i="20" s="1"/>
  <c r="L22" i="20" s="1"/>
  <c r="AX86" i="4"/>
  <c r="AX10" i="4" s="1"/>
  <c r="AR8" i="20"/>
  <c r="AV22" i="20" s="1"/>
  <c r="M88" i="6"/>
  <c r="AV306" i="4"/>
  <c r="AV367" i="4" s="1"/>
  <c r="AZ10" i="4"/>
  <c r="AZ28" i="4" s="1"/>
  <c r="N87" i="6"/>
  <c r="N88" i="6" s="1"/>
  <c r="L86" i="4"/>
  <c r="AY86" i="4"/>
  <c r="AY10" i="4" s="1"/>
  <c r="AY28" i="4" s="1"/>
  <c r="AQ367" i="4"/>
  <c r="AQ362" i="4" s="1"/>
  <c r="AW86" i="4"/>
  <c r="AW10" i="4" s="1"/>
  <c r="AW28" i="4" s="1"/>
  <c r="AR37" i="4"/>
  <c r="AR306" i="4"/>
  <c r="AR367" i="4" s="1"/>
  <c r="M79" i="20"/>
  <c r="O79" i="20" s="1"/>
  <c r="AY88" i="6"/>
  <c r="N79" i="20"/>
  <c r="N8" i="20" s="1"/>
  <c r="AT309" i="4"/>
  <c r="N366" i="4"/>
  <c r="AT29" i="20"/>
  <c r="AT22" i="20"/>
  <c r="AY8" i="20"/>
  <c r="AU8" i="20"/>
  <c r="AQ29" i="20"/>
  <c r="AQ22" i="20"/>
  <c r="M86" i="4"/>
  <c r="AU306" i="4"/>
  <c r="AU367" i="4" s="1"/>
  <c r="AS28" i="4"/>
  <c r="AS37" i="4"/>
  <c r="AU28" i="4"/>
  <c r="AU37" i="4"/>
  <c r="AV37" i="4"/>
  <c r="AV28" i="4"/>
  <c r="AZ367" i="4"/>
  <c r="AS367" i="4"/>
  <c r="M10" i="4" l="1"/>
  <c r="L10" i="4"/>
  <c r="L28" i="4" s="1"/>
  <c r="AX306" i="4"/>
  <c r="AX367" i="4" s="1"/>
  <c r="AY306" i="4"/>
  <c r="AY367" i="4" s="1"/>
  <c r="AR29" i="20"/>
  <c r="AS29" i="20"/>
  <c r="AR22" i="20"/>
  <c r="AZ37" i="4"/>
  <c r="AR309" i="4"/>
  <c r="L306" i="4"/>
  <c r="AS309" i="4"/>
  <c r="L367" i="4"/>
  <c r="AW37" i="4"/>
  <c r="N86" i="4"/>
  <c r="O86" i="4" s="1"/>
  <c r="AW306" i="4"/>
  <c r="AW367" i="4" s="1"/>
  <c r="AR362" i="4"/>
  <c r="L362" i="4" s="1"/>
  <c r="M8" i="20"/>
  <c r="M22" i="20" s="1"/>
  <c r="AW8" i="20"/>
  <c r="AX29" i="20" s="1"/>
  <c r="AY29" i="20"/>
  <c r="AY22" i="20"/>
  <c r="AZ29" i="20"/>
  <c r="AU29" i="20"/>
  <c r="AU22" i="20"/>
  <c r="AV29" i="20"/>
  <c r="AU309" i="4"/>
  <c r="M306" i="4"/>
  <c r="AV309" i="4"/>
  <c r="AY37" i="4"/>
  <c r="AX28" i="4"/>
  <c r="AX37" i="4"/>
  <c r="M367" i="4"/>
  <c r="M28" i="4" l="1"/>
  <c r="N10" i="4"/>
  <c r="N28" i="4" s="1"/>
  <c r="N306" i="4"/>
  <c r="AY309" i="4"/>
  <c r="AZ309" i="4"/>
  <c r="N367" i="4"/>
  <c r="AW309" i="4"/>
  <c r="AW29" i="20"/>
  <c r="AS362" i="4"/>
  <c r="AT362" i="4" s="1"/>
  <c r="AU362" i="4" s="1"/>
  <c r="AV362" i="4" s="1"/>
  <c r="AW362" i="4" s="1"/>
  <c r="AX362" i="4" s="1"/>
  <c r="AY362" i="4" s="1"/>
  <c r="AZ362" i="4" s="1"/>
  <c r="AX309" i="4"/>
  <c r="AW22" i="20"/>
  <c r="N22" i="20"/>
  <c r="M362" i="4" l="1"/>
  <c r="N362" i="4"/>
  <c r="K19" i="6" l="1"/>
  <c r="AN19" i="6"/>
  <c r="AN65" i="6"/>
  <c r="AN57" i="6" s="1"/>
  <c r="AN21" i="6" l="1"/>
  <c r="AN23" i="6" l="1"/>
  <c r="AN62" i="6"/>
  <c r="AN48" i="6" l="1"/>
  <c r="AN64" i="6"/>
  <c r="AN61" i="6" s="1"/>
  <c r="AN59" i="6"/>
  <c r="AN69" i="6" l="1"/>
  <c r="AN50" i="6"/>
  <c r="AO48" i="6"/>
  <c r="AR69" i="6" l="1"/>
  <c r="AO62" i="6"/>
  <c r="AP48" i="6"/>
  <c r="AP62" i="6" l="1"/>
  <c r="AQ48" i="6"/>
  <c r="AV69" i="6"/>
  <c r="AR59" i="6"/>
  <c r="AZ69" i="6" l="1"/>
  <c r="AV59" i="6"/>
  <c r="AR48" i="6"/>
  <c r="AQ62" i="6"/>
  <c r="AQ49" i="6"/>
  <c r="AR60" i="6"/>
  <c r="AR49" i="6" l="1"/>
  <c r="AS48" i="6"/>
  <c r="AR62" i="6"/>
  <c r="L62" i="6" s="1"/>
  <c r="AQ57" i="6"/>
  <c r="AQ64" i="6" s="1"/>
  <c r="AQ61" i="6" s="1"/>
  <c r="AQ63" i="6"/>
  <c r="AV60" i="6"/>
  <c r="AZ59" i="6"/>
  <c r="L48" i="6" l="1"/>
  <c r="AR63" i="6"/>
  <c r="AR57" i="6"/>
  <c r="AR64" i="6" s="1"/>
  <c r="AR61" i="6" s="1"/>
  <c r="AZ60" i="6"/>
  <c r="AS62" i="6"/>
  <c r="AS49" i="6"/>
  <c r="AT48" i="6"/>
  <c r="AQ58" i="6"/>
  <c r="AS63" i="6" l="1"/>
  <c r="AR58" i="6"/>
  <c r="AT62" i="6"/>
  <c r="AT49" i="6"/>
  <c r="AU48" i="6"/>
  <c r="AV48" i="6" l="1"/>
  <c r="AU62" i="6"/>
  <c r="AU49" i="6"/>
  <c r="AT63" i="6"/>
  <c r="AU57" i="6" l="1"/>
  <c r="AU64" i="6" s="1"/>
  <c r="AU61" i="6" s="1"/>
  <c r="AU63" i="6"/>
  <c r="AV49" i="6"/>
  <c r="AW48" i="6"/>
  <c r="AV62" i="6"/>
  <c r="AV63" i="6" l="1"/>
  <c r="AV57" i="6"/>
  <c r="AW62" i="6"/>
  <c r="AW49" i="6"/>
  <c r="AX48" i="6"/>
  <c r="AU58" i="6"/>
  <c r="M62" i="6"/>
  <c r="M48" i="6" l="1"/>
  <c r="M49" i="6" s="1"/>
  <c r="M63" i="6"/>
  <c r="AX62" i="6"/>
  <c r="AX49" i="6"/>
  <c r="AY48" i="6"/>
  <c r="AV58" i="6"/>
  <c r="AW63" i="6"/>
  <c r="AV64" i="6"/>
  <c r="AV61" i="6" s="1"/>
  <c r="AX63" i="6" l="1"/>
  <c r="AZ48" i="6"/>
  <c r="AY62" i="6"/>
  <c r="AY49" i="6"/>
  <c r="AZ49" i="6" l="1"/>
  <c r="AZ62" i="6"/>
  <c r="N62" i="6" s="1"/>
  <c r="AY57" i="6"/>
  <c r="AY64" i="6" s="1"/>
  <c r="AY61" i="6" s="1"/>
  <c r="AY63" i="6"/>
  <c r="AZ63" i="6" l="1"/>
  <c r="AZ57" i="6"/>
  <c r="N48" i="6"/>
  <c r="N49" i="6" s="1"/>
  <c r="N63" i="6"/>
  <c r="AY58" i="6"/>
  <c r="AZ58" i="6" l="1"/>
  <c r="AZ64" i="6"/>
  <c r="AZ61" i="6" s="1"/>
  <c r="L42" i="21" l="1"/>
  <c r="M42" i="21"/>
  <c r="AR42" i="21"/>
  <c r="AS42" i="21"/>
  <c r="AT42" i="21"/>
  <c r="AU42" i="21"/>
  <c r="AV42" i="21"/>
  <c r="K167" i="20" l="1"/>
  <c r="K164" i="20"/>
  <c r="K169" i="20"/>
  <c r="L29" i="21" l="1"/>
  <c r="L100" i="21" s="1"/>
  <c r="L138" i="21"/>
  <c r="M138" i="21"/>
  <c r="AR138" i="21"/>
  <c r="AS138" i="21"/>
  <c r="AT138" i="21"/>
  <c r="AU138" i="21"/>
  <c r="AV138" i="21"/>
  <c r="AU153" i="21"/>
  <c r="AU116" i="20" s="1"/>
  <c r="AV153" i="21"/>
  <c r="AV116" i="20" s="1"/>
  <c r="AS153" i="21"/>
  <c r="AS116" i="20" s="1"/>
  <c r="AT153" i="21"/>
  <c r="AT116" i="20" s="1"/>
  <c r="M153" i="21" l="1"/>
  <c r="AW153" i="21"/>
  <c r="M29" i="21"/>
  <c r="M100" i="21" l="1"/>
  <c r="N100" i="21"/>
  <c r="N153" i="21"/>
  <c r="AW116" i="20"/>
  <c r="AN176" i="6"/>
  <c r="AN177" i="6" l="1"/>
  <c r="L80" i="20" l="1"/>
  <c r="L9" i="20" s="1"/>
  <c r="AR9" i="20"/>
  <c r="AS30" i="20" l="1"/>
  <c r="AR23" i="20"/>
  <c r="AR30" i="20"/>
  <c r="L23" i="20"/>
  <c r="AV9" i="20"/>
  <c r="M80" i="20"/>
  <c r="M9" i="20" l="1"/>
  <c r="O80" i="20"/>
  <c r="AV30" i="20"/>
  <c r="AV23" i="20"/>
  <c r="AW30" i="20"/>
  <c r="N80" i="20"/>
  <c r="N9" i="20" s="1"/>
  <c r="AZ9" i="20"/>
  <c r="AZ30" i="20" l="1"/>
  <c r="AZ23" i="20"/>
  <c r="N23" i="20"/>
  <c r="M23" i="20"/>
  <c r="AO236" i="6" l="1"/>
  <c r="AC240" i="6"/>
  <c r="AD240" i="6"/>
  <c r="AE240" i="6"/>
  <c r="AF239" i="6"/>
  <c r="AF240" i="6" s="1"/>
  <c r="AG239" i="6"/>
  <c r="AG240" i="6" s="1"/>
  <c r="AH239" i="6"/>
  <c r="AH240" i="6" s="1"/>
  <c r="AI239" i="6"/>
  <c r="AI118" i="6" s="1"/>
  <c r="AJ239" i="6"/>
  <c r="AJ118" i="6" s="1"/>
  <c r="AK239" i="6"/>
  <c r="AK118" i="6" s="1"/>
  <c r="AK119" i="6" s="1"/>
  <c r="AL239" i="6"/>
  <c r="AL118" i="6" s="1"/>
  <c r="AM239" i="6"/>
  <c r="AM118" i="6" s="1"/>
  <c r="AN239" i="6"/>
  <c r="AN118" i="6" s="1"/>
  <c r="AH241" i="6"/>
  <c r="AI241" i="6"/>
  <c r="AI122" i="6" s="1"/>
  <c r="AI124" i="6" s="1"/>
  <c r="AM125" i="6" s="1"/>
  <c r="AP236" i="6" l="1"/>
  <c r="AI243" i="6"/>
  <c r="AM244" i="6" s="1"/>
  <c r="AI94" i="20"/>
  <c r="AI96" i="20" s="1"/>
  <c r="AI247" i="6" s="1"/>
  <c r="AK240" i="6"/>
  <c r="AK93" i="20"/>
  <c r="AJ240" i="6"/>
  <c r="AJ93" i="20"/>
  <c r="AM240" i="6"/>
  <c r="AM93" i="20"/>
  <c r="AN240" i="6"/>
  <c r="AN93" i="20"/>
  <c r="AL240" i="6"/>
  <c r="AL93" i="20"/>
  <c r="AI240" i="6"/>
  <c r="AI93" i="20"/>
  <c r="AH243" i="6"/>
  <c r="AJ241" i="6"/>
  <c r="AJ94" i="20" l="1"/>
  <c r="AJ96" i="20" s="1"/>
  <c r="AJ247" i="6" s="1"/>
  <c r="AJ248" i="6" s="1"/>
  <c r="AJ122" i="6"/>
  <c r="AJ124" i="6" s="1"/>
  <c r="AN125" i="6" s="1"/>
  <c r="AI248" i="6"/>
  <c r="AI128" i="6"/>
  <c r="AQ236" i="6"/>
  <c r="AI244" i="6"/>
  <c r="AH244" i="6"/>
  <c r="AL244" i="6"/>
  <c r="AJ243" i="6"/>
  <c r="AJ242" i="6"/>
  <c r="AJ128" i="6" l="1"/>
  <c r="AR236" i="6"/>
  <c r="AJ244" i="6"/>
  <c r="AN244" i="6"/>
  <c r="AS236" i="6" l="1"/>
  <c r="AT236" i="6" l="1"/>
  <c r="AU236" i="6" l="1"/>
  <c r="AV236" i="6" l="1"/>
  <c r="AO10" i="20"/>
  <c r="AO31" i="20" s="1"/>
  <c r="AO24" i="20" l="1"/>
  <c r="AW236" i="6"/>
  <c r="AP10" i="20"/>
  <c r="AP31" i="20" s="1"/>
  <c r="AQ10" i="20"/>
  <c r="AQ24" i="20" s="1"/>
  <c r="AR10" i="20"/>
  <c r="AR24" i="20" s="1"/>
  <c r="AS10" i="20"/>
  <c r="AT10" i="20"/>
  <c r="AU10" i="20"/>
  <c r="AV10" i="20"/>
  <c r="AW10" i="20"/>
  <c r="AX10" i="20"/>
  <c r="AY10" i="20"/>
  <c r="AZ10" i="20"/>
  <c r="L81" i="20"/>
  <c r="L10" i="20" s="1"/>
  <c r="M81" i="20"/>
  <c r="M10" i="20" s="1"/>
  <c r="N81" i="20"/>
  <c r="N10" i="20" s="1"/>
  <c r="AY24" i="20" l="1"/>
  <c r="AV24" i="20"/>
  <c r="AT24" i="20"/>
  <c r="AX236" i="6"/>
  <c r="AV31" i="20"/>
  <c r="AZ24" i="20"/>
  <c r="AU24" i="20"/>
  <c r="AW31" i="20"/>
  <c r="AS31" i="20"/>
  <c r="AZ31" i="20"/>
  <c r="AR31" i="20"/>
  <c r="AX31" i="20"/>
  <c r="AY31" i="20"/>
  <c r="AP24" i="20"/>
  <c r="AQ31" i="20"/>
  <c r="AX24" i="20"/>
  <c r="AT31" i="20"/>
  <c r="AW24" i="20"/>
  <c r="AS24" i="20"/>
  <c r="AU31" i="20"/>
  <c r="N24" i="20"/>
  <c r="M24" i="20"/>
  <c r="L24" i="20"/>
  <c r="AY236" i="6" l="1"/>
  <c r="AZ236" i="6" l="1"/>
  <c r="AO151" i="6" l="1"/>
  <c r="AS151" i="6"/>
  <c r="L241" i="6"/>
  <c r="M241" i="6"/>
  <c r="N241" i="6"/>
  <c r="M243" i="6" l="1"/>
  <c r="L243" i="6"/>
  <c r="L244" i="6" s="1"/>
  <c r="N243" i="6"/>
  <c r="AK179" i="6"/>
  <c r="AO179" i="6" s="1"/>
  <c r="AL179" i="6"/>
  <c r="AL180" i="6" s="1"/>
  <c r="AK12" i="8" s="1"/>
  <c r="AK24" i="8" s="1"/>
  <c r="AK36" i="8" s="1"/>
  <c r="AM179" i="6"/>
  <c r="AQ179" i="6" s="1"/>
  <c r="AN179" i="6"/>
  <c r="AR179" i="6" s="1"/>
  <c r="AK182" i="6"/>
  <c r="AK183" i="6" s="1"/>
  <c r="AL182" i="6"/>
  <c r="AL183" i="6" s="1"/>
  <c r="AM182" i="6"/>
  <c r="AM183" i="6" s="1"/>
  <c r="AN182" i="6"/>
  <c r="AN183" i="6" s="1"/>
  <c r="K216" i="6"/>
  <c r="AK217" i="6"/>
  <c r="AL217" i="6"/>
  <c r="AM217" i="6"/>
  <c r="AN217" i="6"/>
  <c r="AK230" i="6"/>
  <c r="AL230" i="6"/>
  <c r="AM230" i="6"/>
  <c r="AN230" i="6"/>
  <c r="K182" i="6" l="1"/>
  <c r="K183" i="6" s="1"/>
  <c r="K186" i="6"/>
  <c r="K187" i="6" s="1"/>
  <c r="M244" i="6"/>
  <c r="N244" i="6"/>
  <c r="AN180" i="6"/>
  <c r="AM12" i="8" s="1"/>
  <c r="AM24" i="8" s="1"/>
  <c r="AM36" i="8" s="1"/>
  <c r="AV179" i="6"/>
  <c r="AZ179" i="6" s="1"/>
  <c r="AM180" i="6"/>
  <c r="AL12" i="8" s="1"/>
  <c r="AL24" i="8" s="1"/>
  <c r="AL36" i="8" s="1"/>
  <c r="K230" i="6"/>
  <c r="AU179" i="6"/>
  <c r="AP179" i="6"/>
  <c r="AS179" i="6"/>
  <c r="AK180" i="6"/>
  <c r="AJ12" i="8" s="1"/>
  <c r="AJ24" i="8" s="1"/>
  <c r="AJ36" i="8" s="1"/>
  <c r="K217" i="6"/>
  <c r="K179" i="6"/>
  <c r="K180" i="6" s="1"/>
  <c r="AT179" i="6" l="1"/>
  <c r="AY179" i="6"/>
  <c r="AW179" i="6"/>
  <c r="AX179" i="6" l="1"/>
  <c r="L73" i="20" l="1"/>
  <c r="M73" i="20" l="1"/>
  <c r="AP206" i="21" l="1"/>
  <c r="N73" i="20"/>
  <c r="AQ206" i="21" l="1"/>
  <c r="AR206" i="21" l="1"/>
  <c r="L206" i="21" l="1"/>
  <c r="AS206" i="21"/>
  <c r="AT206" i="21" l="1"/>
  <c r="AO203" i="21" l="1"/>
  <c r="AO209" i="21" l="1"/>
  <c r="AO13" i="21" s="1"/>
  <c r="AP203" i="21" l="1"/>
  <c r="AP209" i="21" l="1"/>
  <c r="AP13" i="21" s="1"/>
  <c r="AQ203" i="21"/>
  <c r="AR203" i="21" l="1"/>
  <c r="AQ209" i="21"/>
  <c r="AQ13" i="21" s="1"/>
  <c r="L203" i="21" l="1"/>
  <c r="AS203" i="21"/>
  <c r="AR209" i="21"/>
  <c r="AR13" i="21" s="1"/>
  <c r="L209" i="21" l="1"/>
  <c r="AS209" i="21"/>
  <c r="AS13" i="21" s="1"/>
  <c r="AT203" i="21"/>
  <c r="AT209" i="21" l="1"/>
  <c r="AT13" i="21" s="1"/>
  <c r="L94" i="20" l="1"/>
  <c r="M94" i="20"/>
  <c r="N94" i="20"/>
  <c r="AM259" i="6" l="1"/>
  <c r="AN259" i="6"/>
  <c r="AM262" i="6"/>
  <c r="AN262" i="6"/>
  <c r="M116" i="20" l="1"/>
  <c r="N116" i="20"/>
  <c r="L13" i="21" l="1"/>
  <c r="AN109" i="21"/>
  <c r="AO35" i="21" l="1"/>
  <c r="AP35" i="21"/>
  <c r="AQ35" i="21"/>
  <c r="AR35" i="21"/>
  <c r="L35" i="21" s="1"/>
  <c r="L307" i="21" s="1"/>
  <c r="AS35" i="21"/>
  <c r="AT35" i="21"/>
  <c r="AU35" i="21"/>
  <c r="AV35" i="21"/>
  <c r="M35" i="21" s="1"/>
  <c r="M307" i="21" s="1"/>
  <c r="AW35" i="21"/>
  <c r="AX35" i="21"/>
  <c r="AY35" i="21"/>
  <c r="AZ35" i="21"/>
  <c r="N35" i="21" s="1"/>
  <c r="N307" i="21" s="1"/>
  <c r="K244" i="21" l="1"/>
  <c r="K278" i="21"/>
  <c r="K279" i="21" s="1"/>
  <c r="K283" i="21"/>
  <c r="K315" i="21"/>
  <c r="K316" i="21"/>
  <c r="K282" i="21" l="1"/>
  <c r="K281" i="21"/>
  <c r="K284" i="21"/>
  <c r="AO102" i="4" l="1"/>
  <c r="AP102" i="4"/>
  <c r="AQ102" i="4"/>
  <c r="AR102" i="4"/>
  <c r="AS102" i="4"/>
  <c r="AT102" i="4"/>
  <c r="AU102" i="4"/>
  <c r="AV102" i="4"/>
  <c r="AW102" i="4"/>
  <c r="AX102" i="4"/>
  <c r="AY102" i="4"/>
  <c r="AZ102" i="4"/>
  <c r="L273" i="6"/>
  <c r="M273" i="6"/>
  <c r="N273" i="6"/>
  <c r="AV182" i="4" l="1"/>
  <c r="AX182" i="4"/>
  <c r="AT182" i="4"/>
  <c r="AP182" i="4"/>
  <c r="AW182" i="4"/>
  <c r="AS182" i="4"/>
  <c r="AO182" i="4"/>
  <c r="AZ182" i="4"/>
  <c r="AR182" i="4"/>
  <c r="AY182" i="4"/>
  <c r="AU182" i="4"/>
  <c r="AQ182" i="4"/>
  <c r="L102" i="4"/>
  <c r="N102" i="4"/>
  <c r="M102" i="4"/>
  <c r="K257" i="4"/>
  <c r="K258" i="4" s="1"/>
  <c r="K259" i="4"/>
  <c r="K260" i="4"/>
  <c r="K262" i="4"/>
  <c r="L182" i="4" l="1"/>
  <c r="M182" i="4"/>
  <c r="N182" i="4"/>
  <c r="AP170" i="6" l="1"/>
  <c r="AP168" i="6" s="1"/>
  <c r="AQ170" i="6" l="1"/>
  <c r="AP171" i="6"/>
  <c r="AP176" i="6"/>
  <c r="AQ168" i="6" l="1"/>
  <c r="AR170" i="6"/>
  <c r="AP177" i="6"/>
  <c r="AP216" i="6"/>
  <c r="AR168" i="6" l="1"/>
  <c r="AS170" i="6"/>
  <c r="AT170" i="6" s="1"/>
  <c r="AQ171" i="6"/>
  <c r="AQ176" i="6"/>
  <c r="AP353" i="4"/>
  <c r="AP78" i="20"/>
  <c r="AP217" i="6"/>
  <c r="AP182" i="6"/>
  <c r="AP183" i="6" s="1"/>
  <c r="AP214" i="6"/>
  <c r="AP230" i="6" s="1"/>
  <c r="AQ177" i="6" l="1"/>
  <c r="AQ216" i="6"/>
  <c r="AR176" i="6"/>
  <c r="AR171" i="6"/>
  <c r="AT168" i="6"/>
  <c r="AU170" i="6"/>
  <c r="AP82" i="20"/>
  <c r="AP74" i="20"/>
  <c r="AP7" i="20"/>
  <c r="AP87" i="4"/>
  <c r="AP233" i="6"/>
  <c r="AP232" i="6"/>
  <c r="AP237" i="6"/>
  <c r="AP253" i="6"/>
  <c r="AP107" i="20" s="1"/>
  <c r="AP257" i="6"/>
  <c r="AP215" i="6"/>
  <c r="AP231" i="6"/>
  <c r="AP242" i="6"/>
  <c r="AP249" i="6"/>
  <c r="AP105" i="20" s="1"/>
  <c r="AP260" i="6"/>
  <c r="AP262" i="6" s="1"/>
  <c r="AP235" i="6"/>
  <c r="AR177" i="6" l="1"/>
  <c r="AR216" i="6"/>
  <c r="AV170" i="6"/>
  <c r="AU168" i="6"/>
  <c r="AQ353" i="4"/>
  <c r="AQ182" i="6"/>
  <c r="AQ183" i="6" s="1"/>
  <c r="AQ78" i="20"/>
  <c r="AQ217" i="6"/>
  <c r="AQ214" i="6"/>
  <c r="AQ230" i="6" s="1"/>
  <c r="AT171" i="6"/>
  <c r="AT176" i="6"/>
  <c r="AP11" i="4"/>
  <c r="AP311" i="4"/>
  <c r="AP159" i="21"/>
  <c r="AP84" i="21" s="1"/>
  <c r="AP278" i="21"/>
  <c r="AP83" i="20"/>
  <c r="AP75" i="20"/>
  <c r="AP169" i="21" s="1"/>
  <c r="AP85" i="21" s="1"/>
  <c r="AP239" i="6"/>
  <c r="AP85" i="20"/>
  <c r="AP87" i="20" s="1"/>
  <c r="AP21" i="20"/>
  <c r="AP11" i="20"/>
  <c r="AP14" i="20" s="1"/>
  <c r="AP172" i="20"/>
  <c r="AP97" i="20" s="1"/>
  <c r="AP255" i="6"/>
  <c r="AP259" i="6"/>
  <c r="AQ74" i="20" l="1"/>
  <c r="AQ7" i="20"/>
  <c r="AQ82" i="20"/>
  <c r="AT216" i="6"/>
  <c r="AT177" i="6"/>
  <c r="AU176" i="6"/>
  <c r="AU171" i="6"/>
  <c r="AW170" i="6"/>
  <c r="AX170" i="6" s="1"/>
  <c r="AV168" i="6"/>
  <c r="AR217" i="6"/>
  <c r="AR353" i="4"/>
  <c r="AR182" i="6"/>
  <c r="AR183" i="6" s="1"/>
  <c r="AR78" i="20"/>
  <c r="AR214" i="6"/>
  <c r="AQ253" i="6"/>
  <c r="AQ107" i="20" s="1"/>
  <c r="AQ242" i="6"/>
  <c r="AQ233" i="6"/>
  <c r="AQ257" i="6"/>
  <c r="AQ87" i="4"/>
  <c r="AQ232" i="6"/>
  <c r="AQ215" i="6"/>
  <c r="AQ260" i="6"/>
  <c r="AQ262" i="6" s="1"/>
  <c r="AQ235" i="6"/>
  <c r="AQ237" i="6"/>
  <c r="AQ85" i="20" s="1"/>
  <c r="AQ231" i="6"/>
  <c r="AQ249" i="6"/>
  <c r="AQ105" i="20" s="1"/>
  <c r="AP88" i="20"/>
  <c r="AP175" i="20"/>
  <c r="AP93" i="20"/>
  <c r="AP91" i="20" s="1"/>
  <c r="AP214" i="5"/>
  <c r="AP245" i="21"/>
  <c r="AP237" i="21" s="1"/>
  <c r="AP243" i="21"/>
  <c r="AP270" i="21"/>
  <c r="AP15" i="20"/>
  <c r="AP17" i="20"/>
  <c r="AP16" i="20"/>
  <c r="AP25" i="20"/>
  <c r="AP29" i="4"/>
  <c r="AR230" i="6" l="1"/>
  <c r="AR87" i="4"/>
  <c r="AR249" i="6"/>
  <c r="AR105" i="20" s="1"/>
  <c r="AR233" i="6"/>
  <c r="AR257" i="6"/>
  <c r="AR215" i="6"/>
  <c r="AR260" i="6"/>
  <c r="AR262" i="6" s="1"/>
  <c r="AR232" i="6"/>
  <c r="AR231" i="6"/>
  <c r="AR235" i="6"/>
  <c r="AR237" i="6"/>
  <c r="AR85" i="20" s="1"/>
  <c r="AR242" i="6"/>
  <c r="AR253" i="6"/>
  <c r="AR107" i="20" s="1"/>
  <c r="AQ11" i="20"/>
  <c r="AQ28" i="20"/>
  <c r="AQ21" i="20"/>
  <c r="AQ239" i="6"/>
  <c r="AQ93" i="20" s="1"/>
  <c r="AQ91" i="20" s="1"/>
  <c r="AQ11" i="4"/>
  <c r="AQ311" i="4"/>
  <c r="AQ314" i="4" s="1"/>
  <c r="AY170" i="6"/>
  <c r="AX168" i="6"/>
  <c r="AT182" i="6"/>
  <c r="AT183" i="6" s="1"/>
  <c r="AT353" i="4"/>
  <c r="AT78" i="20"/>
  <c r="AT217" i="6"/>
  <c r="AT214" i="6"/>
  <c r="AQ259" i="6"/>
  <c r="AQ172" i="20"/>
  <c r="AQ97" i="20" s="1"/>
  <c r="AQ255" i="6"/>
  <c r="AQ175" i="20" s="1"/>
  <c r="AQ79" i="21" s="1"/>
  <c r="AQ83" i="20"/>
  <c r="AQ75" i="20"/>
  <c r="AQ169" i="21" s="1"/>
  <c r="AQ85" i="21" s="1"/>
  <c r="AQ278" i="21"/>
  <c r="AQ159" i="21"/>
  <c r="AQ84" i="21" s="1"/>
  <c r="AU177" i="6"/>
  <c r="AU216" i="6"/>
  <c r="AQ87" i="20"/>
  <c r="AQ88" i="20" s="1"/>
  <c r="AR74" i="20"/>
  <c r="AR7" i="20"/>
  <c r="AR82" i="20"/>
  <c r="AV176" i="6"/>
  <c r="AV171" i="6"/>
  <c r="AP18" i="20"/>
  <c r="AP88" i="5"/>
  <c r="AP79" i="21"/>
  <c r="AP173" i="20"/>
  <c r="AP176" i="20"/>
  <c r="AP86" i="21"/>
  <c r="AP97" i="21" s="1"/>
  <c r="AV215" i="21"/>
  <c r="AP232" i="21"/>
  <c r="AP198" i="21"/>
  <c r="AP254" i="21"/>
  <c r="AQ255" i="21"/>
  <c r="AR87" i="20" l="1"/>
  <c r="AR88" i="20" s="1"/>
  <c r="AQ173" i="20"/>
  <c r="AQ174" i="20" s="1"/>
  <c r="AQ204" i="20" s="1"/>
  <c r="AX176" i="6"/>
  <c r="AX171" i="6"/>
  <c r="AQ16" i="20"/>
  <c r="AQ17" i="20"/>
  <c r="AQ25" i="20"/>
  <c r="AQ32" i="20"/>
  <c r="AQ15" i="20"/>
  <c r="AQ176" i="20"/>
  <c r="AR21" i="20"/>
  <c r="AR11" i="20"/>
  <c r="AR28" i="20"/>
  <c r="AT237" i="6"/>
  <c r="AT85" i="20" s="1"/>
  <c r="AT231" i="6"/>
  <c r="AT235" i="6"/>
  <c r="AT87" i="4"/>
  <c r="AT242" i="6"/>
  <c r="AT233" i="6"/>
  <c r="AT257" i="6"/>
  <c r="AT249" i="6"/>
  <c r="AT105" i="20" s="1"/>
  <c r="AT232" i="6"/>
  <c r="AT215" i="6"/>
  <c r="AT260" i="6"/>
  <c r="AT262" i="6" s="1"/>
  <c r="AT230" i="6"/>
  <c r="AT253" i="6"/>
  <c r="AT107" i="20" s="1"/>
  <c r="AQ29" i="4"/>
  <c r="AQ38" i="4"/>
  <c r="AV177" i="6"/>
  <c r="AV216" i="6"/>
  <c r="AQ245" i="21"/>
  <c r="AQ237" i="21" s="1"/>
  <c r="AQ270" i="21"/>
  <c r="AQ214" i="5"/>
  <c r="AQ88" i="5" s="1"/>
  <c r="AQ243" i="21"/>
  <c r="AT82" i="20"/>
  <c r="AT74" i="20"/>
  <c r="AT7" i="20"/>
  <c r="AY168" i="6"/>
  <c r="AZ170" i="6"/>
  <c r="AZ168" i="6" s="1"/>
  <c r="AQ14" i="20"/>
  <c r="AR239" i="6"/>
  <c r="AR93" i="20" s="1"/>
  <c r="AR91" i="20" s="1"/>
  <c r="AR11" i="4"/>
  <c r="AR311" i="4"/>
  <c r="AR314" i="4" s="1"/>
  <c r="AR159" i="21"/>
  <c r="AR84" i="21" s="1"/>
  <c r="AR83" i="20"/>
  <c r="AR75" i="20"/>
  <c r="AR169" i="21" s="1"/>
  <c r="AR85" i="21" s="1"/>
  <c r="AR278" i="21"/>
  <c r="AU214" i="6"/>
  <c r="AU230" i="6" s="1"/>
  <c r="AU353" i="4"/>
  <c r="AU217" i="6"/>
  <c r="AU78" i="20"/>
  <c r="AU182" i="6"/>
  <c r="AU183" i="6" s="1"/>
  <c r="AR172" i="20"/>
  <c r="AR97" i="20" s="1"/>
  <c r="AR255" i="6"/>
  <c r="AR175" i="20" s="1"/>
  <c r="AR259" i="6"/>
  <c r="AP174" i="20"/>
  <c r="AP204" i="20" s="1"/>
  <c r="M215" i="21"/>
  <c r="AQ108" i="20" l="1"/>
  <c r="AT239" i="6"/>
  <c r="AT93" i="20" s="1"/>
  <c r="AT91" i="20" s="1"/>
  <c r="AR38" i="4"/>
  <c r="AR29" i="4"/>
  <c r="AY176" i="6"/>
  <c r="AY171" i="6"/>
  <c r="AV214" i="6"/>
  <c r="AV353" i="4"/>
  <c r="AV182" i="6"/>
  <c r="AV183" i="6" s="1"/>
  <c r="AV78" i="20"/>
  <c r="AV217" i="6"/>
  <c r="AX177" i="6"/>
  <c r="AX216" i="6"/>
  <c r="AT21" i="20"/>
  <c r="AT11" i="20"/>
  <c r="AT11" i="4"/>
  <c r="AT311" i="4"/>
  <c r="AR173" i="20"/>
  <c r="AR174" i="20" s="1"/>
  <c r="AR204" i="20" s="1"/>
  <c r="AR176" i="20"/>
  <c r="AR79" i="21"/>
  <c r="AU74" i="20"/>
  <c r="AU7" i="20"/>
  <c r="AU82" i="20"/>
  <c r="AR243" i="21"/>
  <c r="AT256" i="21" s="1"/>
  <c r="AR270" i="21"/>
  <c r="AR214" i="5"/>
  <c r="AR88" i="5" s="1"/>
  <c r="AR245" i="21"/>
  <c r="AR237" i="21" s="1"/>
  <c r="AZ176" i="6"/>
  <c r="AZ171" i="6"/>
  <c r="AT87" i="20"/>
  <c r="AT88" i="20" s="1"/>
  <c r="AT75" i="20"/>
  <c r="AT169" i="21" s="1"/>
  <c r="AT85" i="21" s="1"/>
  <c r="AT278" i="21"/>
  <c r="AT83" i="20"/>
  <c r="AT159" i="21"/>
  <c r="AT84" i="21" s="1"/>
  <c r="AT172" i="20"/>
  <c r="AT97" i="20" s="1"/>
  <c r="AT255" i="6"/>
  <c r="AT175" i="20" s="1"/>
  <c r="AT79" i="21" s="1"/>
  <c r="AT259" i="6"/>
  <c r="AR14" i="20"/>
  <c r="AR25" i="20"/>
  <c r="AR32" i="20"/>
  <c r="AR17" i="20"/>
  <c r="AR15" i="20"/>
  <c r="AR16" i="20"/>
  <c r="AU233" i="6"/>
  <c r="AU257" i="6"/>
  <c r="AU249" i="6"/>
  <c r="AU105" i="20" s="1"/>
  <c r="AU215" i="6"/>
  <c r="AU235" i="6"/>
  <c r="AU237" i="6"/>
  <c r="AU85" i="20" s="1"/>
  <c r="AU231" i="6"/>
  <c r="AU253" i="6"/>
  <c r="AU107" i="20" s="1"/>
  <c r="AU242" i="6"/>
  <c r="AU87" i="4"/>
  <c r="AU232" i="6"/>
  <c r="AU260" i="6"/>
  <c r="AU262" i="6" s="1"/>
  <c r="AQ18" i="20"/>
  <c r="AQ86" i="21"/>
  <c r="AQ97" i="21" s="1"/>
  <c r="AW215" i="21"/>
  <c r="AQ232" i="21"/>
  <c r="AR255" i="21"/>
  <c r="AS256" i="21"/>
  <c r="AQ198" i="21"/>
  <c r="AX258" i="21"/>
  <c r="AQ254" i="21"/>
  <c r="AP108" i="20"/>
  <c r="AT29" i="4" l="1"/>
  <c r="AT176" i="20"/>
  <c r="AT173" i="20"/>
  <c r="AT174" i="20" s="1"/>
  <c r="AT204" i="20" s="1"/>
  <c r="AU11" i="4"/>
  <c r="AU311" i="4"/>
  <c r="AU314" i="4" s="1"/>
  <c r="AR18" i="20"/>
  <c r="AU28" i="20"/>
  <c r="AU11" i="20"/>
  <c r="AU21" i="20"/>
  <c r="AV74" i="20"/>
  <c r="AV7" i="20"/>
  <c r="AV82" i="20"/>
  <c r="AU239" i="6"/>
  <c r="AU93" i="20" s="1"/>
  <c r="AU91" i="20" s="1"/>
  <c r="AT214" i="5"/>
  <c r="AT88" i="5" s="1"/>
  <c r="AT243" i="21"/>
  <c r="AT270" i="21"/>
  <c r="AT245" i="21"/>
  <c r="AT237" i="21" s="1"/>
  <c r="AZ216" i="6"/>
  <c r="AZ177" i="6"/>
  <c r="AR232" i="21"/>
  <c r="L232" i="21" s="1"/>
  <c r="AR198" i="21"/>
  <c r="AS255" i="21"/>
  <c r="AX215" i="21"/>
  <c r="AR254" i="21"/>
  <c r="AR86" i="21"/>
  <c r="AR97" i="21" s="1"/>
  <c r="AU172" i="20"/>
  <c r="AU97" i="20" s="1"/>
  <c r="AU255" i="6"/>
  <c r="AU175" i="20" s="1"/>
  <c r="AU79" i="21" s="1"/>
  <c r="AU259" i="6"/>
  <c r="AX182" i="6"/>
  <c r="AX183" i="6" s="1"/>
  <c r="AX353" i="4"/>
  <c r="AX214" i="6"/>
  <c r="AX78" i="20"/>
  <c r="AX217" i="6"/>
  <c r="AY216" i="6"/>
  <c r="AY177" i="6"/>
  <c r="AR108" i="20"/>
  <c r="AY258" i="21"/>
  <c r="AU75" i="20"/>
  <c r="AU169" i="21" s="1"/>
  <c r="AU85" i="21" s="1"/>
  <c r="AU159" i="21"/>
  <c r="AU84" i="21" s="1"/>
  <c r="AU87" i="20"/>
  <c r="AU88" i="20" s="1"/>
  <c r="AU278" i="21"/>
  <c r="AU83" i="20"/>
  <c r="AT14" i="20"/>
  <c r="AT17" i="20"/>
  <c r="AT16" i="20"/>
  <c r="AT15" i="20"/>
  <c r="AT25" i="20"/>
  <c r="AV230" i="6"/>
  <c r="AV237" i="6"/>
  <c r="AV85" i="20" s="1"/>
  <c r="AV232" i="6"/>
  <c r="AV231" i="6"/>
  <c r="AV242" i="6"/>
  <c r="AV253" i="6"/>
  <c r="AV107" i="20" s="1"/>
  <c r="AV87" i="4"/>
  <c r="AV249" i="6"/>
  <c r="AV105" i="20" s="1"/>
  <c r="AV233" i="6"/>
  <c r="AV257" i="6"/>
  <c r="AV215" i="6"/>
  <c r="AV260" i="6"/>
  <c r="AV262" i="6" s="1"/>
  <c r="AV235" i="6"/>
  <c r="AV239" i="6" l="1"/>
  <c r="AV93" i="20" s="1"/>
  <c r="AV91" i="20" s="1"/>
  <c r="AT108" i="20"/>
  <c r="AV87" i="20"/>
  <c r="AV88" i="20" s="1"/>
  <c r="AU176" i="20"/>
  <c r="AX74" i="20"/>
  <c r="AX7" i="20"/>
  <c r="AX82" i="20"/>
  <c r="AV278" i="21"/>
  <c r="AV83" i="20"/>
  <c r="AV159" i="21"/>
  <c r="AV84" i="21" s="1"/>
  <c r="AV75" i="20"/>
  <c r="AV169" i="21" s="1"/>
  <c r="AV85" i="21" s="1"/>
  <c r="AU14" i="20"/>
  <c r="AU15" i="20"/>
  <c r="AU16" i="20"/>
  <c r="AU17" i="20"/>
  <c r="AU32" i="20"/>
  <c r="AU25" i="20"/>
  <c r="AU38" i="4"/>
  <c r="AU29" i="4"/>
  <c r="AV11" i="4"/>
  <c r="AV311" i="4"/>
  <c r="AV314" i="4" s="1"/>
  <c r="AT18" i="20"/>
  <c r="AX230" i="6"/>
  <c r="AX232" i="6"/>
  <c r="AX215" i="6"/>
  <c r="AX260" i="6"/>
  <c r="AX262" i="6" s="1"/>
  <c r="AX237" i="6"/>
  <c r="AX85" i="20" s="1"/>
  <c r="AX231" i="6"/>
  <c r="AX235" i="6"/>
  <c r="AX242" i="6"/>
  <c r="AX87" i="4"/>
  <c r="AX233" i="6"/>
  <c r="AX257" i="6"/>
  <c r="AX249" i="6"/>
  <c r="AX105" i="20" s="1"/>
  <c r="AX253" i="6"/>
  <c r="AX107" i="20" s="1"/>
  <c r="AT86" i="21"/>
  <c r="AT97" i="21" s="1"/>
  <c r="AU255" i="21"/>
  <c r="AT254" i="21"/>
  <c r="AT232" i="21"/>
  <c r="AZ215" i="21"/>
  <c r="N215" i="21" s="1"/>
  <c r="AT198" i="21"/>
  <c r="AV21" i="20"/>
  <c r="AV11" i="20"/>
  <c r="AV28" i="20"/>
  <c r="AV172" i="20"/>
  <c r="AV97" i="20" s="1"/>
  <c r="AV259" i="6"/>
  <c r="AV255" i="6"/>
  <c r="AV175" i="20" s="1"/>
  <c r="AV79" i="21" s="1"/>
  <c r="AY353" i="4"/>
  <c r="AY217" i="6"/>
  <c r="AY182" i="6"/>
  <c r="AY183" i="6" s="1"/>
  <c r="AY214" i="6"/>
  <c r="AY230" i="6" s="1"/>
  <c r="AY78" i="20"/>
  <c r="AZ78" i="20"/>
  <c r="AZ182" i="6"/>
  <c r="AZ183" i="6" s="1"/>
  <c r="AZ214" i="6"/>
  <c r="AZ353" i="4"/>
  <c r="AZ217" i="6"/>
  <c r="AU173" i="20"/>
  <c r="AU174" i="20" s="1"/>
  <c r="AU204" i="20" s="1"/>
  <c r="AU243" i="21"/>
  <c r="AU245" i="21"/>
  <c r="AU237" i="21" s="1"/>
  <c r="AU270" i="21"/>
  <c r="AU214" i="5"/>
  <c r="AU88" i="5" s="1"/>
  <c r="AV176" i="20" l="1"/>
  <c r="AU108" i="20"/>
  <c r="AX87" i="20"/>
  <c r="AX88" i="20" s="1"/>
  <c r="AX83" i="20"/>
  <c r="AX75" i="20"/>
  <c r="AX169" i="21" s="1"/>
  <c r="AX85" i="21" s="1"/>
  <c r="AX159" i="21"/>
  <c r="AX84" i="21" s="1"/>
  <c r="AX278" i="21"/>
  <c r="AZ237" i="6"/>
  <c r="AZ85" i="20" s="1"/>
  <c r="AZ242" i="6"/>
  <c r="AZ87" i="4"/>
  <c r="AZ249" i="6"/>
  <c r="AZ105" i="20" s="1"/>
  <c r="AZ233" i="6"/>
  <c r="AZ257" i="6"/>
  <c r="AZ215" i="6"/>
  <c r="AZ260" i="6"/>
  <c r="AZ262" i="6" s="1"/>
  <c r="AZ232" i="6"/>
  <c r="AZ231" i="6"/>
  <c r="AZ235" i="6"/>
  <c r="AZ253" i="6"/>
  <c r="AZ107" i="20" s="1"/>
  <c r="AX239" i="6"/>
  <c r="AX93" i="20" s="1"/>
  <c r="AX91" i="20" s="1"/>
  <c r="AV173" i="20"/>
  <c r="AV174" i="20" s="1"/>
  <c r="AV204" i="20" s="1"/>
  <c r="AZ230" i="6"/>
  <c r="AV14" i="20"/>
  <c r="AV25" i="20"/>
  <c r="AV32" i="20"/>
  <c r="AV17" i="20"/>
  <c r="AV15" i="20"/>
  <c r="AV16" i="20"/>
  <c r="AV38" i="4"/>
  <c r="AV29" i="4"/>
  <c r="AU18" i="20"/>
  <c r="AV214" i="5"/>
  <c r="AV88" i="5" s="1"/>
  <c r="AV243" i="21"/>
  <c r="AV245" i="21"/>
  <c r="AV237" i="21" s="1"/>
  <c r="AV270" i="21"/>
  <c r="AX11" i="4"/>
  <c r="AX311" i="4"/>
  <c r="AU254" i="21"/>
  <c r="AU198" i="21"/>
  <c r="AU86" i="21"/>
  <c r="AU97" i="21" s="1"/>
  <c r="AV255" i="21"/>
  <c r="AW256" i="21"/>
  <c r="AY82" i="20"/>
  <c r="AY74" i="20"/>
  <c r="AY7" i="20"/>
  <c r="AX172" i="20"/>
  <c r="AX97" i="20" s="1"/>
  <c r="AX255" i="6"/>
  <c r="AX175" i="20" s="1"/>
  <c r="AX259" i="6"/>
  <c r="AX21" i="20"/>
  <c r="AX11" i="20"/>
  <c r="AZ82" i="20"/>
  <c r="AZ74" i="20"/>
  <c r="AZ7" i="20"/>
  <c r="AY242" i="6"/>
  <c r="AY233" i="6"/>
  <c r="AY257" i="6"/>
  <c r="AY249" i="6"/>
  <c r="AY105" i="20" s="1"/>
  <c r="AY87" i="4"/>
  <c r="AY232" i="6"/>
  <c r="AY215" i="6"/>
  <c r="AY260" i="6"/>
  <c r="AY262" i="6" s="1"/>
  <c r="AY235" i="6"/>
  <c r="AY237" i="6"/>
  <c r="AY85" i="20" s="1"/>
  <c r="AY231" i="6"/>
  <c r="AY253" i="6"/>
  <c r="AY107" i="20" s="1"/>
  <c r="AX29" i="4" l="1"/>
  <c r="AX176" i="20"/>
  <c r="AX79" i="21"/>
  <c r="AY87" i="20"/>
  <c r="AY88" i="20" s="1"/>
  <c r="AY311" i="4"/>
  <c r="AY314" i="4" s="1"/>
  <c r="AY11" i="4"/>
  <c r="AZ83" i="20"/>
  <c r="AZ75" i="20"/>
  <c r="AZ169" i="21" s="1"/>
  <c r="AZ85" i="21" s="1"/>
  <c r="AZ278" i="21"/>
  <c r="AZ159" i="21"/>
  <c r="AZ84" i="21" s="1"/>
  <c r="AY159" i="21"/>
  <c r="AY84" i="21" s="1"/>
  <c r="AY278" i="21"/>
  <c r="AY83" i="20"/>
  <c r="AY75" i="20"/>
  <c r="AY169" i="21" s="1"/>
  <c r="AY85" i="21" s="1"/>
  <c r="AX173" i="20"/>
  <c r="AX174" i="20" s="1"/>
  <c r="AX204" i="20" s="1"/>
  <c r="AY255" i="6"/>
  <c r="AY175" i="20" s="1"/>
  <c r="AY259" i="6"/>
  <c r="AY172" i="20"/>
  <c r="AY97" i="20" s="1"/>
  <c r="AZ28" i="20"/>
  <c r="AZ21" i="20"/>
  <c r="AZ11" i="20"/>
  <c r="AY21" i="20"/>
  <c r="AY11" i="20"/>
  <c r="AY28" i="20"/>
  <c r="AV254" i="21"/>
  <c r="AV198" i="21"/>
  <c r="AX256" i="21"/>
  <c r="AV232" i="21"/>
  <c r="M232" i="21" s="1"/>
  <c r="AV86" i="21"/>
  <c r="AV97" i="21" s="1"/>
  <c r="AW255" i="21"/>
  <c r="AZ239" i="6"/>
  <c r="AZ93" i="20" s="1"/>
  <c r="AZ91" i="20" s="1"/>
  <c r="AZ311" i="4"/>
  <c r="AZ11" i="4"/>
  <c r="AZ172" i="20"/>
  <c r="AZ97" i="20" s="1"/>
  <c r="AZ259" i="6"/>
  <c r="AZ255" i="6"/>
  <c r="AZ175" i="20" s="1"/>
  <c r="AZ79" i="21" s="1"/>
  <c r="AZ87" i="20"/>
  <c r="AZ88" i="20" s="1"/>
  <c r="AY239" i="6"/>
  <c r="AY93" i="20" s="1"/>
  <c r="AY91" i="20" s="1"/>
  <c r="AV18" i="20"/>
  <c r="AX14" i="20"/>
  <c r="AX16" i="20"/>
  <c r="AX25" i="20"/>
  <c r="AX15" i="20"/>
  <c r="AX17" i="20"/>
  <c r="AX270" i="21"/>
  <c r="AX214" i="5"/>
  <c r="AX88" i="5" s="1"/>
  <c r="AX243" i="21"/>
  <c r="AX245" i="21"/>
  <c r="AX237" i="21" s="1"/>
  <c r="AV108" i="20"/>
  <c r="AZ314" i="4" l="1"/>
  <c r="AY173" i="20"/>
  <c r="AY174" i="20" s="1"/>
  <c r="AY204" i="20" s="1"/>
  <c r="AY176" i="20"/>
  <c r="AZ176" i="20"/>
  <c r="AY79" i="21"/>
  <c r="AZ173" i="20"/>
  <c r="AZ174" i="20" s="1"/>
  <c r="AZ204" i="20" s="1"/>
  <c r="AX18" i="20"/>
  <c r="AY270" i="21"/>
  <c r="AY245" i="21"/>
  <c r="AY237" i="21" s="1"/>
  <c r="AY214" i="5"/>
  <c r="AY88" i="5" s="1"/>
  <c r="AY243" i="21"/>
  <c r="AY255" i="21"/>
  <c r="AX254" i="21"/>
  <c r="AX198" i="21"/>
  <c r="AX86" i="21"/>
  <c r="AX97" i="21" s="1"/>
  <c r="AX232" i="21"/>
  <c r="AY38" i="4"/>
  <c r="AY29" i="4"/>
  <c r="AY25" i="20"/>
  <c r="AY14" i="20"/>
  <c r="AY15" i="20"/>
  <c r="AY16" i="20"/>
  <c r="AY17" i="20"/>
  <c r="AY32" i="20"/>
  <c r="AZ38" i="4"/>
  <c r="AZ29" i="4"/>
  <c r="AZ25" i="20"/>
  <c r="AZ32" i="20"/>
  <c r="AZ17" i="20"/>
  <c r="AZ16" i="20"/>
  <c r="AZ14" i="20"/>
  <c r="AZ15" i="20"/>
  <c r="AZ270" i="21"/>
  <c r="AZ214" i="5"/>
  <c r="AZ88" i="5" s="1"/>
  <c r="AZ243" i="21"/>
  <c r="AZ245" i="21"/>
  <c r="AZ237" i="21" s="1"/>
  <c r="AX108" i="20"/>
  <c r="AO166" i="6"/>
  <c r="AS166" i="6" s="1"/>
  <c r="AO168" i="6"/>
  <c r="AO171" i="6" s="1"/>
  <c r="L169" i="6"/>
  <c r="L166" i="6" s="1"/>
  <c r="L167" i="6" s="1"/>
  <c r="AO167" i="6" l="1"/>
  <c r="AO176" i="6"/>
  <c r="AW166" i="6"/>
  <c r="AW169" i="6" s="1"/>
  <c r="N169" i="6" s="1"/>
  <c r="N166" i="6" s="1"/>
  <c r="AS169" i="6"/>
  <c r="AY18" i="20"/>
  <c r="AY108" i="20"/>
  <c r="AZ232" i="21"/>
  <c r="N232" i="21" s="1"/>
  <c r="AZ198" i="21"/>
  <c r="AZ86" i="21"/>
  <c r="AZ97" i="21" s="1"/>
  <c r="AZ254" i="21"/>
  <c r="AZ18" i="20"/>
  <c r="AY86" i="21"/>
  <c r="AY97" i="21" s="1"/>
  <c r="AZ255" i="21"/>
  <c r="AY198" i="21"/>
  <c r="AY254" i="21"/>
  <c r="L171" i="6"/>
  <c r="L176" i="6" s="1"/>
  <c r="L177" i="6" s="1"/>
  <c r="AZ108" i="20"/>
  <c r="N171" i="6" l="1"/>
  <c r="N176" i="6" s="1"/>
  <c r="AO177" i="6"/>
  <c r="AO216" i="6"/>
  <c r="AW168" i="6"/>
  <c r="AW171" i="6" s="1"/>
  <c r="AS168" i="6"/>
  <c r="M169" i="6"/>
  <c r="AW176" i="6" l="1"/>
  <c r="AW216" i="6" s="1"/>
  <c r="L216" i="6"/>
  <c r="AO214" i="6"/>
  <c r="AO230" i="6" s="1"/>
  <c r="AO182" i="6"/>
  <c r="AO183" i="6" s="1"/>
  <c r="AO217" i="6"/>
  <c r="AO353" i="4"/>
  <c r="L353" i="4" s="1"/>
  <c r="AO78" i="20"/>
  <c r="M171" i="6"/>
  <c r="M176" i="6" s="1"/>
  <c r="M166" i="6"/>
  <c r="AS176" i="6"/>
  <c r="AS171" i="6"/>
  <c r="AW177" i="6" l="1"/>
  <c r="AO7" i="20"/>
  <c r="AO82" i="20"/>
  <c r="AO74" i="20"/>
  <c r="L74" i="20" s="1"/>
  <c r="L78" i="20"/>
  <c r="AO231" i="6"/>
  <c r="AO260" i="6"/>
  <c r="AO233" i="6"/>
  <c r="AO253" i="6"/>
  <c r="AO87" i="4"/>
  <c r="AO249" i="6"/>
  <c r="AO235" i="6"/>
  <c r="L214" i="6"/>
  <c r="AO232" i="6"/>
  <c r="AO215" i="6"/>
  <c r="AO257" i="6"/>
  <c r="AO242" i="6"/>
  <c r="AO237" i="6"/>
  <c r="L217" i="6"/>
  <c r="L182" i="6"/>
  <c r="L183" i="6" s="1"/>
  <c r="L179" i="6"/>
  <c r="L180" i="6" s="1"/>
  <c r="AS177" i="6"/>
  <c r="AS216" i="6"/>
  <c r="AW217" i="6" s="1"/>
  <c r="M167" i="6"/>
  <c r="N167" i="6"/>
  <c r="N177" i="6"/>
  <c r="M177" i="6"/>
  <c r="AW353" i="4"/>
  <c r="N353" i="4" s="1"/>
  <c r="AW78" i="20"/>
  <c r="AW182" i="6"/>
  <c r="AW214" i="6"/>
  <c r="AW230" i="6" s="1"/>
  <c r="N216" i="6"/>
  <c r="AO255" i="6" l="1"/>
  <c r="AO172" i="20"/>
  <c r="L257" i="6"/>
  <c r="AO259" i="6"/>
  <c r="AO239" i="6"/>
  <c r="L235" i="6"/>
  <c r="L236" i="6" s="1"/>
  <c r="L82" i="20"/>
  <c r="L7" i="20"/>
  <c r="AO105" i="20"/>
  <c r="L105" i="20" s="1"/>
  <c r="L249" i="6"/>
  <c r="L250" i="6" s="1"/>
  <c r="L260" i="6"/>
  <c r="AO262" i="6"/>
  <c r="L237" i="6"/>
  <c r="AO85" i="20"/>
  <c r="L85" i="20" s="1"/>
  <c r="AO311" i="4"/>
  <c r="AO11" i="4"/>
  <c r="L87" i="4"/>
  <c r="AO308" i="21"/>
  <c r="AO297" i="21"/>
  <c r="AO83" i="20"/>
  <c r="AO159" i="21"/>
  <c r="AO75" i="20"/>
  <c r="AO169" i="21" s="1"/>
  <c r="AO278" i="21"/>
  <c r="L215" i="6"/>
  <c r="L242" i="6"/>
  <c r="L231" i="6"/>
  <c r="L230" i="6"/>
  <c r="L233" i="6"/>
  <c r="L232" i="6"/>
  <c r="AO107" i="20"/>
  <c r="L107" i="20" s="1"/>
  <c r="L253" i="6"/>
  <c r="L254" i="6" s="1"/>
  <c r="AP28" i="20"/>
  <c r="AO11" i="20"/>
  <c r="AO21" i="20"/>
  <c r="AO28" i="20"/>
  <c r="AS78" i="20"/>
  <c r="AS214" i="6"/>
  <c r="AW215" i="6" s="1"/>
  <c r="M216" i="6"/>
  <c r="N217" i="6" s="1"/>
  <c r="AS217" i="6"/>
  <c r="AS353" i="4"/>
  <c r="M353" i="4" s="1"/>
  <c r="AS182" i="6"/>
  <c r="AS183" i="6" s="1"/>
  <c r="N182" i="6"/>
  <c r="N179" i="6"/>
  <c r="AW7" i="20"/>
  <c r="N78" i="20"/>
  <c r="AW74" i="20"/>
  <c r="N74" i="20" s="1"/>
  <c r="AW82" i="20"/>
  <c r="AW87" i="4"/>
  <c r="AW232" i="6"/>
  <c r="AW235" i="6"/>
  <c r="AW242" i="6"/>
  <c r="AW253" i="6"/>
  <c r="N214" i="6"/>
  <c r="AW237" i="6"/>
  <c r="AW260" i="6"/>
  <c r="AW231" i="6"/>
  <c r="AW233" i="6"/>
  <c r="AW249" i="6"/>
  <c r="AW257" i="6"/>
  <c r="AO87" i="20" l="1"/>
  <c r="AO88" i="20" s="1"/>
  <c r="AO84" i="21"/>
  <c r="AO161" i="21"/>
  <c r="L159" i="21"/>
  <c r="L11" i="20"/>
  <c r="L21" i="20"/>
  <c r="AO314" i="4"/>
  <c r="AP314" i="4"/>
  <c r="L311" i="4"/>
  <c r="L261" i="6"/>
  <c r="L262" i="6"/>
  <c r="L87" i="20"/>
  <c r="L88" i="20" s="1"/>
  <c r="L75" i="20"/>
  <c r="L83" i="20"/>
  <c r="L259" i="6"/>
  <c r="L258" i="6"/>
  <c r="AO270" i="21"/>
  <c r="AO214" i="5"/>
  <c r="AO243" i="21"/>
  <c r="AO245" i="21"/>
  <c r="AO10" i="21"/>
  <c r="AP297" i="21"/>
  <c r="L11" i="4"/>
  <c r="L29" i="4" s="1"/>
  <c r="L172" i="20"/>
  <c r="AO97" i="20"/>
  <c r="L97" i="20" s="1"/>
  <c r="AO14" i="20"/>
  <c r="AO16" i="20"/>
  <c r="AO17" i="20"/>
  <c r="AO25" i="20"/>
  <c r="AP32" i="20"/>
  <c r="AO32" i="20"/>
  <c r="AO15" i="20"/>
  <c r="AO85" i="21"/>
  <c r="L85" i="21" s="1"/>
  <c r="L169" i="21"/>
  <c r="AO171" i="21"/>
  <c r="AO36" i="21"/>
  <c r="AP308" i="21"/>
  <c r="AP38" i="4"/>
  <c r="AO29" i="4"/>
  <c r="AO38" i="4"/>
  <c r="L239" i="6"/>
  <c r="L240" i="6" s="1"/>
  <c r="AO93" i="20"/>
  <c r="L255" i="6"/>
  <c r="L256" i="6" s="1"/>
  <c r="AO175" i="20"/>
  <c r="AS230" i="6"/>
  <c r="AS260" i="6"/>
  <c r="AW262" i="6" s="1"/>
  <c r="AS249" i="6"/>
  <c r="AS242" i="6"/>
  <c r="AS87" i="4"/>
  <c r="AS215" i="6"/>
  <c r="AS257" i="6"/>
  <c r="AW259" i="6" s="1"/>
  <c r="M214" i="6"/>
  <c r="N215" i="6" s="1"/>
  <c r="AS231" i="6"/>
  <c r="AS232" i="6"/>
  <c r="AS253" i="6"/>
  <c r="AS237" i="6"/>
  <c r="AS233" i="6"/>
  <c r="AS235" i="6"/>
  <c r="AS74" i="20"/>
  <c r="M74" i="20" s="1"/>
  <c r="AS82" i="20"/>
  <c r="AW83" i="20" s="1"/>
  <c r="M78" i="20"/>
  <c r="AS7" i="20"/>
  <c r="AW21" i="20" s="1"/>
  <c r="AW183" i="6"/>
  <c r="M182" i="6"/>
  <c r="M183" i="6" s="1"/>
  <c r="M179" i="6"/>
  <c r="M180" i="6" s="1"/>
  <c r="M217" i="6"/>
  <c r="AW85" i="20"/>
  <c r="N85" i="20" s="1"/>
  <c r="N237" i="6"/>
  <c r="AW159" i="21"/>
  <c r="AW278" i="21"/>
  <c r="AW75" i="20"/>
  <c r="AW169" i="21" s="1"/>
  <c r="N232" i="6"/>
  <c r="N242" i="6"/>
  <c r="N231" i="6"/>
  <c r="N233" i="6"/>
  <c r="N235" i="6"/>
  <c r="N236" i="6" s="1"/>
  <c r="AW239" i="6"/>
  <c r="AW172" i="20"/>
  <c r="AW255" i="6"/>
  <c r="N257" i="6"/>
  <c r="AW107" i="20"/>
  <c r="N107" i="20" s="1"/>
  <c r="N253" i="6"/>
  <c r="N254" i="6" s="1"/>
  <c r="N7" i="20"/>
  <c r="N82" i="20"/>
  <c r="N230" i="6"/>
  <c r="AW105" i="20"/>
  <c r="N249" i="6"/>
  <c r="N250" i="6" s="1"/>
  <c r="N260" i="6"/>
  <c r="AW11" i="4"/>
  <c r="N87" i="4"/>
  <c r="AW311" i="4"/>
  <c r="AW11" i="20"/>
  <c r="AW14" i="20" s="1"/>
  <c r="AX28" i="20"/>
  <c r="AW28" i="20"/>
  <c r="O87" i="4" l="1"/>
  <c r="L176" i="21"/>
  <c r="AO79" i="21"/>
  <c r="AO176" i="20"/>
  <c r="AO173" i="20"/>
  <c r="AR275" i="21"/>
  <c r="AR273" i="21" s="1"/>
  <c r="AR272" i="21" s="1"/>
  <c r="AR67" i="21" s="1"/>
  <c r="L270" i="21"/>
  <c r="AO275" i="21"/>
  <c r="AP275" i="21"/>
  <c r="AP273" i="21" s="1"/>
  <c r="AP272" i="21" s="1"/>
  <c r="AP67" i="21" s="1"/>
  <c r="AQ275" i="21"/>
  <c r="AQ273" i="21" s="1"/>
  <c r="AQ272" i="21" s="1"/>
  <c r="AQ67" i="21" s="1"/>
  <c r="L14" i="20"/>
  <c r="L15" i="20"/>
  <c r="L25" i="20"/>
  <c r="L17" i="20"/>
  <c r="L16" i="20"/>
  <c r="AP167" i="21"/>
  <c r="AP168" i="21" s="1"/>
  <c r="AP171" i="21" s="1"/>
  <c r="AQ167" i="21" s="1"/>
  <c r="AO17" i="21"/>
  <c r="L245" i="21"/>
  <c r="AO237" i="21"/>
  <c r="AO239" i="21" s="1"/>
  <c r="L163" i="21"/>
  <c r="AO91" i="20"/>
  <c r="L91" i="20" s="1"/>
  <c r="L93" i="20"/>
  <c r="AO18" i="20"/>
  <c r="L243" i="21"/>
  <c r="AO299" i="21"/>
  <c r="AU257" i="21"/>
  <c r="AR256" i="21"/>
  <c r="AR253" i="21" s="1"/>
  <c r="AR260" i="21" s="1"/>
  <c r="AO198" i="21"/>
  <c r="AO186" i="21" s="1"/>
  <c r="AP186" i="21" s="1"/>
  <c r="AQ186" i="21" s="1"/>
  <c r="AO86" i="21"/>
  <c r="L86" i="21" s="1"/>
  <c r="AO254" i="21"/>
  <c r="AO302" i="21"/>
  <c r="AT257" i="21"/>
  <c r="AO244" i="21"/>
  <c r="AO232" i="21"/>
  <c r="AO220" i="21" s="1"/>
  <c r="AP220" i="21" s="1"/>
  <c r="AQ220" i="21" s="1"/>
  <c r="AQ256" i="21"/>
  <c r="AU215" i="21"/>
  <c r="AW258" i="21"/>
  <c r="AP255" i="21"/>
  <c r="AV257" i="21"/>
  <c r="AS257" i="21"/>
  <c r="AO16" i="21"/>
  <c r="AP157" i="21"/>
  <c r="AQ308" i="21"/>
  <c r="AP36" i="21"/>
  <c r="AP10" i="21"/>
  <c r="AQ297" i="21"/>
  <c r="L214" i="5"/>
  <c r="L88" i="5" s="1"/>
  <c r="AO88" i="5"/>
  <c r="AO97" i="21"/>
  <c r="L84" i="21"/>
  <c r="M7" i="20"/>
  <c r="N21" i="20" s="1"/>
  <c r="O78" i="20"/>
  <c r="M82" i="20"/>
  <c r="N83" i="20" s="1"/>
  <c r="AS239" i="6"/>
  <c r="M235" i="6"/>
  <c r="M236" i="6" s="1"/>
  <c r="M257" i="6"/>
  <c r="N259" i="6" s="1"/>
  <c r="AS259" i="6"/>
  <c r="AS172" i="20"/>
  <c r="AS255" i="6"/>
  <c r="M249" i="6"/>
  <c r="M250" i="6" s="1"/>
  <c r="AS105" i="20"/>
  <c r="M105" i="20" s="1"/>
  <c r="AS159" i="21"/>
  <c r="AS278" i="21"/>
  <c r="AS75" i="20"/>
  <c r="AS169" i="21" s="1"/>
  <c r="AS83" i="20"/>
  <c r="M260" i="6"/>
  <c r="N262" i="6" s="1"/>
  <c r="AS262" i="6"/>
  <c r="AW87" i="20"/>
  <c r="AS85" i="20"/>
  <c r="M237" i="6"/>
  <c r="M231" i="6"/>
  <c r="M232" i="6"/>
  <c r="M233" i="6"/>
  <c r="M230" i="6"/>
  <c r="M242" i="6"/>
  <c r="M215" i="6"/>
  <c r="AS311" i="4"/>
  <c r="AS11" i="4"/>
  <c r="M87" i="4"/>
  <c r="AS11" i="20"/>
  <c r="AS14" i="20" s="1"/>
  <c r="AS21" i="20"/>
  <c r="AS28" i="20"/>
  <c r="AT28" i="20"/>
  <c r="N183" i="6"/>
  <c r="M253" i="6"/>
  <c r="M254" i="6" s="1"/>
  <c r="AS107" i="20"/>
  <c r="M107" i="20" s="1"/>
  <c r="N180" i="6"/>
  <c r="N311" i="4"/>
  <c r="AW314" i="4"/>
  <c r="AX314" i="4"/>
  <c r="N105" i="20"/>
  <c r="N11" i="20"/>
  <c r="N14" i="20" s="1"/>
  <c r="AW97" i="20"/>
  <c r="N97" i="20" s="1"/>
  <c r="N172" i="20"/>
  <c r="AW15" i="20"/>
  <c r="AW17" i="20"/>
  <c r="AW32" i="20"/>
  <c r="AW16" i="20"/>
  <c r="AX32" i="20"/>
  <c r="N11" i="4"/>
  <c r="AW85" i="21"/>
  <c r="N85" i="21" s="1"/>
  <c r="N169" i="21"/>
  <c r="AW214" i="5"/>
  <c r="AW243" i="21"/>
  <c r="AW270" i="21"/>
  <c r="N270" i="21" s="1"/>
  <c r="AW245" i="21"/>
  <c r="AW38" i="4"/>
  <c r="AX38" i="4"/>
  <c r="N261" i="6"/>
  <c r="N258" i="6"/>
  <c r="AW84" i="21"/>
  <c r="N159" i="21"/>
  <c r="N75" i="20"/>
  <c r="N87" i="20"/>
  <c r="AW175" i="20"/>
  <c r="N255" i="6"/>
  <c r="N256" i="6" s="1"/>
  <c r="AW93" i="20"/>
  <c r="N239" i="6"/>
  <c r="N240" i="6" s="1"/>
  <c r="AW29" i="4" l="1"/>
  <c r="AP180" i="21"/>
  <c r="AP65" i="21" s="1"/>
  <c r="AP17" i="21"/>
  <c r="L97" i="21"/>
  <c r="AW25" i="20"/>
  <c r="AR297" i="21"/>
  <c r="AQ10" i="21"/>
  <c r="AP158" i="21"/>
  <c r="AP179" i="21" s="1"/>
  <c r="AP64" i="21" s="1"/>
  <c r="L255" i="21"/>
  <c r="AP253" i="21"/>
  <c r="AP260" i="21" s="1"/>
  <c r="AO253" i="21"/>
  <c r="L254" i="21"/>
  <c r="AP299" i="21"/>
  <c r="AO12" i="21"/>
  <c r="AO174" i="20"/>
  <c r="AO108" i="20" s="1"/>
  <c r="L108" i="20" s="1"/>
  <c r="L173" i="20"/>
  <c r="M257" i="21"/>
  <c r="AW212" i="21"/>
  <c r="AU212" i="21"/>
  <c r="AU206" i="21" s="1"/>
  <c r="AU232" i="21"/>
  <c r="AV212" i="21"/>
  <c r="M212" i="21" s="1"/>
  <c r="AX212" i="21"/>
  <c r="AU203" i="21"/>
  <c r="L278" i="21"/>
  <c r="L281" i="21" s="1"/>
  <c r="L18" i="20"/>
  <c r="AO273" i="21"/>
  <c r="L275" i="21"/>
  <c r="AQ36" i="21"/>
  <c r="AR308" i="21"/>
  <c r="L256" i="21"/>
  <c r="AQ253" i="21"/>
  <c r="AQ260" i="21" s="1"/>
  <c r="AO21" i="21"/>
  <c r="AP302" i="21"/>
  <c r="AR195" i="21"/>
  <c r="AR66" i="21"/>
  <c r="AR229" i="21"/>
  <c r="L229" i="21" s="1"/>
  <c r="AR287" i="21"/>
  <c r="AP236" i="21"/>
  <c r="AP238" i="21" s="1"/>
  <c r="AP246" i="21" s="1"/>
  <c r="AP244" i="21" s="1"/>
  <c r="AO304" i="21"/>
  <c r="AO32" i="21"/>
  <c r="AO49" i="21"/>
  <c r="L79" i="21"/>
  <c r="N163" i="21"/>
  <c r="AW18" i="20"/>
  <c r="AS29" i="4"/>
  <c r="AS38" i="4"/>
  <c r="AT38" i="4"/>
  <c r="M262" i="6"/>
  <c r="M261" i="6"/>
  <c r="M159" i="21"/>
  <c r="AS84" i="21"/>
  <c r="M172" i="20"/>
  <c r="AS97" i="20"/>
  <c r="M97" i="20" s="1"/>
  <c r="AS93" i="20"/>
  <c r="M239" i="6"/>
  <c r="M240" i="6" s="1"/>
  <c r="AT314" i="4"/>
  <c r="AS314" i="4"/>
  <c r="M311" i="4"/>
  <c r="M85" i="20"/>
  <c r="M87" i="20" s="1"/>
  <c r="N88" i="20" s="1"/>
  <c r="AS87" i="20"/>
  <c r="M75" i="20"/>
  <c r="O75" i="20" s="1"/>
  <c r="M83" i="20"/>
  <c r="AS15" i="20"/>
  <c r="AT32" i="20"/>
  <c r="AS17" i="20"/>
  <c r="AS16" i="20"/>
  <c r="AS32" i="20"/>
  <c r="AS25" i="20"/>
  <c r="M169" i="21"/>
  <c r="M176" i="21" s="1"/>
  <c r="AS85" i="21"/>
  <c r="M85" i="21" s="1"/>
  <c r="M258" i="6"/>
  <c r="M259" i="6"/>
  <c r="M11" i="4"/>
  <c r="M29" i="4" s="1"/>
  <c r="F8" i="3"/>
  <c r="D8" i="3" s="1"/>
  <c r="AS243" i="21"/>
  <c r="AS270" i="21"/>
  <c r="AS245" i="21"/>
  <c r="AS214" i="5"/>
  <c r="AS175" i="20"/>
  <c r="M255" i="6"/>
  <c r="M256" i="6" s="1"/>
  <c r="M21" i="20"/>
  <c r="M11" i="20"/>
  <c r="N25" i="20" s="1"/>
  <c r="AW86" i="21"/>
  <c r="N86" i="21" s="1"/>
  <c r="AZ256" i="21"/>
  <c r="AW232" i="21"/>
  <c r="AW254" i="21"/>
  <c r="N243" i="21"/>
  <c r="AW198" i="21"/>
  <c r="AX255" i="21"/>
  <c r="AY256" i="21"/>
  <c r="AW88" i="5"/>
  <c r="N214" i="5"/>
  <c r="AR186" i="21"/>
  <c r="N84" i="21"/>
  <c r="AW237" i="21"/>
  <c r="N245" i="21"/>
  <c r="N176" i="21"/>
  <c r="AW79" i="21"/>
  <c r="N79" i="21" s="1"/>
  <c r="AW173" i="20"/>
  <c r="AW176" i="20"/>
  <c r="N93" i="20"/>
  <c r="AW91" i="20"/>
  <c r="AR220" i="21"/>
  <c r="N15" i="20"/>
  <c r="N17" i="20"/>
  <c r="N16" i="20"/>
  <c r="AQ168" i="21"/>
  <c r="N29" i="4" l="1"/>
  <c r="AP181" i="20"/>
  <c r="AP180" i="20"/>
  <c r="AP181" i="21"/>
  <c r="M14" i="20"/>
  <c r="AP239" i="21"/>
  <c r="AQ236" i="21" s="1"/>
  <c r="AV206" i="21"/>
  <c r="AW206" i="21" s="1"/>
  <c r="AX206" i="21" s="1"/>
  <c r="AO272" i="21"/>
  <c r="L273" i="21"/>
  <c r="L272" i="21" s="1"/>
  <c r="L268" i="21" s="1"/>
  <c r="AU209" i="21"/>
  <c r="AU13" i="21" s="1"/>
  <c r="AV203" i="21"/>
  <c r="AP161" i="21"/>
  <c r="AW97" i="21"/>
  <c r="AR213" i="5"/>
  <c r="AR286" i="21"/>
  <c r="AP21" i="21"/>
  <c r="AQ302" i="21"/>
  <c r="AR36" i="21"/>
  <c r="L36" i="21" s="1"/>
  <c r="L308" i="21" s="1"/>
  <c r="L319" i="21" s="1"/>
  <c r="AS308" i="21"/>
  <c r="L174" i="20"/>
  <c r="L175" i="20" s="1"/>
  <c r="L176" i="20" s="1"/>
  <c r="AO204" i="20"/>
  <c r="L204" i="20" s="1"/>
  <c r="AO260" i="21"/>
  <c r="L253" i="21"/>
  <c r="N97" i="21"/>
  <c r="L283" i="21"/>
  <c r="L282" i="21"/>
  <c r="L279" i="21"/>
  <c r="L284" i="21"/>
  <c r="AP287" i="21"/>
  <c r="AP66" i="21"/>
  <c r="AP195" i="21"/>
  <c r="AP229" i="21"/>
  <c r="AQ195" i="21"/>
  <c r="AQ229" i="21"/>
  <c r="AQ287" i="21"/>
  <c r="AQ66" i="21"/>
  <c r="AP12" i="21"/>
  <c r="AQ299" i="21"/>
  <c r="AR10" i="21"/>
  <c r="L10" i="21" s="1"/>
  <c r="L297" i="21" s="1"/>
  <c r="L314" i="21" s="1"/>
  <c r="AS297" i="21"/>
  <c r="M270" i="21"/>
  <c r="AS275" i="21"/>
  <c r="AX275" i="21"/>
  <c r="AX273" i="21" s="1"/>
  <c r="AX272" i="21" s="1"/>
  <c r="AX67" i="21" s="1"/>
  <c r="AY275" i="21"/>
  <c r="AY273" i="21" s="1"/>
  <c r="AY272" i="21" s="1"/>
  <c r="AY67" i="21" s="1"/>
  <c r="AW275" i="21"/>
  <c r="AZ275" i="21"/>
  <c r="AZ273" i="21" s="1"/>
  <c r="AZ272" i="21" s="1"/>
  <c r="AZ67" i="21" s="1"/>
  <c r="AT275" i="21"/>
  <c r="AT273" i="21" s="1"/>
  <c r="AT272" i="21" s="1"/>
  <c r="AT67" i="21" s="1"/>
  <c r="AU275" i="21"/>
  <c r="AU273" i="21" s="1"/>
  <c r="AU272" i="21" s="1"/>
  <c r="AU67" i="21" s="1"/>
  <c r="AV275" i="21"/>
  <c r="AV273" i="21" s="1"/>
  <c r="AV272" i="21" s="1"/>
  <c r="AV67" i="21" s="1"/>
  <c r="M93" i="20"/>
  <c r="AS91" i="20"/>
  <c r="M91" i="20" s="1"/>
  <c r="M163" i="21"/>
  <c r="N18" i="20"/>
  <c r="M16" i="20"/>
  <c r="M15" i="20"/>
  <c r="M17" i="20"/>
  <c r="M25" i="20"/>
  <c r="AS79" i="21"/>
  <c r="M79" i="21" s="1"/>
  <c r="AS176" i="20"/>
  <c r="AS173" i="20"/>
  <c r="AX257" i="21"/>
  <c r="AX253" i="21" s="1"/>
  <c r="AX260" i="21" s="1"/>
  <c r="AY257" i="21"/>
  <c r="AY253" i="21" s="1"/>
  <c r="AY260" i="21" s="1"/>
  <c r="AV256" i="21"/>
  <c r="AV253" i="21" s="1"/>
  <c r="AV260" i="21" s="1"/>
  <c r="AW257" i="21"/>
  <c r="AW253" i="21" s="1"/>
  <c r="AY215" i="21"/>
  <c r="AZ258" i="21"/>
  <c r="N258" i="21" s="1"/>
  <c r="AZ257" i="21"/>
  <c r="M243" i="21"/>
  <c r="AS198" i="21"/>
  <c r="AS186" i="21" s="1"/>
  <c r="AS86" i="21"/>
  <c r="M86" i="21" s="1"/>
  <c r="AS254" i="21"/>
  <c r="AU256" i="21"/>
  <c r="AT255" i="21"/>
  <c r="AS232" i="21"/>
  <c r="AS220" i="21" s="1"/>
  <c r="O87" i="20"/>
  <c r="M88" i="20"/>
  <c r="M214" i="5"/>
  <c r="M88" i="5" s="1"/>
  <c r="AS88" i="5"/>
  <c r="AS18" i="20"/>
  <c r="AW88" i="20"/>
  <c r="AS88" i="20"/>
  <c r="M245" i="21"/>
  <c r="AS237" i="21"/>
  <c r="M84" i="21"/>
  <c r="N91" i="20"/>
  <c r="N173" i="20"/>
  <c r="L186" i="21"/>
  <c r="L198" i="21" s="1"/>
  <c r="N88" i="5"/>
  <c r="N255" i="21"/>
  <c r="N254" i="21"/>
  <c r="AQ180" i="21"/>
  <c r="L220" i="21"/>
  <c r="AQ171" i="21"/>
  <c r="AW174" i="20"/>
  <c r="AW108" i="20" s="1"/>
  <c r="N108" i="20" s="1"/>
  <c r="N256" i="21"/>
  <c r="N278" i="21"/>
  <c r="N282" i="21" s="1"/>
  <c r="AP182" i="20" l="1"/>
  <c r="AP304" i="21"/>
  <c r="AP32" i="21"/>
  <c r="AZ253" i="21"/>
  <c r="AZ260" i="21" s="1"/>
  <c r="AZ195" i="21" s="1"/>
  <c r="M206" i="21"/>
  <c r="M18" i="20"/>
  <c r="AP16" i="21"/>
  <c r="AQ157" i="21"/>
  <c r="AR299" i="21"/>
  <c r="AQ12" i="21"/>
  <c r="AQ213" i="5"/>
  <c r="AQ286" i="21"/>
  <c r="AS36" i="21"/>
  <c r="AT308" i="21"/>
  <c r="AR288" i="21"/>
  <c r="AV288" i="21" s="1"/>
  <c r="AZ288" i="21" s="1"/>
  <c r="AR245" i="6"/>
  <c r="AR95" i="20" s="1"/>
  <c r="AS97" i="21"/>
  <c r="AO229" i="21"/>
  <c r="AO223" i="21" s="1"/>
  <c r="L260" i="21"/>
  <c r="AO287" i="21"/>
  <c r="AO195" i="21"/>
  <c r="AO189" i="21" s="1"/>
  <c r="AO66" i="21"/>
  <c r="L66" i="21" s="1"/>
  <c r="AO268" i="21"/>
  <c r="AO67" i="21"/>
  <c r="L67" i="21" s="1"/>
  <c r="AS10" i="21"/>
  <c r="AT297" i="21"/>
  <c r="AP213" i="5"/>
  <c r="AP286" i="21"/>
  <c r="AQ21" i="21"/>
  <c r="AR302" i="21"/>
  <c r="AW203" i="21"/>
  <c r="AV209" i="21"/>
  <c r="M203" i="21"/>
  <c r="M256" i="21"/>
  <c r="AU253" i="21"/>
  <c r="AU260" i="21" s="1"/>
  <c r="M278" i="21"/>
  <c r="M281" i="21" s="1"/>
  <c r="N257" i="21"/>
  <c r="M173" i="20"/>
  <c r="AS174" i="20"/>
  <c r="AS253" i="21"/>
  <c r="M254" i="21"/>
  <c r="AV229" i="21"/>
  <c r="M229" i="21" s="1"/>
  <c r="AV287" i="21"/>
  <c r="AV66" i="21"/>
  <c r="AV195" i="21"/>
  <c r="AS273" i="21"/>
  <c r="M275" i="21"/>
  <c r="N281" i="21"/>
  <c r="M97" i="21"/>
  <c r="M255" i="21"/>
  <c r="AT253" i="21"/>
  <c r="AT260" i="21" s="1"/>
  <c r="AY232" i="21"/>
  <c r="AZ212" i="21"/>
  <c r="N212" i="21" s="1"/>
  <c r="AY212" i="21"/>
  <c r="AY206" i="21" s="1"/>
  <c r="N275" i="21"/>
  <c r="AW273" i="21"/>
  <c r="AX66" i="21"/>
  <c r="AX195" i="21"/>
  <c r="AX229" i="21"/>
  <c r="AX287" i="21"/>
  <c r="AY195" i="21"/>
  <c r="AY287" i="21"/>
  <c r="AY66" i="21"/>
  <c r="AR167" i="21"/>
  <c r="AQ17" i="21"/>
  <c r="AT186" i="21"/>
  <c r="N279" i="21"/>
  <c r="N284" i="21"/>
  <c r="N283" i="21"/>
  <c r="N174" i="20"/>
  <c r="N175" i="20" s="1"/>
  <c r="AW204" i="20"/>
  <c r="N204" i="20" s="1"/>
  <c r="AT220" i="21"/>
  <c r="AQ238" i="21"/>
  <c r="AQ246" i="21" s="1"/>
  <c r="AQ65" i="21"/>
  <c r="AQ181" i="20"/>
  <c r="AW260" i="21"/>
  <c r="N253" i="21" l="1"/>
  <c r="AZ66" i="21"/>
  <c r="M282" i="21"/>
  <c r="M283" i="21"/>
  <c r="AZ287" i="21"/>
  <c r="AZ206" i="21"/>
  <c r="N206" i="21" s="1"/>
  <c r="AO192" i="21"/>
  <c r="AP189" i="21"/>
  <c r="AS299" i="21"/>
  <c r="AR12" i="21"/>
  <c r="L12" i="21" s="1"/>
  <c r="L299" i="21" s="1"/>
  <c r="L315" i="21" s="1"/>
  <c r="AY229" i="21"/>
  <c r="M209" i="21"/>
  <c r="AV13" i="21"/>
  <c r="M13" i="21" s="1"/>
  <c r="AP288" i="21"/>
  <c r="AT288" i="21" s="1"/>
  <c r="AX288" i="21" s="1"/>
  <c r="AX286" i="21" s="1"/>
  <c r="AP245" i="6"/>
  <c r="AP95" i="20" s="1"/>
  <c r="AO213" i="5"/>
  <c r="AO286" i="21"/>
  <c r="L287" i="21"/>
  <c r="AR246" i="6"/>
  <c r="AQ245" i="6"/>
  <c r="AQ95" i="20" s="1"/>
  <c r="AQ288" i="21"/>
  <c r="AU288" i="21" s="1"/>
  <c r="AY288" i="21" s="1"/>
  <c r="AY286" i="21" s="1"/>
  <c r="AY245" i="6" s="1"/>
  <c r="AY95" i="20" s="1"/>
  <c r="AQ158" i="21"/>
  <c r="AQ179" i="21" s="1"/>
  <c r="AW209" i="21"/>
  <c r="AW13" i="21" s="1"/>
  <c r="AX203" i="21"/>
  <c r="AO301" i="21"/>
  <c r="AO23" i="21"/>
  <c r="AP268" i="21"/>
  <c r="AS302" i="21"/>
  <c r="AR21" i="21"/>
  <c r="L21" i="21" s="1"/>
  <c r="L302" i="21" s="1"/>
  <c r="L316" i="21" s="1"/>
  <c r="AU297" i="21"/>
  <c r="AT10" i="21"/>
  <c r="AP223" i="21"/>
  <c r="AO226" i="21"/>
  <c r="AO22" i="21" s="1"/>
  <c r="AT36" i="21"/>
  <c r="AU308" i="21"/>
  <c r="AT229" i="21"/>
  <c r="AT287" i="21"/>
  <c r="AT66" i="21"/>
  <c r="AT195" i="21"/>
  <c r="AV213" i="5"/>
  <c r="AV286" i="21"/>
  <c r="AV291" i="21" s="1"/>
  <c r="AS272" i="21"/>
  <c r="AS67" i="21" s="1"/>
  <c r="M67" i="21" s="1"/>
  <c r="M273" i="21"/>
  <c r="M272" i="21" s="1"/>
  <c r="M268" i="21" s="1"/>
  <c r="AS108" i="20"/>
  <c r="M108" i="20" s="1"/>
  <c r="M174" i="20"/>
  <c r="M175" i="20" s="1"/>
  <c r="M176" i="20" s="1"/>
  <c r="AS204" i="20"/>
  <c r="M204" i="20" s="1"/>
  <c r="M284" i="21"/>
  <c r="M279" i="21"/>
  <c r="AU66" i="21"/>
  <c r="AU229" i="21"/>
  <c r="AU195" i="21"/>
  <c r="AU287" i="21"/>
  <c r="AZ229" i="21"/>
  <c r="N229" i="21" s="1"/>
  <c r="AQ239" i="21"/>
  <c r="AQ304" i="21" s="1"/>
  <c r="AW272" i="21"/>
  <c r="AW67" i="21" s="1"/>
  <c r="N67" i="21" s="1"/>
  <c r="N273" i="21"/>
  <c r="N272" i="21" s="1"/>
  <c r="AS260" i="21"/>
  <c r="M253" i="21"/>
  <c r="AU220" i="21"/>
  <c r="AX213" i="5"/>
  <c r="AQ244" i="21"/>
  <c r="AY213" i="5"/>
  <c r="N260" i="21"/>
  <c r="AW195" i="21"/>
  <c r="AW229" i="21"/>
  <c r="AW287" i="21"/>
  <c r="AW66" i="21"/>
  <c r="N176" i="20"/>
  <c r="AU186" i="21"/>
  <c r="AR168" i="21"/>
  <c r="AR171" i="21" s="1"/>
  <c r="AR106" i="4" l="1"/>
  <c r="N66" i="21"/>
  <c r="AR236" i="21"/>
  <c r="AR238" i="21" s="1"/>
  <c r="AR246" i="21" s="1"/>
  <c r="AZ213" i="5"/>
  <c r="AZ286" i="21"/>
  <c r="AO24" i="21"/>
  <c r="AX245" i="6"/>
  <c r="AX291" i="21"/>
  <c r="AX292" i="21"/>
  <c r="AQ32" i="21"/>
  <c r="AQ223" i="21"/>
  <c r="AP226" i="21"/>
  <c r="AP22" i="21" s="1"/>
  <c r="AS21" i="21"/>
  <c r="AT302" i="21"/>
  <c r="AX209" i="21"/>
  <c r="AX13" i="21" s="1"/>
  <c r="AY203" i="21"/>
  <c r="AU36" i="21"/>
  <c r="AV308" i="21"/>
  <c r="AP301" i="21"/>
  <c r="AQ268" i="21"/>
  <c r="AP23" i="21"/>
  <c r="AQ246" i="6"/>
  <c r="AO288" i="21"/>
  <c r="AO245" i="6"/>
  <c r="AT299" i="21"/>
  <c r="AS12" i="21"/>
  <c r="AV297" i="21"/>
  <c r="AU10" i="21"/>
  <c r="AQ161" i="21"/>
  <c r="AO218" i="5"/>
  <c r="AO72" i="5"/>
  <c r="AO216" i="5"/>
  <c r="L213" i="5"/>
  <c r="L218" i="5" s="1"/>
  <c r="AQ189" i="21"/>
  <c r="AP192" i="21"/>
  <c r="AQ181" i="21"/>
  <c r="AQ180" i="20"/>
  <c r="AQ182" i="20" s="1"/>
  <c r="AQ64" i="21"/>
  <c r="AP246" i="6"/>
  <c r="AU286" i="21"/>
  <c r="AU291" i="21" s="1"/>
  <c r="AU213" i="5"/>
  <c r="N268" i="21"/>
  <c r="AV245" i="6"/>
  <c r="AV95" i="20" s="1"/>
  <c r="AV292" i="21"/>
  <c r="AT213" i="5"/>
  <c r="AT286" i="21"/>
  <c r="AY292" i="21"/>
  <c r="AS229" i="21"/>
  <c r="M260" i="21"/>
  <c r="AS287" i="21"/>
  <c r="AS195" i="21"/>
  <c r="AS66" i="21"/>
  <c r="M66" i="21" s="1"/>
  <c r="AR17" i="21"/>
  <c r="L17" i="21" s="1"/>
  <c r="L171" i="21" s="1"/>
  <c r="M167" i="21" s="1"/>
  <c r="AS167" i="21"/>
  <c r="AV186" i="21"/>
  <c r="AR180" i="21"/>
  <c r="L168" i="21"/>
  <c r="L175" i="21" s="1"/>
  <c r="AY291" i="21"/>
  <c r="AV220" i="21"/>
  <c r="AW213" i="5"/>
  <c r="N287" i="21"/>
  <c r="AY246" i="6"/>
  <c r="AX246" i="6" l="1"/>
  <c r="AX95" i="20"/>
  <c r="AX106" i="4" s="1"/>
  <c r="AQ106" i="4"/>
  <c r="AY106" i="4"/>
  <c r="AP106" i="4"/>
  <c r="AZ245" i="6"/>
  <c r="AZ95" i="20" s="1"/>
  <c r="AZ292" i="21"/>
  <c r="AZ291" i="21"/>
  <c r="AP24" i="21"/>
  <c r="AW297" i="21"/>
  <c r="AV10" i="21"/>
  <c r="M10" i="21" s="1"/>
  <c r="M297" i="21" s="1"/>
  <c r="M314" i="21" s="1"/>
  <c r="AO95" i="20"/>
  <c r="AO106" i="4" s="1"/>
  <c r="L245" i="6"/>
  <c r="L246" i="6" s="1"/>
  <c r="AO246" i="6"/>
  <c r="AR189" i="21"/>
  <c r="AQ192" i="21"/>
  <c r="L288" i="21"/>
  <c r="AS288" i="21"/>
  <c r="AS286" i="21" s="1"/>
  <c r="AQ23" i="21"/>
  <c r="AQ301" i="21"/>
  <c r="AR268" i="21"/>
  <c r="AY209" i="21"/>
  <c r="AY13" i="21" s="1"/>
  <c r="AZ203" i="21"/>
  <c r="AR157" i="21"/>
  <c r="AQ16" i="21"/>
  <c r="AR223" i="21"/>
  <c r="AQ226" i="21"/>
  <c r="AQ22" i="21" s="1"/>
  <c r="AO19" i="5"/>
  <c r="AP211" i="5"/>
  <c r="AT12" i="21"/>
  <c r="AU299" i="21"/>
  <c r="AV36" i="21"/>
  <c r="M36" i="21" s="1"/>
  <c r="M308" i="21" s="1"/>
  <c r="M319" i="21" s="1"/>
  <c r="AW308" i="21"/>
  <c r="AT21" i="21"/>
  <c r="AU302" i="21"/>
  <c r="AV246" i="6"/>
  <c r="AU245" i="6"/>
  <c r="AU95" i="20" s="1"/>
  <c r="AU292" i="21"/>
  <c r="AS213" i="5"/>
  <c r="M213" i="5" s="1"/>
  <c r="M287" i="21"/>
  <c r="AT245" i="6"/>
  <c r="AT95" i="20" s="1"/>
  <c r="AT292" i="21"/>
  <c r="AT291" i="21"/>
  <c r="AR65" i="21"/>
  <c r="L65" i="21" s="1"/>
  <c r="AR181" i="20"/>
  <c r="L181" i="20" s="1"/>
  <c r="L180" i="21"/>
  <c r="AR239" i="21"/>
  <c r="AR244" i="21"/>
  <c r="L244" i="21" s="1"/>
  <c r="L246" i="21"/>
  <c r="N213" i="5"/>
  <c r="AW220" i="21"/>
  <c r="M220" i="21"/>
  <c r="AW186" i="21"/>
  <c r="M186" i="21"/>
  <c r="M198" i="21" s="1"/>
  <c r="AS168" i="21"/>
  <c r="AS171" i="21" s="1"/>
  <c r="AV106" i="4" l="1"/>
  <c r="AZ246" i="6"/>
  <c r="AR192" i="21"/>
  <c r="L192" i="21" s="1"/>
  <c r="AS189" i="21"/>
  <c r="L189" i="21"/>
  <c r="L195" i="21" s="1"/>
  <c r="AU21" i="21"/>
  <c r="AV302" i="21"/>
  <c r="AV299" i="21"/>
  <c r="AU12" i="21"/>
  <c r="L223" i="21"/>
  <c r="AS223" i="21"/>
  <c r="AR226" i="21"/>
  <c r="AW288" i="21"/>
  <c r="M288" i="21"/>
  <c r="M286" i="21" s="1"/>
  <c r="M291" i="21" s="1"/>
  <c r="AW10" i="21"/>
  <c r="AX297" i="21"/>
  <c r="AQ24" i="21"/>
  <c r="AR23" i="21"/>
  <c r="L23" i="21" s="1"/>
  <c r="L301" i="21" s="1"/>
  <c r="AR301" i="21"/>
  <c r="AS268" i="21"/>
  <c r="L286" i="21"/>
  <c r="L289" i="21"/>
  <c r="AX308" i="21"/>
  <c r="AW36" i="21"/>
  <c r="AP212" i="5"/>
  <c r="AP218" i="5"/>
  <c r="AR158" i="21"/>
  <c r="AR161" i="21" s="1"/>
  <c r="L95" i="20"/>
  <c r="N203" i="21"/>
  <c r="AZ209" i="21"/>
  <c r="AT246" i="6"/>
  <c r="AU246" i="6"/>
  <c r="AS245" i="6"/>
  <c r="AS95" i="20" s="1"/>
  <c r="AS292" i="21"/>
  <c r="AS291" i="21"/>
  <c r="AS180" i="21"/>
  <c r="AX220" i="21"/>
  <c r="AT167" i="21"/>
  <c r="AS17" i="21"/>
  <c r="AX186" i="21"/>
  <c r="AR304" i="21"/>
  <c r="AR32" i="21"/>
  <c r="AS236" i="21"/>
  <c r="AU106" i="4" l="1"/>
  <c r="AZ106" i="4"/>
  <c r="AT106" i="4"/>
  <c r="L106" i="4"/>
  <c r="AP72" i="5"/>
  <c r="AP226" i="5"/>
  <c r="AP275" i="4" s="1"/>
  <c r="N209" i="21"/>
  <c r="AZ13" i="21"/>
  <c r="N13" i="21" s="1"/>
  <c r="AS157" i="21"/>
  <c r="AR16" i="21"/>
  <c r="AP216" i="5"/>
  <c r="L291" i="21"/>
  <c r="L292" i="21"/>
  <c r="M292" i="21"/>
  <c r="M289" i="21"/>
  <c r="AR179" i="21"/>
  <c r="L158" i="21"/>
  <c r="AT268" i="21"/>
  <c r="AS23" i="21"/>
  <c r="AS301" i="21"/>
  <c r="AW286" i="21"/>
  <c r="AW292" i="21" s="1"/>
  <c r="N288" i="21"/>
  <c r="L226" i="21"/>
  <c r="AR22" i="21"/>
  <c r="L22" i="21" s="1"/>
  <c r="AW299" i="21"/>
  <c r="AV12" i="21"/>
  <c r="M12" i="21" s="1"/>
  <c r="M299" i="21" s="1"/>
  <c r="M315" i="21" s="1"/>
  <c r="AT189" i="21"/>
  <c r="AS192" i="21"/>
  <c r="AX36" i="21"/>
  <c r="AY308" i="21"/>
  <c r="AX10" i="21"/>
  <c r="AY297" i="21"/>
  <c r="AT223" i="21"/>
  <c r="AS226" i="21"/>
  <c r="AS22" i="21" s="1"/>
  <c r="AV21" i="21"/>
  <c r="M21" i="21" s="1"/>
  <c r="M302" i="21" s="1"/>
  <c r="M316" i="21" s="1"/>
  <c r="AW302" i="21"/>
  <c r="AS106" i="4"/>
  <c r="M245" i="6"/>
  <c r="M246" i="6" s="1"/>
  <c r="AS246" i="6"/>
  <c r="L32" i="21"/>
  <c r="L304" i="21" s="1"/>
  <c r="AY186" i="21"/>
  <c r="AY220" i="21"/>
  <c r="AS65" i="21"/>
  <c r="AS181" i="20"/>
  <c r="AS238" i="21"/>
  <c r="AS246" i="21" s="1"/>
  <c r="AT168" i="21"/>
  <c r="AT171" i="21" s="1"/>
  <c r="AU223" i="21" l="1"/>
  <c r="AT226" i="21"/>
  <c r="AT22" i="21" s="1"/>
  <c r="AW245" i="6"/>
  <c r="AW95" i="20" s="1"/>
  <c r="AW291" i="21"/>
  <c r="L161" i="21"/>
  <c r="M157" i="21" s="1"/>
  <c r="L164" i="21"/>
  <c r="AS158" i="21"/>
  <c r="AS179" i="21" s="1"/>
  <c r="AW21" i="21"/>
  <c r="AX302" i="21"/>
  <c r="AZ297" i="21"/>
  <c r="AZ10" i="21" s="1"/>
  <c r="N10" i="21" s="1"/>
  <c r="N297" i="21" s="1"/>
  <c r="N314" i="21" s="1"/>
  <c r="AY10" i="21"/>
  <c r="AT192" i="21"/>
  <c r="AU189" i="21"/>
  <c r="AR64" i="21"/>
  <c r="L64" i="21" s="1"/>
  <c r="AR180" i="20"/>
  <c r="L179" i="21"/>
  <c r="AR181" i="21"/>
  <c r="L181" i="21" s="1"/>
  <c r="AY36" i="21"/>
  <c r="AZ308" i="21"/>
  <c r="AZ36" i="21" s="1"/>
  <c r="N36" i="21" s="1"/>
  <c r="N308" i="21" s="1"/>
  <c r="N319" i="21" s="1"/>
  <c r="N286" i="21"/>
  <c r="N291" i="21" s="1"/>
  <c r="N289" i="21"/>
  <c r="AP19" i="5"/>
  <c r="AQ211" i="5"/>
  <c r="AW12" i="21"/>
  <c r="AX299" i="21"/>
  <c r="AT301" i="21"/>
  <c r="AT23" i="21"/>
  <c r="AU268" i="21"/>
  <c r="L16" i="21"/>
  <c r="L24" i="21" s="1"/>
  <c r="AR24" i="21"/>
  <c r="M95" i="20"/>
  <c r="AS239" i="21"/>
  <c r="AT236" i="21" s="1"/>
  <c r="AZ220" i="21"/>
  <c r="AS244" i="21"/>
  <c r="AZ186" i="21"/>
  <c r="AU167" i="21"/>
  <c r="AT17" i="21"/>
  <c r="AT180" i="21"/>
  <c r="M106" i="4" l="1"/>
  <c r="AS32" i="21"/>
  <c r="AS304" i="21"/>
  <c r="L180" i="20"/>
  <c r="L182" i="20" s="1"/>
  <c r="AR182" i="20"/>
  <c r="AS64" i="21"/>
  <c r="AS181" i="21"/>
  <c r="AS180" i="20"/>
  <c r="AS182" i="20" s="1"/>
  <c r="AW106" i="4"/>
  <c r="N245" i="6"/>
  <c r="N246" i="6" s="1"/>
  <c r="AW246" i="6"/>
  <c r="AX12" i="21"/>
  <c r="AY299" i="21"/>
  <c r="N292" i="21"/>
  <c r="AS161" i="21"/>
  <c r="AU301" i="21"/>
  <c r="AV268" i="21"/>
  <c r="AU23" i="21"/>
  <c r="AU192" i="21"/>
  <c r="AV189" i="21"/>
  <c r="AX21" i="21"/>
  <c r="AY302" i="21"/>
  <c r="AQ212" i="5"/>
  <c r="AQ216" i="5" s="1"/>
  <c r="AQ218" i="5"/>
  <c r="AV223" i="21"/>
  <c r="AU226" i="21"/>
  <c r="AU22" i="21" s="1"/>
  <c r="AT65" i="21"/>
  <c r="AT181" i="20"/>
  <c r="N220" i="21"/>
  <c r="AT238" i="21"/>
  <c r="AT246" i="21" s="1"/>
  <c r="AU168" i="21"/>
  <c r="N186" i="21"/>
  <c r="N198" i="21" s="1"/>
  <c r="AR211" i="5" l="1"/>
  <c r="AQ19" i="5"/>
  <c r="AW189" i="21"/>
  <c r="M189" i="21"/>
  <c r="M195" i="21" s="1"/>
  <c r="AV192" i="21"/>
  <c r="M192" i="21" s="1"/>
  <c r="AT157" i="21"/>
  <c r="AS16" i="21"/>
  <c r="AS24" i="21" s="1"/>
  <c r="AQ226" i="5"/>
  <c r="AQ275" i="4" s="1"/>
  <c r="AQ72" i="5"/>
  <c r="AZ299" i="21"/>
  <c r="AZ12" i="21" s="1"/>
  <c r="N12" i="21" s="1"/>
  <c r="N299" i="21" s="1"/>
  <c r="N315" i="21" s="1"/>
  <c r="AY12" i="21"/>
  <c r="N95" i="20"/>
  <c r="AW223" i="21"/>
  <c r="M223" i="21"/>
  <c r="AV226" i="21"/>
  <c r="AY21" i="21"/>
  <c r="AZ302" i="21"/>
  <c r="AZ21" i="21" s="1"/>
  <c r="N21" i="21" s="1"/>
  <c r="N302" i="21" s="1"/>
  <c r="N316" i="21" s="1"/>
  <c r="AW268" i="21"/>
  <c r="AV23" i="21"/>
  <c r="M23" i="21" s="1"/>
  <c r="M301" i="21" s="1"/>
  <c r="AV301" i="21"/>
  <c r="AT239" i="21"/>
  <c r="AT304" i="21" s="1"/>
  <c r="AU180" i="21"/>
  <c r="AU171" i="21"/>
  <c r="AT244" i="21"/>
  <c r="N106" i="4" l="1"/>
  <c r="AU236" i="21"/>
  <c r="AU238" i="21" s="1"/>
  <c r="AU246" i="21" s="1"/>
  <c r="AT32" i="21"/>
  <c r="M226" i="21"/>
  <c r="AV22" i="21"/>
  <c r="M22" i="21" s="1"/>
  <c r="AW301" i="21"/>
  <c r="AW23" i="21"/>
  <c r="AX268" i="21"/>
  <c r="AX189" i="21"/>
  <c r="AW192" i="21"/>
  <c r="AR212" i="5"/>
  <c r="AR218" i="5"/>
  <c r="AW226" i="21"/>
  <c r="AW22" i="21" s="1"/>
  <c r="AX223" i="21"/>
  <c r="AT158" i="21"/>
  <c r="AT179" i="21" s="1"/>
  <c r="AV167" i="21"/>
  <c r="AU17" i="21"/>
  <c r="AU65" i="21"/>
  <c r="AU181" i="20"/>
  <c r="AU239" i="21" l="1"/>
  <c r="AV236" i="21" s="1"/>
  <c r="AT161" i="21"/>
  <c r="AY268" i="21"/>
  <c r="AX301" i="21"/>
  <c r="AX23" i="21"/>
  <c r="AT180" i="20"/>
  <c r="AT182" i="20" s="1"/>
  <c r="AT64" i="21"/>
  <c r="AT181" i="21"/>
  <c r="AR216" i="5"/>
  <c r="L212" i="5"/>
  <c r="AR72" i="5"/>
  <c r="AR226" i="5"/>
  <c r="AX192" i="21"/>
  <c r="AY189" i="21"/>
  <c r="AY223" i="21"/>
  <c r="AX226" i="21"/>
  <c r="AX22" i="21" s="1"/>
  <c r="AV168" i="21"/>
  <c r="AV171" i="21" s="1"/>
  <c r="AU244" i="21"/>
  <c r="AU32" i="21" l="1"/>
  <c r="AU304" i="21"/>
  <c r="L226" i="5"/>
  <c r="AR275" i="4"/>
  <c r="L275" i="4" s="1"/>
  <c r="AZ223" i="21"/>
  <c r="AY226" i="21"/>
  <c r="AY22" i="21" s="1"/>
  <c r="AT16" i="21"/>
  <c r="AT24" i="21" s="1"/>
  <c r="AU157" i="21"/>
  <c r="AY192" i="21"/>
  <c r="AZ189" i="21"/>
  <c r="L219" i="5"/>
  <c r="L72" i="5"/>
  <c r="L216" i="5"/>
  <c r="M211" i="5" s="1"/>
  <c r="M218" i="5" s="1"/>
  <c r="AS211" i="5"/>
  <c r="AR19" i="5"/>
  <c r="L19" i="5" s="1"/>
  <c r="AZ268" i="21"/>
  <c r="AY23" i="21"/>
  <c r="AY301" i="21"/>
  <c r="AV238" i="21"/>
  <c r="AV246" i="21" s="1"/>
  <c r="AV180" i="21"/>
  <c r="M168" i="21"/>
  <c r="M175" i="21" s="1"/>
  <c r="AV17" i="21"/>
  <c r="M17" i="21" s="1"/>
  <c r="M171" i="21" s="1"/>
  <c r="N167" i="21" s="1"/>
  <c r="AW167" i="21"/>
  <c r="AV239" i="21" l="1"/>
  <c r="AW236" i="21" s="1"/>
  <c r="AZ192" i="21"/>
  <c r="N192" i="21" s="1"/>
  <c r="N189" i="21"/>
  <c r="N195" i="21" s="1"/>
  <c r="AZ23" i="21"/>
  <c r="N23" i="21" s="1"/>
  <c r="N301" i="21" s="1"/>
  <c r="AZ301" i="21"/>
  <c r="AS218" i="5"/>
  <c r="AS212" i="5"/>
  <c r="AS216" i="5" s="1"/>
  <c r="AZ226" i="21"/>
  <c r="N223" i="21"/>
  <c r="AU158" i="21"/>
  <c r="AU161" i="21" s="1"/>
  <c r="AV244" i="21"/>
  <c r="M244" i="21" s="1"/>
  <c r="M246" i="21"/>
  <c r="AW168" i="21"/>
  <c r="AW171" i="21" s="1"/>
  <c r="AV65" i="21"/>
  <c r="M65" i="21" s="1"/>
  <c r="AV181" i="20"/>
  <c r="M181" i="20" s="1"/>
  <c r="M180" i="21"/>
  <c r="AV304" i="21" l="1"/>
  <c r="AV32" i="21"/>
  <c r="M32" i="21" s="1"/>
  <c r="M304" i="21" s="1"/>
  <c r="AU16" i="21"/>
  <c r="AU24" i="21" s="1"/>
  <c r="AV157" i="21"/>
  <c r="AV158" i="21" s="1"/>
  <c r="M158" i="21" s="1"/>
  <c r="AZ22" i="21"/>
  <c r="N22" i="21" s="1"/>
  <c r="N226" i="21"/>
  <c r="AT211" i="5"/>
  <c r="AS19" i="5"/>
  <c r="AU179" i="21"/>
  <c r="AS226" i="5"/>
  <c r="AS275" i="4" s="1"/>
  <c r="AS72" i="5"/>
  <c r="AW238" i="21"/>
  <c r="AW246" i="21" s="1"/>
  <c r="AX167" i="21"/>
  <c r="AW17" i="21"/>
  <c r="AW180" i="21"/>
  <c r="AT212" i="5" l="1"/>
  <c r="AT216" i="5" s="1"/>
  <c r="AT218" i="5"/>
  <c r="AW239" i="21"/>
  <c r="AW32" i="21" s="1"/>
  <c r="M164" i="21"/>
  <c r="M161" i="21"/>
  <c r="N157" i="21" s="1"/>
  <c r="AU180" i="20"/>
  <c r="AU181" i="21"/>
  <c r="AU64" i="21"/>
  <c r="AV161" i="21"/>
  <c r="AV179" i="21"/>
  <c r="AW65" i="21"/>
  <c r="AW181" i="20"/>
  <c r="AX168" i="21"/>
  <c r="AX171" i="21" s="1"/>
  <c r="AW244" i="21"/>
  <c r="AX236" i="21" l="1"/>
  <c r="AX238" i="21" s="1"/>
  <c r="AX246" i="21" s="1"/>
  <c r="AW304" i="21"/>
  <c r="AU211" i="5"/>
  <c r="AT19" i="5"/>
  <c r="AV64" i="21"/>
  <c r="M64" i="21" s="1"/>
  <c r="AV180" i="20"/>
  <c r="AV182" i="20" s="1"/>
  <c r="AV181" i="21"/>
  <c r="M181" i="21" s="1"/>
  <c r="AV16" i="21"/>
  <c r="AW157" i="21"/>
  <c r="AW158" i="21" s="1"/>
  <c r="AU182" i="20"/>
  <c r="AT72" i="5"/>
  <c r="AT226" i="5"/>
  <c r="AT275" i="4" s="1"/>
  <c r="M179" i="21"/>
  <c r="AY167" i="21"/>
  <c r="AX17" i="21"/>
  <c r="AX180" i="21"/>
  <c r="M180" i="20" l="1"/>
  <c r="M182" i="20" s="1"/>
  <c r="AU212" i="5"/>
  <c r="AU216" i="5" s="1"/>
  <c r="AU19" i="5" s="1"/>
  <c r="AU218" i="5"/>
  <c r="AW161" i="21"/>
  <c r="AW179" i="21"/>
  <c r="AV24" i="21"/>
  <c r="M16" i="21"/>
  <c r="M24" i="21" s="1"/>
  <c r="AY168" i="21"/>
  <c r="AX244" i="21"/>
  <c r="AX65" i="21"/>
  <c r="AX181" i="20"/>
  <c r="AX239" i="21"/>
  <c r="AU226" i="5" l="1"/>
  <c r="AU275" i="4" s="1"/>
  <c r="AU72" i="5"/>
  <c r="AV211" i="5"/>
  <c r="AV218" i="5" s="1"/>
  <c r="AW181" i="21"/>
  <c r="AW180" i="20"/>
  <c r="AW182" i="20" s="1"/>
  <c r="AW64" i="21"/>
  <c r="AW16" i="21"/>
  <c r="AW24" i="21" s="1"/>
  <c r="AX157" i="21"/>
  <c r="AY180" i="21"/>
  <c r="AY171" i="21"/>
  <c r="AY236" i="21"/>
  <c r="AX304" i="21"/>
  <c r="AX32" i="21"/>
  <c r="AV212" i="5" l="1"/>
  <c r="AV216" i="5" s="1"/>
  <c r="AV19" i="5" s="1"/>
  <c r="M19" i="5" s="1"/>
  <c r="AX158" i="21"/>
  <c r="AX179" i="21" s="1"/>
  <c r="AZ167" i="21"/>
  <c r="AY17" i="21"/>
  <c r="AY238" i="21"/>
  <c r="AY246" i="21" s="1"/>
  <c r="AY65" i="21"/>
  <c r="AY181" i="20"/>
  <c r="M212" i="5" l="1"/>
  <c r="M216" i="5" s="1"/>
  <c r="N211" i="5" s="1"/>
  <c r="AW211" i="5"/>
  <c r="AW218" i="5" s="1"/>
  <c r="AV226" i="5"/>
  <c r="AV275" i="4" s="1"/>
  <c r="M275" i="4" s="1"/>
  <c r="AV72" i="5"/>
  <c r="AX161" i="21"/>
  <c r="AY157" i="21" s="1"/>
  <c r="AX64" i="21"/>
  <c r="AX180" i="20"/>
  <c r="AX182" i="20" s="1"/>
  <c r="AX181" i="21"/>
  <c r="AY239" i="21"/>
  <c r="AY304" i="21" s="1"/>
  <c r="AY244" i="21"/>
  <c r="AZ168" i="21"/>
  <c r="AZ171" i="21" s="1"/>
  <c r="AZ17" i="21" s="1"/>
  <c r="AW212" i="5" l="1"/>
  <c r="AW216" i="5" s="1"/>
  <c r="M72" i="5"/>
  <c r="M226" i="5"/>
  <c r="M219" i="5"/>
  <c r="AX16" i="21"/>
  <c r="AX24" i="21" s="1"/>
  <c r="AZ236" i="21"/>
  <c r="AZ238" i="21" s="1"/>
  <c r="AZ246" i="21" s="1"/>
  <c r="AY32" i="21"/>
  <c r="AY158" i="21"/>
  <c r="AY161" i="21" s="1"/>
  <c r="N218" i="5"/>
  <c r="N17" i="21"/>
  <c r="AZ180" i="21"/>
  <c r="N168" i="21"/>
  <c r="N175" i="21" s="1"/>
  <c r="AW226" i="5" l="1"/>
  <c r="AW275" i="4" s="1"/>
  <c r="AW72" i="5"/>
  <c r="AY16" i="21"/>
  <c r="AY24" i="21" s="1"/>
  <c r="AZ157" i="21"/>
  <c r="AY179" i="21"/>
  <c r="AZ239" i="21"/>
  <c r="AZ304" i="21" s="1"/>
  <c r="AW19" i="5"/>
  <c r="AX211" i="5"/>
  <c r="N171" i="21"/>
  <c r="AZ244" i="21"/>
  <c r="N244" i="21" s="1"/>
  <c r="N246" i="21"/>
  <c r="AZ65" i="21"/>
  <c r="N65" i="21" s="1"/>
  <c r="AZ181" i="20"/>
  <c r="N180" i="21"/>
  <c r="AZ32" i="21" l="1"/>
  <c r="N32" i="21" s="1"/>
  <c r="N304" i="21" s="1"/>
  <c r="AY180" i="20"/>
  <c r="AY181" i="21"/>
  <c r="AY64" i="21"/>
  <c r="AZ158" i="21"/>
  <c r="N181" i="20"/>
  <c r="AX212" i="5"/>
  <c r="AX216" i="5" s="1"/>
  <c r="AX218" i="5"/>
  <c r="AZ179" i="21" l="1"/>
  <c r="N158" i="21"/>
  <c r="AZ161" i="21"/>
  <c r="AZ16" i="21" s="1"/>
  <c r="AY182" i="20"/>
  <c r="AX19" i="5"/>
  <c r="AY211" i="5"/>
  <c r="AX72" i="5"/>
  <c r="AX226" i="5"/>
  <c r="N16" i="21" l="1"/>
  <c r="N24" i="21" s="1"/>
  <c r="AZ24" i="21"/>
  <c r="AZ180" i="20"/>
  <c r="AZ64" i="21"/>
  <c r="N64" i="21" s="1"/>
  <c r="AZ181" i="21"/>
  <c r="N181" i="21" s="1"/>
  <c r="N179" i="21"/>
  <c r="N164" i="21"/>
  <c r="N161" i="21"/>
  <c r="AY212" i="5"/>
  <c r="AY216" i="5" s="1"/>
  <c r="AY218" i="5"/>
  <c r="AX275" i="4"/>
  <c r="AZ182" i="20" l="1"/>
  <c r="N180" i="20"/>
  <c r="N182" i="20" s="1"/>
  <c r="AY19" i="5"/>
  <c r="AZ211" i="5"/>
  <c r="AY72" i="5"/>
  <c r="AY226" i="5"/>
  <c r="AZ212" i="5" l="1"/>
  <c r="AZ218" i="5"/>
  <c r="AY275" i="4"/>
  <c r="AZ72" i="5" l="1"/>
  <c r="AZ226" i="5"/>
  <c r="N212" i="5"/>
  <c r="AZ216" i="5"/>
  <c r="AZ19" i="5" s="1"/>
  <c r="N19" i="5" s="1"/>
  <c r="N219" i="5" l="1"/>
  <c r="N72" i="5"/>
  <c r="N216" i="5"/>
  <c r="AZ275" i="4"/>
  <c r="N275" i="4" s="1"/>
  <c r="N226" i="5"/>
  <c r="AO61" i="5"/>
  <c r="AO247" i="6" l="1"/>
  <c r="AO96" i="20" s="1"/>
  <c r="AP247" i="6"/>
  <c r="AP96" i="20" s="1"/>
  <c r="AP98" i="20" s="1"/>
  <c r="AP100" i="20" s="1"/>
  <c r="AQ247" i="6"/>
  <c r="AQ96" i="20" s="1"/>
  <c r="AQ98" i="20" s="1"/>
  <c r="AQ100" i="20" s="1"/>
  <c r="AR247" i="6"/>
  <c r="AR96" i="20" s="1"/>
  <c r="AR98" i="20" s="1"/>
  <c r="AR100" i="20" s="1"/>
  <c r="AS247" i="6"/>
  <c r="AS96" i="20" s="1"/>
  <c r="AT247" i="6"/>
  <c r="AT96" i="20" s="1"/>
  <c r="AT98" i="20" s="1"/>
  <c r="AT100" i="20" s="1"/>
  <c r="AU247" i="6"/>
  <c r="AU96" i="20" s="1"/>
  <c r="AU98" i="20" s="1"/>
  <c r="AU100" i="20" s="1"/>
  <c r="AV247" i="6"/>
  <c r="AV96" i="20" s="1"/>
  <c r="AV98" i="20" s="1"/>
  <c r="AV100" i="20" s="1"/>
  <c r="AW247" i="6"/>
  <c r="AW96" i="20" s="1"/>
  <c r="AX247" i="6"/>
  <c r="AX96" i="20" s="1"/>
  <c r="AX98" i="20" s="1"/>
  <c r="AX100" i="20" s="1"/>
  <c r="AY247" i="6"/>
  <c r="AY96" i="20" s="1"/>
  <c r="AY98" i="20" s="1"/>
  <c r="AY100" i="20" s="1"/>
  <c r="AZ247" i="6"/>
  <c r="AZ96" i="20" s="1"/>
  <c r="AZ98" i="20" s="1"/>
  <c r="AZ100" i="20" s="1"/>
  <c r="N96" i="20" l="1"/>
  <c r="N98" i="20" s="1"/>
  <c r="N100" i="20" s="1"/>
  <c r="AW98" i="20"/>
  <c r="AW100" i="20" s="1"/>
  <c r="M96" i="20"/>
  <c r="M98" i="20" s="1"/>
  <c r="M100" i="20" s="1"/>
  <c r="AS98" i="20"/>
  <c r="AS100" i="20" s="1"/>
  <c r="AO98" i="20"/>
  <c r="AO100" i="20" s="1"/>
  <c r="L96" i="20"/>
  <c r="L98" i="20" s="1"/>
  <c r="L100" i="20" s="1"/>
  <c r="AZ35" i="20"/>
  <c r="AZ102" i="20"/>
  <c r="AZ101" i="20"/>
  <c r="AZ138" i="20"/>
  <c r="AV35" i="20"/>
  <c r="AV102" i="20"/>
  <c r="AV101" i="20"/>
  <c r="AV138" i="20"/>
  <c r="AR35" i="20"/>
  <c r="AR102" i="20"/>
  <c r="AR101" i="20"/>
  <c r="AR138" i="20"/>
  <c r="N247" i="6"/>
  <c r="N248" i="6" s="1"/>
  <c r="AY35" i="20"/>
  <c r="AY102" i="20"/>
  <c r="AY101" i="20"/>
  <c r="AY138" i="20"/>
  <c r="AU35" i="20"/>
  <c r="AU102" i="20"/>
  <c r="AU101" i="20"/>
  <c r="AU138" i="20"/>
  <c r="AQ35" i="20"/>
  <c r="AQ102" i="20"/>
  <c r="AQ101" i="20"/>
  <c r="AQ138" i="20"/>
  <c r="M247" i="6"/>
  <c r="M248" i="6" s="1"/>
  <c r="AX101" i="20"/>
  <c r="AX138" i="20"/>
  <c r="AX35" i="20"/>
  <c r="AX102" i="20"/>
  <c r="AT101" i="20"/>
  <c r="AT138" i="20"/>
  <c r="AT35" i="20"/>
  <c r="AT102" i="20"/>
  <c r="AP101" i="20"/>
  <c r="AP138" i="20"/>
  <c r="AP35" i="20"/>
  <c r="AP102" i="20"/>
  <c r="L247" i="6"/>
  <c r="L248" i="6" s="1"/>
  <c r="AU139" i="20" l="1"/>
  <c r="AU38" i="20"/>
  <c r="AU140" i="20"/>
  <c r="AU53" i="20"/>
  <c r="AU62" i="20"/>
  <c r="AU44" i="20"/>
  <c r="AV38" i="20"/>
  <c r="AV140" i="20"/>
  <c r="AV139" i="20"/>
  <c r="AV53" i="20"/>
  <c r="AV62" i="20"/>
  <c r="AV44" i="20"/>
  <c r="AS35" i="20"/>
  <c r="AT62" i="20" s="1"/>
  <c r="AS102" i="20"/>
  <c r="AS101" i="20"/>
  <c r="AS138" i="20"/>
  <c r="AP38" i="20"/>
  <c r="AP140" i="20"/>
  <c r="AP139" i="20"/>
  <c r="AT44" i="20"/>
  <c r="AT53" i="20"/>
  <c r="AY139" i="20"/>
  <c r="AY38" i="20"/>
  <c r="AY140" i="20"/>
  <c r="AY53" i="20"/>
  <c r="AY62" i="20"/>
  <c r="AY44" i="20"/>
  <c r="AZ38" i="20"/>
  <c r="AZ140" i="20"/>
  <c r="AZ139" i="20"/>
  <c r="AZ53" i="20"/>
  <c r="AZ62" i="20"/>
  <c r="AZ44" i="20"/>
  <c r="M35" i="20"/>
  <c r="M102" i="20"/>
  <c r="M101" i="20"/>
  <c r="AP62" i="20"/>
  <c r="AP44" i="20"/>
  <c r="AP53" i="20"/>
  <c r="L101" i="20"/>
  <c r="L35" i="20"/>
  <c r="L102" i="20"/>
  <c r="AW35" i="20"/>
  <c r="AX62" i="20" s="1"/>
  <c r="AW102" i="20"/>
  <c r="AW101" i="20"/>
  <c r="AW138" i="20"/>
  <c r="AT38" i="20"/>
  <c r="AT140" i="20"/>
  <c r="AT139" i="20"/>
  <c r="AX44" i="20"/>
  <c r="AX53" i="20"/>
  <c r="AX38" i="20"/>
  <c r="AX140" i="20"/>
  <c r="AX139" i="20"/>
  <c r="AQ139" i="20"/>
  <c r="AQ38" i="20"/>
  <c r="AQ140" i="20"/>
  <c r="AQ53" i="20"/>
  <c r="AQ62" i="20"/>
  <c r="AQ44" i="20"/>
  <c r="AR38" i="20"/>
  <c r="AR140" i="20"/>
  <c r="AR139" i="20"/>
  <c r="AR53" i="20"/>
  <c r="AR62" i="20"/>
  <c r="AR44" i="20"/>
  <c r="AO35" i="20"/>
  <c r="AO102" i="20"/>
  <c r="AO101" i="20"/>
  <c r="AO138" i="20"/>
  <c r="N35" i="20"/>
  <c r="N102" i="20"/>
  <c r="N101" i="20"/>
  <c r="AT47" i="20" l="1"/>
  <c r="AT56" i="20"/>
  <c r="M53" i="20"/>
  <c r="M44" i="20"/>
  <c r="AR56" i="20"/>
  <c r="AR47" i="20"/>
  <c r="AR65" i="20"/>
  <c r="AW38" i="20"/>
  <c r="AW140" i="20"/>
  <c r="N138" i="20"/>
  <c r="AW139" i="20"/>
  <c r="AW44" i="20"/>
  <c r="AW53" i="20"/>
  <c r="AW62" i="20"/>
  <c r="AV56" i="20"/>
  <c r="AV47" i="20"/>
  <c r="AV65" i="20"/>
  <c r="N53" i="20"/>
  <c r="N44" i="20"/>
  <c r="AQ47" i="20"/>
  <c r="AQ65" i="20"/>
  <c r="AQ56" i="20"/>
  <c r="AX47" i="20"/>
  <c r="AX65" i="20"/>
  <c r="AX56" i="20"/>
  <c r="AZ56" i="20"/>
  <c r="AZ47" i="20"/>
  <c r="AZ65" i="20"/>
  <c r="AP47" i="20"/>
  <c r="AP65" i="20"/>
  <c r="AP56" i="20"/>
  <c r="AU47" i="20"/>
  <c r="AU65" i="20"/>
  <c r="AU56" i="20"/>
  <c r="L138" i="20"/>
  <c r="AO38" i="20"/>
  <c r="AO140" i="20"/>
  <c r="AO139" i="20"/>
  <c r="AO44" i="20"/>
  <c r="AO53" i="20"/>
  <c r="AO62" i="20"/>
  <c r="L44" i="20"/>
  <c r="L53" i="20"/>
  <c r="AY47" i="20"/>
  <c r="AY65" i="20"/>
  <c r="AY56" i="20"/>
  <c r="AS38" i="20"/>
  <c r="AT65" i="20" s="1"/>
  <c r="M138" i="20"/>
  <c r="AS140" i="20"/>
  <c r="AS139" i="20"/>
  <c r="AS44" i="20"/>
  <c r="AS53" i="20"/>
  <c r="AS62" i="20"/>
  <c r="AS56" i="20" l="1"/>
  <c r="AS47" i="20"/>
  <c r="AS65" i="20"/>
  <c r="L38" i="20"/>
  <c r="L140" i="20"/>
  <c r="L139" i="20"/>
  <c r="N38" i="20"/>
  <c r="N140" i="20"/>
  <c r="N139" i="20"/>
  <c r="M139" i="20"/>
  <c r="M38" i="20"/>
  <c r="M140" i="20"/>
  <c r="AO56" i="20"/>
  <c r="AO47" i="20"/>
  <c r="AO65" i="20"/>
  <c r="AW56" i="20"/>
  <c r="AW47" i="20"/>
  <c r="AW65" i="20"/>
  <c r="L47" i="20" l="1"/>
  <c r="L56" i="20"/>
  <c r="N56" i="20"/>
  <c r="N47" i="20"/>
  <c r="M47" i="20"/>
  <c r="M56" i="20"/>
  <c r="BC7" i="6" l="1" a="1"/>
  <c r="BD7" i="6" a="1"/>
  <c r="BD8" i="6"/>
  <c r="BD26" i="6"/>
  <c r="BC10" i="6"/>
  <c r="BC28" i="6"/>
  <c r="BC8" i="6"/>
  <c r="BC26" i="6"/>
  <c r="BC9" i="6"/>
  <c r="BC27" i="6"/>
  <c r="BD22" i="6"/>
  <c r="BD36" i="6"/>
  <c r="BD13" i="6"/>
  <c r="BD31" i="6"/>
  <c r="BC22" i="6"/>
  <c r="BC36" i="6"/>
  <c r="BC13" i="6"/>
  <c r="BC31" i="6"/>
  <c r="BC12" i="6"/>
  <c r="BC30" i="6"/>
  <c r="BD14" i="6"/>
  <c r="BD32" i="6"/>
  <c r="BC14" i="6"/>
  <c r="BC32" i="6"/>
  <c r="BD21" i="6"/>
  <c r="BD35" i="6"/>
  <c r="BC21" i="6"/>
  <c r="BC35" i="6"/>
  <c r="BD9" i="6"/>
  <c r="BD27" i="6"/>
  <c r="BD12" i="6"/>
  <c r="BD30" i="6"/>
  <c r="BD10" i="6"/>
  <c r="BD28" i="6"/>
  <c r="L7" i="5" l="1"/>
  <c r="M7" i="5"/>
  <c r="N7" i="5"/>
  <c r="AO7" i="5"/>
  <c r="AP7" i="5"/>
  <c r="AQ7" i="5"/>
  <c r="AR7" i="5"/>
  <c r="AS7" i="5"/>
  <c r="AT7" i="5"/>
  <c r="AU7" i="5"/>
  <c r="AV7" i="5"/>
  <c r="AW7" i="5"/>
  <c r="AX7" i="5"/>
  <c r="AY7" i="5"/>
  <c r="AZ7" i="5"/>
  <c r="L10" i="5"/>
  <c r="M10" i="5"/>
  <c r="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L12" i="5"/>
  <c r="M12" i="5"/>
  <c r="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L13" i="5"/>
  <c r="M13" i="5"/>
  <c r="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L16" i="5"/>
  <c r="M16" i="5"/>
  <c r="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L18" i="5"/>
  <c r="M18" i="5"/>
  <c r="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L24" i="5"/>
  <c r="M24" i="5"/>
  <c r="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L25" i="5"/>
  <c r="M25" i="5"/>
  <c r="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L26" i="5"/>
  <c r="M26" i="5"/>
  <c r="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L28" i="5"/>
  <c r="M28" i="5"/>
  <c r="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L31" i="5"/>
  <c r="M31" i="5"/>
  <c r="AR31" i="5"/>
  <c r="AS31" i="5"/>
  <c r="AT31" i="5"/>
  <c r="AU31" i="5"/>
  <c r="AV31" i="5"/>
  <c r="L35" i="5"/>
  <c r="M35" i="5"/>
  <c r="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L37" i="5"/>
  <c r="M37" i="5"/>
  <c r="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L38" i="5"/>
  <c r="M38" i="5"/>
  <c r="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L39" i="5"/>
  <c r="M39" i="5"/>
  <c r="AR39" i="5"/>
  <c r="AS39" i="5"/>
  <c r="AT39" i="5"/>
  <c r="AU39" i="5"/>
  <c r="AV39" i="5"/>
  <c r="L40" i="5"/>
  <c r="M40" i="5"/>
  <c r="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L43" i="5"/>
  <c r="M43" i="5"/>
  <c r="AR43" i="5"/>
  <c r="AS43" i="5"/>
  <c r="AT43" i="5"/>
  <c r="AU43" i="5"/>
  <c r="AV43" i="5"/>
  <c r="L49" i="5"/>
  <c r="M49" i="5"/>
  <c r="AR49" i="5"/>
  <c r="AS49" i="5"/>
  <c r="AT49" i="5"/>
  <c r="AU49" i="5"/>
  <c r="AV49" i="5"/>
  <c r="L51" i="5"/>
  <c r="M51" i="5"/>
  <c r="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L56" i="5"/>
  <c r="M56" i="5"/>
  <c r="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L57" i="5"/>
  <c r="M57" i="5"/>
  <c r="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L59" i="5"/>
  <c r="M59" i="5"/>
  <c r="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L61" i="5"/>
  <c r="M61" i="5"/>
  <c r="N61" i="5"/>
  <c r="AP61" i="5"/>
  <c r="AQ61" i="5"/>
  <c r="AR61" i="5"/>
  <c r="AS61" i="5"/>
  <c r="AT61" i="5"/>
  <c r="AU61" i="5"/>
  <c r="AV61" i="5"/>
  <c r="AW61" i="5"/>
  <c r="AX61" i="5"/>
  <c r="AY61" i="5"/>
  <c r="AZ61" i="5"/>
  <c r="L63" i="5"/>
  <c r="M63" i="5"/>
  <c r="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L65" i="5"/>
  <c r="M65" i="5"/>
  <c r="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L66" i="5"/>
  <c r="M66" i="5"/>
  <c r="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L70" i="5"/>
  <c r="M70" i="5"/>
  <c r="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L71" i="5"/>
  <c r="M71" i="5"/>
  <c r="N71" i="5"/>
  <c r="AP71" i="5"/>
  <c r="AQ71" i="5"/>
  <c r="AR71" i="5"/>
  <c r="AS71" i="5"/>
  <c r="AT71" i="5"/>
  <c r="AU71" i="5"/>
  <c r="AV71" i="5"/>
  <c r="AW71" i="5"/>
  <c r="AX71" i="5"/>
  <c r="AY71" i="5"/>
  <c r="AZ71" i="5"/>
  <c r="L73" i="5"/>
  <c r="M73" i="5"/>
  <c r="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L83" i="5"/>
  <c r="M83" i="5"/>
  <c r="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L84" i="5"/>
  <c r="M84" i="5"/>
  <c r="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L87" i="5"/>
  <c r="M87" i="5"/>
  <c r="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L105" i="5"/>
  <c r="M105" i="5"/>
  <c r="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L108" i="5"/>
  <c r="M108" i="5"/>
  <c r="N108" i="5"/>
  <c r="AR108" i="5"/>
  <c r="AS108" i="5"/>
  <c r="AT108" i="5"/>
  <c r="AU108" i="5"/>
  <c r="AV108" i="5"/>
  <c r="AW108" i="5"/>
  <c r="L119" i="5"/>
  <c r="M119" i="5"/>
  <c r="N119" i="5"/>
  <c r="AP119" i="5"/>
  <c r="AQ119" i="5"/>
  <c r="AR119" i="5"/>
  <c r="AS119" i="5"/>
  <c r="AT119" i="5"/>
  <c r="AU119" i="5"/>
  <c r="AV119" i="5"/>
  <c r="AW119" i="5"/>
  <c r="AX119" i="5"/>
  <c r="AY119" i="5"/>
  <c r="AZ119" i="5"/>
  <c r="L127" i="5"/>
  <c r="M127" i="5"/>
  <c r="N127" i="5"/>
  <c r="AP127" i="5"/>
  <c r="AQ127" i="5"/>
  <c r="AR127" i="5"/>
  <c r="AS127" i="5"/>
  <c r="AT127" i="5"/>
  <c r="AU127" i="5"/>
  <c r="AV127" i="5"/>
  <c r="AW127" i="5"/>
  <c r="AX127" i="5"/>
  <c r="AY127" i="5"/>
  <c r="AZ127" i="5"/>
  <c r="L130" i="5"/>
  <c r="M130" i="5"/>
  <c r="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M131" i="5"/>
  <c r="N131" i="5"/>
  <c r="AP131" i="5"/>
  <c r="AQ131" i="5"/>
  <c r="AR131" i="5"/>
  <c r="AS131" i="5"/>
  <c r="AT131" i="5"/>
  <c r="AU131" i="5"/>
  <c r="AV131" i="5"/>
  <c r="AW131" i="5"/>
  <c r="AX131" i="5"/>
  <c r="AY131" i="5"/>
  <c r="AZ131" i="5"/>
  <c r="L132" i="5"/>
  <c r="M132" i="5"/>
  <c r="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L135" i="5"/>
  <c r="M135" i="5"/>
  <c r="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L136" i="5"/>
  <c r="M136" i="5"/>
  <c r="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L137" i="5"/>
  <c r="M137" i="5"/>
  <c r="N137" i="5"/>
  <c r="L143" i="5"/>
  <c r="M143" i="5"/>
  <c r="AR143" i="5"/>
  <c r="AS143" i="5"/>
  <c r="AT143" i="5"/>
  <c r="AU143" i="5"/>
  <c r="AV143" i="5"/>
  <c r="L150" i="5"/>
  <c r="M150" i="5"/>
  <c r="AR150" i="5"/>
  <c r="AS150" i="5"/>
  <c r="AT150" i="5"/>
  <c r="AU150" i="5"/>
  <c r="AV150" i="5"/>
  <c r="L155" i="5"/>
  <c r="M155" i="5"/>
  <c r="AR155" i="5"/>
  <c r="AS155" i="5"/>
  <c r="AT155" i="5"/>
  <c r="AU155" i="5"/>
  <c r="AV155" i="5"/>
  <c r="L157" i="5"/>
  <c r="M157" i="5"/>
  <c r="AR157" i="5"/>
  <c r="AS157" i="5"/>
  <c r="AT157" i="5"/>
  <c r="AU157" i="5"/>
  <c r="AV157" i="5"/>
  <c r="M158" i="5"/>
  <c r="AV158" i="5"/>
  <c r="L165" i="5"/>
  <c r="M165" i="5"/>
  <c r="AR165" i="5"/>
  <c r="AS165" i="5"/>
  <c r="AT165" i="5"/>
  <c r="AU165" i="5"/>
  <c r="AV165" i="5"/>
  <c r="L166" i="5"/>
  <c r="M166" i="5"/>
  <c r="AR166" i="5"/>
  <c r="AS166" i="5"/>
  <c r="AT166" i="5"/>
  <c r="AU166" i="5"/>
  <c r="AV166" i="5"/>
  <c r="M171" i="5"/>
  <c r="N171" i="5"/>
  <c r="AS171" i="5"/>
  <c r="AT171" i="5"/>
  <c r="AU171" i="5"/>
  <c r="AV171" i="5"/>
  <c r="AW171" i="5"/>
  <c r="M182" i="5"/>
  <c r="N182" i="5"/>
  <c r="AS182" i="5"/>
  <c r="AT182" i="5"/>
  <c r="AU182" i="5"/>
  <c r="AV182" i="5"/>
  <c r="AW182" i="5"/>
  <c r="M184" i="5"/>
  <c r="N184" i="5"/>
  <c r="AS184" i="5"/>
  <c r="AT184" i="5"/>
  <c r="AU184" i="5"/>
  <c r="AV184" i="5"/>
  <c r="AW184" i="5"/>
  <c r="N185" i="5"/>
  <c r="AW185" i="5"/>
  <c r="M193" i="5"/>
  <c r="N193" i="5"/>
  <c r="AS193" i="5"/>
  <c r="AT193" i="5"/>
  <c r="AU193" i="5"/>
  <c r="AV193" i="5"/>
  <c r="AW193" i="5"/>
  <c r="M197" i="5"/>
  <c r="N197" i="5"/>
  <c r="AP197" i="5"/>
  <c r="AQ197" i="5"/>
  <c r="AR197" i="5"/>
  <c r="AS197" i="5"/>
  <c r="AT197" i="5"/>
  <c r="AU197" i="5"/>
  <c r="AV197" i="5"/>
  <c r="AW197" i="5"/>
  <c r="AX197" i="5"/>
  <c r="AY197" i="5"/>
  <c r="AZ197" i="5"/>
  <c r="F198" i="5"/>
  <c r="G198" i="5"/>
  <c r="H198" i="5"/>
  <c r="L198" i="5"/>
  <c r="M198" i="5"/>
  <c r="N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P198" i="5"/>
  <c r="AQ198" i="5"/>
  <c r="AR198" i="5"/>
  <c r="AS198" i="5"/>
  <c r="AT198" i="5"/>
  <c r="AU198" i="5"/>
  <c r="AV198" i="5"/>
  <c r="AW198" i="5"/>
  <c r="AX198" i="5"/>
  <c r="AY198" i="5"/>
  <c r="AZ198" i="5"/>
  <c r="L199" i="5"/>
  <c r="M199" i="5"/>
  <c r="N199" i="5"/>
  <c r="AP199" i="5"/>
  <c r="AQ199" i="5"/>
  <c r="AR199" i="5"/>
  <c r="AS199" i="5"/>
  <c r="AT199" i="5"/>
  <c r="AU199" i="5"/>
  <c r="AV199" i="5"/>
  <c r="AW199" i="5"/>
  <c r="AX199" i="5"/>
  <c r="AY199" i="5"/>
  <c r="AZ199" i="5"/>
  <c r="F200" i="5"/>
  <c r="G200" i="5"/>
  <c r="H200" i="5"/>
  <c r="L200" i="5"/>
  <c r="M200" i="5"/>
  <c r="N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P200" i="5"/>
  <c r="AQ200" i="5"/>
  <c r="AR200" i="5"/>
  <c r="AS200" i="5"/>
  <c r="AT200" i="5"/>
  <c r="AU200" i="5"/>
  <c r="AV200" i="5"/>
  <c r="AW200" i="5"/>
  <c r="AX200" i="5"/>
  <c r="AY200" i="5"/>
  <c r="AZ200" i="5"/>
  <c r="F201" i="5"/>
  <c r="G201" i="5"/>
  <c r="H201" i="5"/>
  <c r="L201" i="5"/>
  <c r="M201" i="5"/>
  <c r="N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F202" i="5"/>
  <c r="G202" i="5"/>
  <c r="H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L203" i="5"/>
  <c r="M203" i="5"/>
  <c r="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F205" i="5"/>
  <c r="G205" i="5"/>
  <c r="H205" i="5"/>
  <c r="L205" i="5"/>
  <c r="M205" i="5"/>
  <c r="N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F206" i="5"/>
  <c r="G206" i="5"/>
  <c r="H206" i="5"/>
  <c r="L206" i="5"/>
  <c r="M206" i="5"/>
  <c r="N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P206" i="5"/>
  <c r="AQ206" i="5"/>
  <c r="AR206" i="5"/>
  <c r="AS206" i="5"/>
  <c r="AT206" i="5"/>
  <c r="AU206" i="5"/>
  <c r="AV206" i="5"/>
  <c r="AW206" i="5"/>
  <c r="AX206" i="5"/>
  <c r="AY206" i="5"/>
  <c r="AZ206" i="5"/>
  <c r="L207" i="5"/>
  <c r="M207" i="5"/>
  <c r="N207" i="5"/>
  <c r="F208" i="5"/>
  <c r="G208" i="5"/>
  <c r="H208" i="5"/>
  <c r="L208" i="5"/>
  <c r="M208" i="5"/>
  <c r="N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F212" i="5"/>
  <c r="G212" i="5"/>
  <c r="H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F215" i="5"/>
  <c r="G215" i="5"/>
  <c r="H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F219" i="5"/>
  <c r="G219" i="5"/>
  <c r="H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L220" i="5"/>
  <c r="M220" i="5"/>
  <c r="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L221" i="5"/>
  <c r="M221" i="5"/>
  <c r="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L224" i="5"/>
  <c r="M224" i="5"/>
  <c r="N224" i="5"/>
  <c r="AP224" i="5"/>
  <c r="AQ224" i="5"/>
  <c r="AR224" i="5"/>
  <c r="AS224" i="5"/>
  <c r="AT224" i="5"/>
  <c r="AU224" i="5"/>
  <c r="AV224" i="5"/>
  <c r="AW224" i="5"/>
  <c r="AX224" i="5"/>
  <c r="AY224" i="5"/>
  <c r="AZ224" i="5"/>
  <c r="F225" i="5"/>
  <c r="G225" i="5"/>
  <c r="H225" i="5"/>
  <c r="L225" i="5"/>
  <c r="M225" i="5"/>
  <c r="N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P225" i="5"/>
  <c r="AQ225" i="5"/>
  <c r="AR225" i="5"/>
  <c r="AS225" i="5"/>
  <c r="AT225" i="5"/>
  <c r="AU225" i="5"/>
  <c r="AV225" i="5"/>
  <c r="AW225" i="5"/>
  <c r="AX225" i="5"/>
  <c r="AY225" i="5"/>
  <c r="AZ225" i="5"/>
  <c r="F226" i="5"/>
  <c r="G226" i="5"/>
  <c r="H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L227" i="5"/>
  <c r="M227" i="5"/>
  <c r="N227" i="5"/>
  <c r="AP227" i="5"/>
  <c r="AQ227" i="5"/>
  <c r="AR227" i="5"/>
  <c r="AS227" i="5"/>
  <c r="AT227" i="5"/>
  <c r="AU227" i="5"/>
  <c r="AV227" i="5"/>
  <c r="AW227" i="5"/>
  <c r="AX227" i="5"/>
  <c r="AY227" i="5"/>
  <c r="AZ227" i="5"/>
  <c r="L232" i="5"/>
  <c r="M232" i="5"/>
  <c r="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L234" i="5"/>
  <c r="M234" i="5"/>
  <c r="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L235" i="5"/>
  <c r="M235" i="5"/>
  <c r="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L237" i="5"/>
  <c r="M237" i="5"/>
  <c r="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L240" i="5"/>
  <c r="M240" i="5"/>
  <c r="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L243" i="5"/>
  <c r="M243" i="5"/>
  <c r="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L245" i="5"/>
  <c r="M245" i="5"/>
  <c r="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L246" i="5"/>
  <c r="M246" i="5"/>
  <c r="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L251" i="5"/>
  <c r="M251" i="5"/>
  <c r="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L252" i="5"/>
  <c r="M252" i="5"/>
  <c r="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L254" i="5"/>
  <c r="M254" i="5"/>
  <c r="N254" i="5"/>
  <c r="F255" i="5"/>
  <c r="G255" i="5"/>
  <c r="H255" i="5"/>
  <c r="K255" i="5"/>
  <c r="L255" i="5"/>
  <c r="M255" i="5"/>
  <c r="N255" i="5"/>
  <c r="U255" i="5"/>
  <c r="V255" i="5"/>
  <c r="W255" i="5"/>
  <c r="X255" i="5"/>
  <c r="Y255" i="5"/>
  <c r="Z255" i="5"/>
  <c r="AA255" i="5"/>
  <c r="AB255" i="5"/>
  <c r="AK255" i="5"/>
  <c r="AL255" i="5"/>
  <c r="AM255" i="5"/>
  <c r="AN255" i="5"/>
  <c r="AP255" i="5"/>
  <c r="AQ255" i="5"/>
  <c r="AT255" i="5"/>
  <c r="AU255" i="5"/>
  <c r="AX255" i="5"/>
  <c r="AY255" i="5"/>
  <c r="L256" i="5"/>
  <c r="M256" i="5"/>
  <c r="N256" i="5"/>
  <c r="L257" i="5"/>
  <c r="M257" i="5"/>
  <c r="N257" i="5"/>
  <c r="L258" i="5"/>
  <c r="M258" i="5"/>
  <c r="N258" i="5"/>
  <c r="L259" i="5"/>
  <c r="M259" i="5"/>
  <c r="N259" i="5"/>
  <c r="L260" i="5"/>
  <c r="M260" i="5"/>
  <c r="N260" i="5"/>
  <c r="L261" i="5"/>
  <c r="M261" i="5"/>
  <c r="N261" i="5"/>
  <c r="L267" i="5"/>
  <c r="M267" i="5"/>
  <c r="N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K269" i="5"/>
  <c r="L269" i="5"/>
  <c r="M269" i="5"/>
  <c r="N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K271" i="5"/>
  <c r="L271" i="5"/>
  <c r="M271" i="5"/>
  <c r="N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K272" i="5"/>
  <c r="L272" i="5"/>
  <c r="M272" i="5"/>
  <c r="N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K273" i="5"/>
  <c r="L273" i="5"/>
  <c r="M273" i="5"/>
  <c r="N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L7" i="4"/>
  <c r="M7" i="4"/>
  <c r="N7" i="4"/>
  <c r="AH7" i="4"/>
  <c r="AI7" i="4"/>
  <c r="AJ7" i="4"/>
  <c r="AO7" i="4"/>
  <c r="AP7" i="4"/>
  <c r="AQ7" i="4"/>
  <c r="AR7" i="4"/>
  <c r="AS7" i="4"/>
  <c r="AT7" i="4"/>
  <c r="AU7" i="4"/>
  <c r="AV7" i="4"/>
  <c r="AW7" i="4"/>
  <c r="AX7" i="4"/>
  <c r="AY7" i="4"/>
  <c r="AZ7" i="4"/>
  <c r="J8" i="4"/>
  <c r="K8" i="4"/>
  <c r="L8" i="4"/>
  <c r="M8" i="4"/>
  <c r="N8" i="4"/>
  <c r="AH8" i="4"/>
  <c r="AI8" i="4"/>
  <c r="AJ8" i="4"/>
  <c r="AK8" i="4"/>
  <c r="AL8" i="4"/>
  <c r="AO8" i="4"/>
  <c r="AP8" i="4"/>
  <c r="AQ8" i="4"/>
  <c r="AR8" i="4"/>
  <c r="AS8" i="4"/>
  <c r="AT8" i="4"/>
  <c r="AU8" i="4"/>
  <c r="AV8" i="4"/>
  <c r="AW8" i="4"/>
  <c r="AX8" i="4"/>
  <c r="AY8" i="4"/>
  <c r="AZ8" i="4"/>
  <c r="J9" i="4"/>
  <c r="K9" i="4"/>
  <c r="L9" i="4"/>
  <c r="M9" i="4"/>
  <c r="N9" i="4"/>
  <c r="AJ9" i="4"/>
  <c r="AK9" i="4"/>
  <c r="AL9" i="4"/>
  <c r="AO9" i="4"/>
  <c r="AP9" i="4"/>
  <c r="AQ9" i="4"/>
  <c r="AR9" i="4"/>
  <c r="AS9" i="4"/>
  <c r="AT9" i="4"/>
  <c r="AU9" i="4"/>
  <c r="AV9" i="4"/>
  <c r="AW9" i="4"/>
  <c r="AX9" i="4"/>
  <c r="AY9" i="4"/>
  <c r="AZ9" i="4"/>
  <c r="U10" i="4"/>
  <c r="V10" i="4"/>
  <c r="W10" i="4"/>
  <c r="X10" i="4"/>
  <c r="Y10" i="4"/>
  <c r="Z10" i="4"/>
  <c r="AA10" i="4"/>
  <c r="AB10" i="4"/>
  <c r="AC10" i="4"/>
  <c r="AD10" i="4"/>
  <c r="AE10" i="4"/>
  <c r="AF10" i="4"/>
  <c r="L12" i="4"/>
  <c r="M12" i="4"/>
  <c r="N12" i="4"/>
  <c r="U12" i="4"/>
  <c r="V12" i="4"/>
  <c r="W12" i="4"/>
  <c r="X12" i="4"/>
  <c r="Y12" i="4"/>
  <c r="Z12" i="4"/>
  <c r="AA12" i="4"/>
  <c r="AB12" i="4"/>
  <c r="AC12" i="4"/>
  <c r="AD12" i="4"/>
  <c r="AE12" i="4"/>
  <c r="AF12" i="4"/>
  <c r="AH12" i="4"/>
  <c r="AI12" i="4"/>
  <c r="AJ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J13" i="4"/>
  <c r="K13" i="4"/>
  <c r="L13" i="4"/>
  <c r="M13" i="4"/>
  <c r="N13" i="4"/>
  <c r="U13" i="4"/>
  <c r="V13" i="4"/>
  <c r="W13" i="4"/>
  <c r="X13" i="4"/>
  <c r="Y13" i="4"/>
  <c r="Z13" i="4"/>
  <c r="AA13" i="4"/>
  <c r="AB13" i="4"/>
  <c r="AC13" i="4"/>
  <c r="AD13" i="4"/>
  <c r="AE13" i="4"/>
  <c r="AF13" i="4"/>
  <c r="AH13" i="4"/>
  <c r="AI13" i="4"/>
  <c r="AJ13" i="4"/>
  <c r="AK13" i="4"/>
  <c r="AL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J16" i="4"/>
  <c r="K16" i="4"/>
  <c r="L16" i="4"/>
  <c r="M16" i="4"/>
  <c r="N16" i="4"/>
  <c r="U16" i="4"/>
  <c r="V16" i="4"/>
  <c r="W16" i="4"/>
  <c r="X16" i="4"/>
  <c r="Y16" i="4"/>
  <c r="Z16" i="4"/>
  <c r="AA16" i="4"/>
  <c r="AB16" i="4"/>
  <c r="AC16" i="4"/>
  <c r="AD16" i="4"/>
  <c r="AE16" i="4"/>
  <c r="AF16" i="4"/>
  <c r="AH16" i="4"/>
  <c r="AI16" i="4"/>
  <c r="AJ16" i="4"/>
  <c r="AK16" i="4"/>
  <c r="AL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J17" i="4"/>
  <c r="K17" i="4"/>
  <c r="L17" i="4"/>
  <c r="M17" i="4"/>
  <c r="N17" i="4"/>
  <c r="U17" i="4"/>
  <c r="V17" i="4"/>
  <c r="W17" i="4"/>
  <c r="X17" i="4"/>
  <c r="Y17" i="4"/>
  <c r="Z17" i="4"/>
  <c r="AA17" i="4"/>
  <c r="AB17" i="4"/>
  <c r="AC17" i="4"/>
  <c r="AD17" i="4"/>
  <c r="AE17" i="4"/>
  <c r="AF17" i="4"/>
  <c r="AH17" i="4"/>
  <c r="AI17" i="4"/>
  <c r="AJ17" i="4"/>
  <c r="AK17" i="4"/>
  <c r="AL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J18" i="4"/>
  <c r="K18" i="4"/>
  <c r="L18" i="4"/>
  <c r="M18" i="4"/>
  <c r="N18" i="4"/>
  <c r="U18" i="4"/>
  <c r="V18" i="4"/>
  <c r="W18" i="4"/>
  <c r="X18" i="4"/>
  <c r="Y18" i="4"/>
  <c r="Z18" i="4"/>
  <c r="AA18" i="4"/>
  <c r="AB18" i="4"/>
  <c r="AC18" i="4"/>
  <c r="AD18" i="4"/>
  <c r="AE18" i="4"/>
  <c r="AF18" i="4"/>
  <c r="AH18" i="4"/>
  <c r="AI18" i="4"/>
  <c r="AJ18" i="4"/>
  <c r="AK18" i="4"/>
  <c r="AL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J19" i="4"/>
  <c r="K19" i="4"/>
  <c r="L19" i="4"/>
  <c r="M19" i="4"/>
  <c r="N19" i="4"/>
  <c r="U19" i="4"/>
  <c r="V19" i="4"/>
  <c r="W19" i="4"/>
  <c r="X19" i="4"/>
  <c r="Y19" i="4"/>
  <c r="Z19" i="4"/>
  <c r="AA19" i="4"/>
  <c r="AB19" i="4"/>
  <c r="AC19" i="4"/>
  <c r="AD19" i="4"/>
  <c r="AE19" i="4"/>
  <c r="AF19" i="4"/>
  <c r="AH19" i="4"/>
  <c r="AI19" i="4"/>
  <c r="AJ19" i="4"/>
  <c r="AK19" i="4"/>
  <c r="AL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J20" i="4"/>
  <c r="K20" i="4"/>
  <c r="L20" i="4"/>
  <c r="M20" i="4"/>
  <c r="N20" i="4"/>
  <c r="U20" i="4"/>
  <c r="V20" i="4"/>
  <c r="W20" i="4"/>
  <c r="X20" i="4"/>
  <c r="Y20" i="4"/>
  <c r="Z20" i="4"/>
  <c r="AA20" i="4"/>
  <c r="AB20" i="4"/>
  <c r="AC20" i="4"/>
  <c r="AD20" i="4"/>
  <c r="AE20" i="4"/>
  <c r="AF20" i="4"/>
  <c r="AH20" i="4"/>
  <c r="AI20" i="4"/>
  <c r="AJ20" i="4"/>
  <c r="AK20" i="4"/>
  <c r="AL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J21" i="4"/>
  <c r="K21" i="4"/>
  <c r="L21" i="4"/>
  <c r="M21" i="4"/>
  <c r="N21" i="4"/>
  <c r="U21" i="4"/>
  <c r="V21" i="4"/>
  <c r="W21" i="4"/>
  <c r="X21" i="4"/>
  <c r="Y21" i="4"/>
  <c r="Z21" i="4"/>
  <c r="AA21" i="4"/>
  <c r="AB21" i="4"/>
  <c r="AC21" i="4"/>
  <c r="AD21" i="4"/>
  <c r="AE21" i="4"/>
  <c r="AF21" i="4"/>
  <c r="AH21" i="4"/>
  <c r="AI21" i="4"/>
  <c r="AJ21" i="4"/>
  <c r="AK21" i="4"/>
  <c r="AL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J22" i="4"/>
  <c r="K22" i="4"/>
  <c r="L22" i="4"/>
  <c r="M22" i="4"/>
  <c r="N22" i="4"/>
  <c r="U22" i="4"/>
  <c r="V22" i="4"/>
  <c r="W22" i="4"/>
  <c r="X22" i="4"/>
  <c r="Y22" i="4"/>
  <c r="Z22" i="4"/>
  <c r="AA22" i="4"/>
  <c r="AB22" i="4"/>
  <c r="AC22" i="4"/>
  <c r="AD22" i="4"/>
  <c r="AE22" i="4"/>
  <c r="AF22" i="4"/>
  <c r="AH22" i="4"/>
  <c r="AI22" i="4"/>
  <c r="AJ22" i="4"/>
  <c r="AK22" i="4"/>
  <c r="AL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L25" i="4"/>
  <c r="M25" i="4"/>
  <c r="N25" i="4"/>
  <c r="AH25" i="4"/>
  <c r="AI25" i="4"/>
  <c r="AJ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J26" i="4"/>
  <c r="K26" i="4"/>
  <c r="L26" i="4"/>
  <c r="M26" i="4"/>
  <c r="N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J27" i="4"/>
  <c r="K27" i="4"/>
  <c r="L27" i="4"/>
  <c r="M27" i="4"/>
  <c r="N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L30" i="4"/>
  <c r="M30" i="4"/>
  <c r="N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J31" i="4"/>
  <c r="K31" i="4"/>
  <c r="L31" i="4"/>
  <c r="M31" i="4"/>
  <c r="N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AH34" i="4"/>
  <c r="AI34" i="4"/>
  <c r="AJ34" i="4"/>
  <c r="AK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AH35" i="4"/>
  <c r="AI35" i="4"/>
  <c r="AJ35" i="4"/>
  <c r="AK35" i="4"/>
  <c r="AL35" i="4"/>
  <c r="AM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AK36" i="4"/>
  <c r="AL36" i="4"/>
  <c r="AM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K43" i="4"/>
  <c r="L43" i="4"/>
  <c r="M43" i="4"/>
  <c r="N43" i="4"/>
  <c r="U43" i="4"/>
  <c r="V43" i="4"/>
  <c r="W43" i="4"/>
  <c r="X43" i="4"/>
  <c r="Y43" i="4"/>
  <c r="Z43" i="4"/>
  <c r="AA43" i="4"/>
  <c r="AB43" i="4"/>
  <c r="AH43" i="4"/>
  <c r="AI43" i="4"/>
  <c r="AJ43" i="4"/>
  <c r="AL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K44" i="4"/>
  <c r="L44" i="4"/>
  <c r="M44" i="4"/>
  <c r="N44" i="4"/>
  <c r="U44" i="4"/>
  <c r="V44" i="4"/>
  <c r="W44" i="4"/>
  <c r="X44" i="4"/>
  <c r="Y44" i="4"/>
  <c r="Z44" i="4"/>
  <c r="AA44" i="4"/>
  <c r="AB44" i="4"/>
  <c r="AC44" i="4"/>
  <c r="AD44" i="4"/>
  <c r="AE44" i="4"/>
  <c r="AF44" i="4"/>
  <c r="AH44" i="4"/>
  <c r="AI44" i="4"/>
  <c r="AJ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K45" i="4"/>
  <c r="L45" i="4"/>
  <c r="M45" i="4"/>
  <c r="N45" i="4"/>
  <c r="U45" i="4"/>
  <c r="V45" i="4"/>
  <c r="W45" i="4"/>
  <c r="X45" i="4"/>
  <c r="Y45" i="4"/>
  <c r="Z45" i="4"/>
  <c r="AA45" i="4"/>
  <c r="AB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K46" i="4"/>
  <c r="L46" i="4"/>
  <c r="M46" i="4"/>
  <c r="N46" i="4"/>
  <c r="U46" i="4"/>
  <c r="V46" i="4"/>
  <c r="W46" i="4"/>
  <c r="X46" i="4"/>
  <c r="Y46" i="4"/>
  <c r="Z46" i="4"/>
  <c r="AA46" i="4"/>
  <c r="AB46" i="4"/>
  <c r="AC46" i="4"/>
  <c r="AD46" i="4"/>
  <c r="AE46" i="4"/>
  <c r="AF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K47" i="4"/>
  <c r="L47" i="4"/>
  <c r="M47" i="4"/>
  <c r="N47" i="4"/>
  <c r="U47" i="4"/>
  <c r="V47" i="4"/>
  <c r="W47" i="4"/>
  <c r="X47" i="4"/>
  <c r="Y47" i="4"/>
  <c r="Z47" i="4"/>
  <c r="AA47" i="4"/>
  <c r="AB47" i="4"/>
  <c r="AC47" i="4"/>
  <c r="AD47" i="4"/>
  <c r="AE47" i="4"/>
  <c r="AF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K50" i="4"/>
  <c r="L50" i="4"/>
  <c r="M50" i="4"/>
  <c r="N50" i="4"/>
  <c r="U50" i="4"/>
  <c r="V50" i="4"/>
  <c r="W50" i="4"/>
  <c r="X50" i="4"/>
  <c r="Y50" i="4"/>
  <c r="Z50" i="4"/>
  <c r="AA50" i="4"/>
  <c r="AB50" i="4"/>
  <c r="AH50" i="4"/>
  <c r="AI50" i="4"/>
  <c r="AJ50" i="4"/>
  <c r="AL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K51" i="4"/>
  <c r="L51" i="4"/>
  <c r="M51" i="4"/>
  <c r="N51" i="4"/>
  <c r="U51" i="4"/>
  <c r="V51" i="4"/>
  <c r="W51" i="4"/>
  <c r="X51" i="4"/>
  <c r="Y51" i="4"/>
  <c r="Z51" i="4"/>
  <c r="AA51" i="4"/>
  <c r="AB51" i="4"/>
  <c r="AC51" i="4"/>
  <c r="AD51" i="4"/>
  <c r="AE51" i="4"/>
  <c r="AF51" i="4"/>
  <c r="AH51" i="4"/>
  <c r="AI51" i="4"/>
  <c r="AJ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K52" i="4"/>
  <c r="L52" i="4"/>
  <c r="M52" i="4"/>
  <c r="N52" i="4"/>
  <c r="U52" i="4"/>
  <c r="V52" i="4"/>
  <c r="W52" i="4"/>
  <c r="X52" i="4"/>
  <c r="Y52" i="4"/>
  <c r="Z52" i="4"/>
  <c r="AA52" i="4"/>
  <c r="AB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K53" i="4"/>
  <c r="L53" i="4"/>
  <c r="M53" i="4"/>
  <c r="N53" i="4"/>
  <c r="U53" i="4"/>
  <c r="V53" i="4"/>
  <c r="W53" i="4"/>
  <c r="X53" i="4"/>
  <c r="Y53" i="4"/>
  <c r="Z53" i="4"/>
  <c r="AA53" i="4"/>
  <c r="AB53" i="4"/>
  <c r="AC53" i="4"/>
  <c r="AD53" i="4"/>
  <c r="AE53" i="4"/>
  <c r="AF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J54" i="4"/>
  <c r="K54" i="4"/>
  <c r="L54" i="4"/>
  <c r="M54" i="4"/>
  <c r="N54" i="4"/>
  <c r="U54" i="4"/>
  <c r="V54" i="4"/>
  <c r="W54" i="4"/>
  <c r="X54" i="4"/>
  <c r="Y54" i="4"/>
  <c r="Z54" i="4"/>
  <c r="AA54" i="4"/>
  <c r="AB54" i="4"/>
  <c r="AC54" i="4"/>
  <c r="AD54" i="4"/>
  <c r="AE54" i="4"/>
  <c r="AF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K57" i="4"/>
  <c r="L57" i="4"/>
  <c r="M57" i="4"/>
  <c r="N57" i="4"/>
  <c r="U57" i="4"/>
  <c r="V57" i="4"/>
  <c r="W57" i="4"/>
  <c r="X57" i="4"/>
  <c r="Y57" i="4"/>
  <c r="Z57" i="4"/>
  <c r="AA57" i="4"/>
  <c r="AB57" i="4"/>
  <c r="AC57" i="4"/>
  <c r="AD57" i="4"/>
  <c r="AE57" i="4"/>
  <c r="AF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K58" i="4"/>
  <c r="L58" i="4"/>
  <c r="M58" i="4"/>
  <c r="N58" i="4"/>
  <c r="U58" i="4"/>
  <c r="V58" i="4"/>
  <c r="W58" i="4"/>
  <c r="X58" i="4"/>
  <c r="Y58" i="4"/>
  <c r="Z58" i="4"/>
  <c r="AA58" i="4"/>
  <c r="AB58" i="4"/>
  <c r="AC58" i="4"/>
  <c r="AD58" i="4"/>
  <c r="AE58" i="4"/>
  <c r="AF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K59" i="4"/>
  <c r="L59" i="4"/>
  <c r="M59" i="4"/>
  <c r="N59" i="4"/>
  <c r="U59" i="4"/>
  <c r="V59" i="4"/>
  <c r="W59" i="4"/>
  <c r="X59" i="4"/>
  <c r="Y59" i="4"/>
  <c r="Z59" i="4"/>
  <c r="AA59" i="4"/>
  <c r="AB59" i="4"/>
  <c r="AC59" i="4"/>
  <c r="AD59" i="4"/>
  <c r="AE59" i="4"/>
  <c r="AF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K60" i="4"/>
  <c r="L60" i="4"/>
  <c r="M60" i="4"/>
  <c r="N60" i="4"/>
  <c r="U60" i="4"/>
  <c r="V60" i="4"/>
  <c r="W60" i="4"/>
  <c r="X60" i="4"/>
  <c r="Y60" i="4"/>
  <c r="Z60" i="4"/>
  <c r="AA60" i="4"/>
  <c r="AB60" i="4"/>
  <c r="AC60" i="4"/>
  <c r="AD60" i="4"/>
  <c r="AE60" i="4"/>
  <c r="AF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K61" i="4"/>
  <c r="L61" i="4"/>
  <c r="M61" i="4"/>
  <c r="N61" i="4"/>
  <c r="U61" i="4"/>
  <c r="V61" i="4"/>
  <c r="W61" i="4"/>
  <c r="X61" i="4"/>
  <c r="Y61" i="4"/>
  <c r="Z61" i="4"/>
  <c r="AA61" i="4"/>
  <c r="AB61" i="4"/>
  <c r="AC61" i="4"/>
  <c r="AD61" i="4"/>
  <c r="AE61" i="4"/>
  <c r="AF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K64" i="4"/>
  <c r="L64" i="4"/>
  <c r="M64" i="4"/>
  <c r="N64" i="4"/>
  <c r="Y64" i="4"/>
  <c r="Z64" i="4"/>
  <c r="AA64" i="4"/>
  <c r="AB64" i="4"/>
  <c r="AC64" i="4"/>
  <c r="AD64" i="4"/>
  <c r="AE64" i="4"/>
  <c r="AF64" i="4"/>
  <c r="AH64" i="4"/>
  <c r="AI64" i="4"/>
  <c r="AJ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K65" i="4"/>
  <c r="L65" i="4"/>
  <c r="M65" i="4"/>
  <c r="N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K66" i="4"/>
  <c r="L66" i="4"/>
  <c r="M66" i="4"/>
  <c r="N66" i="4"/>
  <c r="Y66" i="4"/>
  <c r="Z66" i="4"/>
  <c r="AA66" i="4"/>
  <c r="AB66" i="4"/>
  <c r="AC66" i="4"/>
  <c r="AD66" i="4"/>
  <c r="AE66" i="4"/>
  <c r="AF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K67" i="4"/>
  <c r="L67" i="4"/>
  <c r="M67" i="4"/>
  <c r="N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K68" i="4"/>
  <c r="L68" i="4"/>
  <c r="M68" i="4"/>
  <c r="N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V71" i="4"/>
  <c r="W71" i="4"/>
  <c r="X71" i="4"/>
  <c r="Y71" i="4"/>
  <c r="Z71" i="4"/>
  <c r="AA71" i="4"/>
  <c r="AB71" i="4"/>
  <c r="AC71" i="4"/>
  <c r="AH71" i="4"/>
  <c r="AI71" i="4"/>
  <c r="AJ71" i="4"/>
  <c r="AK71" i="4"/>
  <c r="AL71" i="4"/>
  <c r="AM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V73" i="4"/>
  <c r="W73" i="4"/>
  <c r="X73" i="4"/>
  <c r="Y73" i="4"/>
  <c r="Z73" i="4"/>
  <c r="AA73" i="4"/>
  <c r="AB73" i="4"/>
  <c r="AC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L80" i="4"/>
  <c r="M80" i="4"/>
  <c r="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L81" i="4"/>
  <c r="M81" i="4"/>
  <c r="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L82" i="4"/>
  <c r="M82" i="4"/>
  <c r="N82" i="4"/>
  <c r="O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L85" i="4"/>
  <c r="M85" i="4"/>
  <c r="N85" i="4"/>
  <c r="O85" i="4"/>
  <c r="AH85" i="4"/>
  <c r="AI85" i="4"/>
  <c r="AJ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U86" i="4"/>
  <c r="V86" i="4"/>
  <c r="W86" i="4"/>
  <c r="X86" i="4"/>
  <c r="Y86" i="4"/>
  <c r="Z86" i="4"/>
  <c r="AA86" i="4"/>
  <c r="AB86" i="4"/>
  <c r="AC86" i="4"/>
  <c r="AD86" i="4"/>
  <c r="AE86" i="4"/>
  <c r="AF86" i="4"/>
  <c r="L88" i="4"/>
  <c r="M88" i="4"/>
  <c r="N88" i="4"/>
  <c r="U88" i="4"/>
  <c r="V88" i="4"/>
  <c r="W88" i="4"/>
  <c r="X88" i="4"/>
  <c r="Y88" i="4"/>
  <c r="Z88" i="4"/>
  <c r="AA88" i="4"/>
  <c r="AB88" i="4"/>
  <c r="AC88" i="4"/>
  <c r="AD88" i="4"/>
  <c r="AE88" i="4"/>
  <c r="AF88" i="4"/>
  <c r="AH88" i="4"/>
  <c r="AI88" i="4"/>
  <c r="AJ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L89" i="4"/>
  <c r="M89" i="4"/>
  <c r="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L90" i="4"/>
  <c r="M90" i="4"/>
  <c r="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L92" i="4"/>
  <c r="M92" i="4"/>
  <c r="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L94" i="4"/>
  <c r="M94" i="4"/>
  <c r="N94" i="4"/>
  <c r="O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L95" i="4"/>
  <c r="M95" i="4"/>
  <c r="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L98" i="4"/>
  <c r="M98" i="4"/>
  <c r="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L100" i="4"/>
  <c r="M100" i="4"/>
  <c r="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L101" i="4"/>
  <c r="M101" i="4"/>
  <c r="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L103" i="4"/>
  <c r="M103" i="4"/>
  <c r="N103" i="4"/>
  <c r="AP103" i="4"/>
  <c r="AQ103" i="4"/>
  <c r="AR103" i="4"/>
  <c r="AS103" i="4"/>
  <c r="AT103" i="4"/>
  <c r="AU103" i="4"/>
  <c r="AV103" i="4"/>
  <c r="AW103" i="4"/>
  <c r="AX103" i="4"/>
  <c r="AY103" i="4"/>
  <c r="AZ103" i="4"/>
  <c r="L104" i="4"/>
  <c r="M104" i="4"/>
  <c r="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L105" i="4"/>
  <c r="M105" i="4"/>
  <c r="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L107" i="4"/>
  <c r="M107" i="4"/>
  <c r="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L108" i="4"/>
  <c r="M108" i="4"/>
  <c r="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L109" i="4"/>
  <c r="M109" i="4"/>
  <c r="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L111" i="4"/>
  <c r="M111" i="4"/>
  <c r="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L112" i="4"/>
  <c r="M112" i="4"/>
  <c r="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L113" i="4"/>
  <c r="M113" i="4"/>
  <c r="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K116" i="4"/>
  <c r="L116" i="4"/>
  <c r="M116" i="4"/>
  <c r="N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K117" i="4"/>
  <c r="L117" i="4"/>
  <c r="M117" i="4"/>
  <c r="N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L118" i="4"/>
  <c r="M118" i="4"/>
  <c r="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L119" i="4"/>
  <c r="M119" i="4"/>
  <c r="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K120" i="4"/>
  <c r="L120" i="4"/>
  <c r="M120" i="4"/>
  <c r="N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K122" i="4"/>
  <c r="L122" i="4"/>
  <c r="M122" i="4"/>
  <c r="N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K123" i="4"/>
  <c r="L123" i="4"/>
  <c r="M123" i="4"/>
  <c r="N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K124" i="4"/>
  <c r="L124" i="4"/>
  <c r="M124" i="4"/>
  <c r="N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L126" i="4"/>
  <c r="M126" i="4"/>
  <c r="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M127" i="4"/>
  <c r="N127" i="4"/>
  <c r="AS127" i="4"/>
  <c r="AT127" i="4"/>
  <c r="AU127" i="4"/>
  <c r="AV127" i="4"/>
  <c r="AW127" i="4"/>
  <c r="K131" i="4"/>
  <c r="L131" i="4"/>
  <c r="M131" i="4"/>
  <c r="N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L132" i="4"/>
  <c r="M132" i="4"/>
  <c r="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K133" i="4"/>
  <c r="L133" i="4"/>
  <c r="M133" i="4"/>
  <c r="N133" i="4"/>
  <c r="AK133" i="4"/>
  <c r="AL133" i="4"/>
  <c r="AM133" i="4"/>
  <c r="AN133" i="4"/>
  <c r="K134" i="4"/>
  <c r="L134" i="4"/>
  <c r="M134" i="4"/>
  <c r="N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K135" i="4"/>
  <c r="L135" i="4"/>
  <c r="M135" i="4"/>
  <c r="N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K136" i="4"/>
  <c r="L136" i="4"/>
  <c r="M136" i="4"/>
  <c r="N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L137" i="4"/>
  <c r="M137" i="4"/>
  <c r="N137" i="4"/>
  <c r="AP137" i="4"/>
  <c r="AQ137" i="4"/>
  <c r="AR137" i="4"/>
  <c r="AS137" i="4"/>
  <c r="AT137" i="4"/>
  <c r="AU137" i="4"/>
  <c r="AV137" i="4"/>
  <c r="AW137" i="4"/>
  <c r="AX137" i="4"/>
  <c r="AY137" i="4"/>
  <c r="AZ137" i="4"/>
  <c r="K138" i="4"/>
  <c r="L138" i="4"/>
  <c r="M138" i="4"/>
  <c r="N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K139" i="4"/>
  <c r="L139" i="4"/>
  <c r="M139" i="4"/>
  <c r="N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K140" i="4"/>
  <c r="L140" i="4"/>
  <c r="M140" i="4"/>
  <c r="N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F144" i="4"/>
  <c r="G144" i="4"/>
  <c r="H144" i="4"/>
  <c r="K144" i="4"/>
  <c r="L144" i="4"/>
  <c r="M144" i="4"/>
  <c r="N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L147" i="4"/>
  <c r="M147" i="4"/>
  <c r="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L149" i="4"/>
  <c r="M149" i="4"/>
  <c r="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L150" i="4"/>
  <c r="M150" i="4"/>
  <c r="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L151" i="4"/>
  <c r="M151" i="4"/>
  <c r="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L152" i="4"/>
  <c r="M152" i="4"/>
  <c r="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L153" i="4"/>
  <c r="M153" i="4"/>
  <c r="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L154" i="4"/>
  <c r="M154" i="4"/>
  <c r="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L155" i="4"/>
  <c r="M155" i="4"/>
  <c r="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L156" i="4"/>
  <c r="M156" i="4"/>
  <c r="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L157" i="4"/>
  <c r="M157" i="4"/>
  <c r="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K159" i="4"/>
  <c r="L159" i="4"/>
  <c r="M159" i="4"/>
  <c r="N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K160" i="4"/>
  <c r="L160" i="4"/>
  <c r="M160" i="4"/>
  <c r="N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L161" i="4"/>
  <c r="M161" i="4"/>
  <c r="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L162" i="4"/>
  <c r="M162" i="4"/>
  <c r="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K163" i="4"/>
  <c r="L163" i="4"/>
  <c r="M163" i="4"/>
  <c r="N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K164" i="4"/>
  <c r="L164" i="4"/>
  <c r="M164" i="4"/>
  <c r="N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L165" i="4"/>
  <c r="M165" i="4"/>
  <c r="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L166" i="4"/>
  <c r="M166" i="4"/>
  <c r="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L167" i="4"/>
  <c r="M167" i="4"/>
  <c r="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L168" i="4"/>
  <c r="M168" i="4"/>
  <c r="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K169" i="4"/>
  <c r="L169" i="4"/>
  <c r="M169" i="4"/>
  <c r="N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L170" i="4"/>
  <c r="M170" i="4"/>
  <c r="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K171" i="4"/>
  <c r="L171" i="4"/>
  <c r="M171" i="4"/>
  <c r="N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L172" i="4"/>
  <c r="M172" i="4"/>
  <c r="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K173" i="4"/>
  <c r="L173" i="4"/>
  <c r="M173" i="4"/>
  <c r="N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L176" i="4"/>
  <c r="M176" i="4"/>
  <c r="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L178" i="4"/>
  <c r="M178" i="4"/>
  <c r="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L180" i="4"/>
  <c r="M180" i="4"/>
  <c r="N180" i="4"/>
  <c r="AO180" i="4"/>
  <c r="AP180" i="4"/>
  <c r="AQ180" i="4"/>
  <c r="AR180" i="4"/>
  <c r="AS180" i="4"/>
  <c r="AT180" i="4"/>
  <c r="AU180" i="4"/>
  <c r="AV180" i="4"/>
  <c r="AW180" i="4"/>
  <c r="AX180" i="4"/>
  <c r="AY180" i="4"/>
  <c r="AZ180" i="4"/>
  <c r="L181" i="4"/>
  <c r="M181" i="4"/>
  <c r="N181" i="4"/>
  <c r="AO181" i="4"/>
  <c r="AP181" i="4"/>
  <c r="AQ181" i="4"/>
  <c r="AR181" i="4"/>
  <c r="AS181" i="4"/>
  <c r="AT181" i="4"/>
  <c r="AU181" i="4"/>
  <c r="AV181" i="4"/>
  <c r="AW181" i="4"/>
  <c r="AX181" i="4"/>
  <c r="AY181" i="4"/>
  <c r="AZ181" i="4"/>
  <c r="L183" i="4"/>
  <c r="M183" i="4"/>
  <c r="N183" i="4"/>
  <c r="AP183" i="4"/>
  <c r="AQ183" i="4"/>
  <c r="AR183" i="4"/>
  <c r="AS183" i="4"/>
  <c r="AT183" i="4"/>
  <c r="AU183" i="4"/>
  <c r="AV183" i="4"/>
  <c r="AW183" i="4"/>
  <c r="AX183" i="4"/>
  <c r="AY183" i="4"/>
  <c r="AZ183" i="4"/>
  <c r="L184" i="4"/>
  <c r="M184" i="4"/>
  <c r="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L185" i="4"/>
  <c r="M185" i="4"/>
  <c r="N185" i="4"/>
  <c r="AO185" i="4"/>
  <c r="AP185" i="4"/>
  <c r="AQ185" i="4"/>
  <c r="AR185" i="4"/>
  <c r="AS185" i="4"/>
  <c r="AT185" i="4"/>
  <c r="AU185" i="4"/>
  <c r="AV185" i="4"/>
  <c r="AW185" i="4"/>
  <c r="AX185" i="4"/>
  <c r="AY185" i="4"/>
  <c r="AZ185" i="4"/>
  <c r="L186" i="4"/>
  <c r="M186" i="4"/>
  <c r="N186" i="4"/>
  <c r="AO186" i="4"/>
  <c r="AP186" i="4"/>
  <c r="AQ186" i="4"/>
  <c r="AR186" i="4"/>
  <c r="AS186" i="4"/>
  <c r="AT186" i="4"/>
  <c r="AU186" i="4"/>
  <c r="AV186" i="4"/>
  <c r="AW186" i="4"/>
  <c r="AX186" i="4"/>
  <c r="AY186" i="4"/>
  <c r="AZ186" i="4"/>
  <c r="L187" i="4"/>
  <c r="M187" i="4"/>
  <c r="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L188" i="4"/>
  <c r="M188" i="4"/>
  <c r="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K190" i="4"/>
  <c r="L190" i="4"/>
  <c r="M190" i="4"/>
  <c r="N190" i="4"/>
  <c r="AK190" i="4"/>
  <c r="AL190" i="4"/>
  <c r="AM190" i="4"/>
  <c r="AN190" i="4"/>
  <c r="AO190" i="4"/>
  <c r="AP190" i="4"/>
  <c r="AQ190" i="4"/>
  <c r="AR190" i="4"/>
  <c r="AS190" i="4"/>
  <c r="AT190" i="4"/>
  <c r="AU190" i="4"/>
  <c r="AV190" i="4"/>
  <c r="AW190" i="4"/>
  <c r="AX190" i="4"/>
  <c r="AY190" i="4"/>
  <c r="AZ190" i="4"/>
  <c r="K191" i="4"/>
  <c r="L191" i="4"/>
  <c r="M191" i="4"/>
  <c r="N191" i="4"/>
  <c r="AK191" i="4"/>
  <c r="AL191" i="4"/>
  <c r="AM191" i="4"/>
  <c r="AN191" i="4"/>
  <c r="AO191" i="4"/>
  <c r="AP191" i="4"/>
  <c r="AQ191" i="4"/>
  <c r="AR191" i="4"/>
  <c r="AS191" i="4"/>
  <c r="AT191" i="4"/>
  <c r="AU191" i="4"/>
  <c r="AV191" i="4"/>
  <c r="AW191" i="4"/>
  <c r="AX191" i="4"/>
  <c r="AY191" i="4"/>
  <c r="AZ191" i="4"/>
  <c r="L192" i="4"/>
  <c r="M192" i="4"/>
  <c r="N192" i="4"/>
  <c r="AO192" i="4"/>
  <c r="AP192" i="4"/>
  <c r="AQ192" i="4"/>
  <c r="AR192" i="4"/>
  <c r="AS192" i="4"/>
  <c r="AT192" i="4"/>
  <c r="AU192" i="4"/>
  <c r="AV192" i="4"/>
  <c r="AW192" i="4"/>
  <c r="AX192" i="4"/>
  <c r="AY192" i="4"/>
  <c r="AZ192" i="4"/>
  <c r="L193" i="4"/>
  <c r="M193" i="4"/>
  <c r="N193" i="4"/>
  <c r="AO193" i="4"/>
  <c r="AP193" i="4"/>
  <c r="AQ193" i="4"/>
  <c r="AR193" i="4"/>
  <c r="AS193" i="4"/>
  <c r="AT193" i="4"/>
  <c r="AU193" i="4"/>
  <c r="AV193" i="4"/>
  <c r="AW193" i="4"/>
  <c r="AX193" i="4"/>
  <c r="AY193" i="4"/>
  <c r="AZ193" i="4"/>
  <c r="K194" i="4"/>
  <c r="L194" i="4"/>
  <c r="M194" i="4"/>
  <c r="N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K195" i="4"/>
  <c r="L195" i="4"/>
  <c r="M195" i="4"/>
  <c r="N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L196" i="4"/>
  <c r="M196" i="4"/>
  <c r="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M197" i="4"/>
  <c r="N197" i="4"/>
  <c r="AS197" i="4"/>
  <c r="AT197" i="4"/>
  <c r="AU197" i="4"/>
  <c r="AV197" i="4"/>
  <c r="AW197" i="4"/>
  <c r="AX197" i="4"/>
  <c r="K200" i="4"/>
  <c r="L200" i="4"/>
  <c r="M200" i="4"/>
  <c r="N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L201" i="4"/>
  <c r="M201" i="4"/>
  <c r="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K202" i="4"/>
  <c r="L202" i="4"/>
  <c r="M202" i="4"/>
  <c r="N202" i="4"/>
  <c r="AK202" i="4"/>
  <c r="AL202" i="4"/>
  <c r="AM202" i="4"/>
  <c r="AN202" i="4"/>
  <c r="AO202" i="4"/>
  <c r="AP202" i="4"/>
  <c r="AQ202" i="4"/>
  <c r="AR202" i="4"/>
  <c r="AS202" i="4"/>
  <c r="AT202" i="4"/>
  <c r="AU202" i="4"/>
  <c r="AV202" i="4"/>
  <c r="AW202" i="4"/>
  <c r="AX202" i="4"/>
  <c r="AY202" i="4"/>
  <c r="AZ202" i="4"/>
  <c r="L203" i="4"/>
  <c r="M203" i="4"/>
  <c r="N203" i="4"/>
  <c r="AP203" i="4"/>
  <c r="AQ203" i="4"/>
  <c r="AR203" i="4"/>
  <c r="AS203" i="4"/>
  <c r="AT203" i="4"/>
  <c r="AU203" i="4"/>
  <c r="AV203" i="4"/>
  <c r="AW203" i="4"/>
  <c r="AX203" i="4"/>
  <c r="AY203" i="4"/>
  <c r="AZ203" i="4"/>
  <c r="K204" i="4"/>
  <c r="L204" i="4"/>
  <c r="M204" i="4"/>
  <c r="N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L207" i="4"/>
  <c r="M207" i="4"/>
  <c r="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L208" i="4"/>
  <c r="M208" i="4"/>
  <c r="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L209" i="4"/>
  <c r="M209" i="4"/>
  <c r="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F210" i="4"/>
  <c r="G210" i="4"/>
  <c r="H210" i="4"/>
  <c r="K210" i="4"/>
  <c r="L210" i="4"/>
  <c r="M210" i="4"/>
  <c r="N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F211" i="4"/>
  <c r="G211" i="4"/>
  <c r="H211" i="4"/>
  <c r="K211" i="4"/>
  <c r="L211" i="4"/>
  <c r="M211" i="4"/>
  <c r="N211" i="4"/>
  <c r="Q211" i="4"/>
  <c r="R211" i="4"/>
  <c r="S211" i="4"/>
  <c r="T211" i="4"/>
  <c r="U211" i="4"/>
  <c r="V211" i="4"/>
  <c r="W211" i="4"/>
  <c r="X211" i="4"/>
  <c r="Y211" i="4"/>
  <c r="Z211" i="4"/>
  <c r="AA211" i="4"/>
  <c r="AB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F212" i="4"/>
  <c r="G212" i="4"/>
  <c r="H212" i="4"/>
  <c r="K212" i="4"/>
  <c r="L212" i="4"/>
  <c r="M212" i="4"/>
  <c r="N212" i="4"/>
  <c r="Q212" i="4"/>
  <c r="R212" i="4"/>
  <c r="S212" i="4"/>
  <c r="T212" i="4"/>
  <c r="U212" i="4"/>
  <c r="V212" i="4"/>
  <c r="W212" i="4"/>
  <c r="X212" i="4"/>
  <c r="Y212" i="4"/>
  <c r="Z212" i="4"/>
  <c r="AA212" i="4"/>
  <c r="AB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F213" i="4"/>
  <c r="G213" i="4"/>
  <c r="H213" i="4"/>
  <c r="K213" i="4"/>
  <c r="L213" i="4"/>
  <c r="M213" i="4"/>
  <c r="N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F214" i="4"/>
  <c r="G214" i="4"/>
  <c r="H214" i="4"/>
  <c r="K214" i="4"/>
  <c r="L214" i="4"/>
  <c r="M214" i="4"/>
  <c r="N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F215" i="4"/>
  <c r="G215" i="4"/>
  <c r="H215" i="4"/>
  <c r="K215" i="4"/>
  <c r="L215" i="4"/>
  <c r="M215" i="4"/>
  <c r="N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K216" i="4"/>
  <c r="L216" i="4"/>
  <c r="M216" i="4"/>
  <c r="N216" i="4"/>
  <c r="O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K217" i="4"/>
  <c r="L217" i="4"/>
  <c r="M217" i="4"/>
  <c r="N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K218" i="4"/>
  <c r="L218" i="4"/>
  <c r="M218" i="4"/>
  <c r="N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K219" i="4"/>
  <c r="L219" i="4"/>
  <c r="M219" i="4"/>
  <c r="N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K220" i="4"/>
  <c r="L220" i="4"/>
  <c r="M220" i="4"/>
  <c r="N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K221" i="4"/>
  <c r="L221" i="4"/>
  <c r="M221" i="4"/>
  <c r="N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K222" i="4"/>
  <c r="L222" i="4"/>
  <c r="M222" i="4"/>
  <c r="N222" i="4"/>
  <c r="AK222" i="4"/>
  <c r="AL222" i="4"/>
  <c r="AM222" i="4"/>
  <c r="AN222" i="4"/>
  <c r="AO222" i="4"/>
  <c r="AP222" i="4"/>
  <c r="AQ222" i="4"/>
  <c r="AR222" i="4"/>
  <c r="AS222" i="4"/>
  <c r="AT222" i="4"/>
  <c r="AU222" i="4"/>
  <c r="AV222" i="4"/>
  <c r="AW222" i="4"/>
  <c r="AX222" i="4"/>
  <c r="AY222" i="4"/>
  <c r="AZ222" i="4"/>
  <c r="K223" i="4"/>
  <c r="L223" i="4"/>
  <c r="M223" i="4"/>
  <c r="N223" i="4"/>
  <c r="AK223" i="4"/>
  <c r="AL223" i="4"/>
  <c r="AM223" i="4"/>
  <c r="AN223" i="4"/>
  <c r="AO223" i="4"/>
  <c r="AP223" i="4"/>
  <c r="AQ223" i="4"/>
  <c r="AR223" i="4"/>
  <c r="AS223" i="4"/>
  <c r="AT223" i="4"/>
  <c r="AU223" i="4"/>
  <c r="AV223" i="4"/>
  <c r="AW223" i="4"/>
  <c r="AX223" i="4"/>
  <c r="AY223" i="4"/>
  <c r="AZ223" i="4"/>
  <c r="K224" i="4"/>
  <c r="L224" i="4"/>
  <c r="M224" i="4"/>
  <c r="N224" i="4"/>
  <c r="AK224" i="4"/>
  <c r="AL224" i="4"/>
  <c r="AM224" i="4"/>
  <c r="AN224" i="4"/>
  <c r="AO224" i="4"/>
  <c r="AP224" i="4"/>
  <c r="AQ224" i="4"/>
  <c r="AR224" i="4"/>
  <c r="AS224" i="4"/>
  <c r="AT224" i="4"/>
  <c r="AU224" i="4"/>
  <c r="AV224" i="4"/>
  <c r="AW224" i="4"/>
  <c r="AX224" i="4"/>
  <c r="AY224" i="4"/>
  <c r="AZ224" i="4"/>
  <c r="K225" i="4"/>
  <c r="L225" i="4"/>
  <c r="M225" i="4"/>
  <c r="N225" i="4"/>
  <c r="AK225" i="4"/>
  <c r="AL225" i="4"/>
  <c r="AM225" i="4"/>
  <c r="AN225" i="4"/>
  <c r="AO225" i="4"/>
  <c r="AP225" i="4"/>
  <c r="AQ225" i="4"/>
  <c r="AR225" i="4"/>
  <c r="AS225" i="4"/>
  <c r="AT225" i="4"/>
  <c r="AU225" i="4"/>
  <c r="AV225" i="4"/>
  <c r="AW225" i="4"/>
  <c r="AX225" i="4"/>
  <c r="AY225" i="4"/>
  <c r="AZ225" i="4"/>
  <c r="K226" i="4"/>
  <c r="L226" i="4"/>
  <c r="M226" i="4"/>
  <c r="N226" i="4"/>
  <c r="AK226" i="4"/>
  <c r="AL226" i="4"/>
  <c r="AM226" i="4"/>
  <c r="AN226" i="4"/>
  <c r="AO226" i="4"/>
  <c r="AP226" i="4"/>
  <c r="AQ226" i="4"/>
  <c r="AR226" i="4"/>
  <c r="AS226" i="4"/>
  <c r="AT226" i="4"/>
  <c r="AU226" i="4"/>
  <c r="AV226" i="4"/>
  <c r="AW226" i="4"/>
  <c r="AX226" i="4"/>
  <c r="AY226" i="4"/>
  <c r="AZ226" i="4"/>
  <c r="K227" i="4"/>
  <c r="L227" i="4"/>
  <c r="M227" i="4"/>
  <c r="N227" i="4"/>
  <c r="AK227" i="4"/>
  <c r="AL227" i="4"/>
  <c r="AM227" i="4"/>
  <c r="AN227" i="4"/>
  <c r="AO227" i="4"/>
  <c r="AP227" i="4"/>
  <c r="AQ227" i="4"/>
  <c r="AR227" i="4"/>
  <c r="AS227" i="4"/>
  <c r="AT227" i="4"/>
  <c r="AU227" i="4"/>
  <c r="AV227" i="4"/>
  <c r="AW227" i="4"/>
  <c r="AX227" i="4"/>
  <c r="AY227" i="4"/>
  <c r="AZ227" i="4"/>
  <c r="L230" i="4"/>
  <c r="M230" i="4"/>
  <c r="N230" i="4"/>
  <c r="F231" i="4"/>
  <c r="G231" i="4"/>
  <c r="H231" i="4"/>
  <c r="K231" i="4"/>
  <c r="L231" i="4"/>
  <c r="M231" i="4"/>
  <c r="N231" i="4"/>
  <c r="F232" i="4"/>
  <c r="G232" i="4"/>
  <c r="H232" i="4"/>
  <c r="K232" i="4"/>
  <c r="L232" i="4"/>
  <c r="M232" i="4"/>
  <c r="N232" i="4"/>
  <c r="K233" i="4"/>
  <c r="L233" i="4"/>
  <c r="M233" i="4"/>
  <c r="N233" i="4"/>
  <c r="K234" i="4"/>
  <c r="L234" i="4"/>
  <c r="M234" i="4"/>
  <c r="N234" i="4"/>
  <c r="K235" i="4"/>
  <c r="L235" i="4"/>
  <c r="M235" i="4"/>
  <c r="N235" i="4"/>
  <c r="K236" i="4"/>
  <c r="L236" i="4"/>
  <c r="M236" i="4"/>
  <c r="N236" i="4"/>
  <c r="L239" i="4"/>
  <c r="M239" i="4"/>
  <c r="N239" i="4"/>
  <c r="G240" i="4"/>
  <c r="H240" i="4"/>
  <c r="I240" i="4"/>
  <c r="K240" i="4"/>
  <c r="L240" i="4"/>
  <c r="M240" i="4"/>
  <c r="N240" i="4"/>
  <c r="G241" i="4"/>
  <c r="H241" i="4"/>
  <c r="I241" i="4"/>
  <c r="K241" i="4"/>
  <c r="L241" i="4"/>
  <c r="M241" i="4"/>
  <c r="N241" i="4"/>
  <c r="K242" i="4"/>
  <c r="L242" i="4"/>
  <c r="M242" i="4"/>
  <c r="N242" i="4"/>
  <c r="K243" i="4"/>
  <c r="L243" i="4"/>
  <c r="M243" i="4"/>
  <c r="N243" i="4"/>
  <c r="K244" i="4"/>
  <c r="L244" i="4"/>
  <c r="M244" i="4"/>
  <c r="N244" i="4"/>
  <c r="K245" i="4"/>
  <c r="L245" i="4"/>
  <c r="M245" i="4"/>
  <c r="N245" i="4"/>
  <c r="K248" i="4"/>
  <c r="L248" i="4"/>
  <c r="M248" i="4"/>
  <c r="N248" i="4"/>
  <c r="AK248" i="4"/>
  <c r="AL248" i="4"/>
  <c r="AM248" i="4"/>
  <c r="AN248" i="4"/>
  <c r="AO248" i="4"/>
  <c r="AP248" i="4"/>
  <c r="AQ248" i="4"/>
  <c r="AR248" i="4"/>
  <c r="AS248" i="4"/>
  <c r="AT248" i="4"/>
  <c r="AU248" i="4"/>
  <c r="AV248" i="4"/>
  <c r="AW248" i="4"/>
  <c r="AX248" i="4"/>
  <c r="AY248" i="4"/>
  <c r="AZ248" i="4"/>
  <c r="K249" i="4"/>
  <c r="L249" i="4"/>
  <c r="M249" i="4"/>
  <c r="N249" i="4"/>
  <c r="AK249" i="4"/>
  <c r="AL249" i="4"/>
  <c r="AM249" i="4"/>
  <c r="AN249" i="4"/>
  <c r="AO249" i="4"/>
  <c r="AP249" i="4"/>
  <c r="AQ249" i="4"/>
  <c r="AR249" i="4"/>
  <c r="AS249" i="4"/>
  <c r="AT249" i="4"/>
  <c r="AU249" i="4"/>
  <c r="AV249" i="4"/>
  <c r="AW249" i="4"/>
  <c r="AX249" i="4"/>
  <c r="AY249" i="4"/>
  <c r="AZ249" i="4"/>
  <c r="K250" i="4"/>
  <c r="L250" i="4"/>
  <c r="M250" i="4"/>
  <c r="N250" i="4"/>
  <c r="AK250" i="4"/>
  <c r="AL250" i="4"/>
  <c r="AM250" i="4"/>
  <c r="AN250" i="4"/>
  <c r="AO250" i="4"/>
  <c r="AP250" i="4"/>
  <c r="AQ250" i="4"/>
  <c r="AR250" i="4"/>
  <c r="AS250" i="4"/>
  <c r="AT250" i="4"/>
  <c r="AU250" i="4"/>
  <c r="AV250" i="4"/>
  <c r="AW250" i="4"/>
  <c r="AX250" i="4"/>
  <c r="AY250" i="4"/>
  <c r="AZ250" i="4"/>
  <c r="K251" i="4"/>
  <c r="L251" i="4"/>
  <c r="M251" i="4"/>
  <c r="N251" i="4"/>
  <c r="AK251" i="4"/>
  <c r="AL251" i="4"/>
  <c r="AM251" i="4"/>
  <c r="AN251" i="4"/>
  <c r="AO251" i="4"/>
  <c r="AP251" i="4"/>
  <c r="AQ251" i="4"/>
  <c r="AR251" i="4"/>
  <c r="AS251" i="4"/>
  <c r="AT251" i="4"/>
  <c r="AU251" i="4"/>
  <c r="AV251" i="4"/>
  <c r="AW251" i="4"/>
  <c r="AX251" i="4"/>
  <c r="AY251" i="4"/>
  <c r="AZ251" i="4"/>
  <c r="K252" i="4"/>
  <c r="L252" i="4"/>
  <c r="M252" i="4"/>
  <c r="N252" i="4"/>
  <c r="AK252" i="4"/>
  <c r="AL252" i="4"/>
  <c r="AM252" i="4"/>
  <c r="AN252" i="4"/>
  <c r="AO252" i="4"/>
  <c r="AP252" i="4"/>
  <c r="AQ252" i="4"/>
  <c r="AR252" i="4"/>
  <c r="AS252" i="4"/>
  <c r="AT252" i="4"/>
  <c r="AU252" i="4"/>
  <c r="AV252" i="4"/>
  <c r="AW252" i="4"/>
  <c r="AX252" i="4"/>
  <c r="AY252" i="4"/>
  <c r="AZ252" i="4"/>
  <c r="K253" i="4"/>
  <c r="L253" i="4"/>
  <c r="M253" i="4"/>
  <c r="N253" i="4"/>
  <c r="AK253" i="4"/>
  <c r="AL253" i="4"/>
  <c r="AM253" i="4"/>
  <c r="AN253" i="4"/>
  <c r="AO253" i="4"/>
  <c r="AP253" i="4"/>
  <c r="AQ253" i="4"/>
  <c r="AR253" i="4"/>
  <c r="AS253" i="4"/>
  <c r="AT253" i="4"/>
  <c r="AU253" i="4"/>
  <c r="AV253" i="4"/>
  <c r="AW253" i="4"/>
  <c r="AX253" i="4"/>
  <c r="AY253" i="4"/>
  <c r="AZ253" i="4"/>
  <c r="L255" i="4"/>
  <c r="M255" i="4"/>
  <c r="N255" i="4"/>
  <c r="L256" i="4"/>
  <c r="M256" i="4"/>
  <c r="N256" i="4"/>
  <c r="L257" i="4"/>
  <c r="M257" i="4"/>
  <c r="N257" i="4"/>
  <c r="L260" i="4"/>
  <c r="M260" i="4"/>
  <c r="N260" i="4"/>
  <c r="L262" i="4"/>
  <c r="M262" i="4"/>
  <c r="N262" i="4"/>
  <c r="L265" i="4"/>
  <c r="M265" i="4"/>
  <c r="N265" i="4"/>
  <c r="AO265" i="4"/>
  <c r="AP265" i="4"/>
  <c r="AQ265" i="4"/>
  <c r="AR265" i="4"/>
  <c r="AS265" i="4"/>
  <c r="AT265" i="4"/>
  <c r="AU265" i="4"/>
  <c r="AV265" i="4"/>
  <c r="AW265" i="4"/>
  <c r="AX265" i="4"/>
  <c r="AY265" i="4"/>
  <c r="AZ265" i="4"/>
  <c r="L266" i="4"/>
  <c r="M266" i="4"/>
  <c r="N266" i="4"/>
  <c r="AO266" i="4"/>
  <c r="AP266" i="4"/>
  <c r="AQ266" i="4"/>
  <c r="AR266" i="4"/>
  <c r="AS266" i="4"/>
  <c r="AT266" i="4"/>
  <c r="AU266" i="4"/>
  <c r="AV266" i="4"/>
  <c r="AW266" i="4"/>
  <c r="AX266" i="4"/>
  <c r="AY266" i="4"/>
  <c r="AZ266" i="4"/>
  <c r="L267" i="4"/>
  <c r="M267" i="4"/>
  <c r="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L268" i="4"/>
  <c r="M268" i="4"/>
  <c r="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L269" i="4"/>
  <c r="M269" i="4"/>
  <c r="N269" i="4"/>
  <c r="AO269" i="4"/>
  <c r="AP269" i="4"/>
  <c r="AQ269" i="4"/>
  <c r="AR269" i="4"/>
  <c r="AS269" i="4"/>
  <c r="AT269" i="4"/>
  <c r="AU269" i="4"/>
  <c r="AV269" i="4"/>
  <c r="AW269" i="4"/>
  <c r="AX269" i="4"/>
  <c r="AY269" i="4"/>
  <c r="AZ269" i="4"/>
  <c r="K270" i="4"/>
  <c r="L270" i="4"/>
  <c r="M270" i="4"/>
  <c r="N270" i="4"/>
  <c r="AK270" i="4"/>
  <c r="AL270" i="4"/>
  <c r="AM270" i="4"/>
  <c r="AN270" i="4"/>
  <c r="AO270" i="4"/>
  <c r="AP270" i="4"/>
  <c r="AQ270" i="4"/>
  <c r="AR270" i="4"/>
  <c r="AS270" i="4"/>
  <c r="AT270" i="4"/>
  <c r="AU270" i="4"/>
  <c r="AV270" i="4"/>
  <c r="AW270" i="4"/>
  <c r="AX270" i="4"/>
  <c r="AY270" i="4"/>
  <c r="AZ270" i="4"/>
  <c r="L273" i="4"/>
  <c r="M273" i="4"/>
  <c r="N273" i="4"/>
  <c r="AP273" i="4"/>
  <c r="AQ273" i="4"/>
  <c r="AR273" i="4"/>
  <c r="AS273" i="4"/>
  <c r="AT273" i="4"/>
  <c r="AU273" i="4"/>
  <c r="AV273" i="4"/>
  <c r="AW273" i="4"/>
  <c r="AX273" i="4"/>
  <c r="AY273" i="4"/>
  <c r="AZ273" i="4"/>
  <c r="F274" i="4"/>
  <c r="G274" i="4"/>
  <c r="H274" i="4"/>
  <c r="L274" i="4"/>
  <c r="M274" i="4"/>
  <c r="N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P274" i="4"/>
  <c r="AQ274" i="4"/>
  <c r="AR274" i="4"/>
  <c r="AS274" i="4"/>
  <c r="AT274" i="4"/>
  <c r="AU274" i="4"/>
  <c r="AV274" i="4"/>
  <c r="AW274" i="4"/>
  <c r="AX274" i="4"/>
  <c r="AY274" i="4"/>
  <c r="AZ274" i="4"/>
  <c r="F275" i="4"/>
  <c r="G275" i="4"/>
  <c r="H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F276" i="4"/>
  <c r="G276" i="4"/>
  <c r="H276" i="4"/>
  <c r="L276" i="4"/>
  <c r="M276" i="4"/>
  <c r="N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P276" i="4"/>
  <c r="AQ276" i="4"/>
  <c r="AR276" i="4"/>
  <c r="AS276" i="4"/>
  <c r="AT276" i="4"/>
  <c r="AU276" i="4"/>
  <c r="AV276" i="4"/>
  <c r="AW276" i="4"/>
  <c r="AX276" i="4"/>
  <c r="AY276" i="4"/>
  <c r="AZ276" i="4"/>
  <c r="L280" i="4"/>
  <c r="M280" i="4"/>
  <c r="N280" i="4"/>
  <c r="AO280" i="4"/>
  <c r="AP280" i="4"/>
  <c r="AQ280" i="4"/>
  <c r="AR280" i="4"/>
  <c r="AS280" i="4"/>
  <c r="AT280" i="4"/>
  <c r="AU280" i="4"/>
  <c r="AV280" i="4"/>
  <c r="AW280" i="4"/>
  <c r="AX280" i="4"/>
  <c r="AY280" i="4"/>
  <c r="AZ280" i="4"/>
  <c r="L281" i="4"/>
  <c r="M281" i="4"/>
  <c r="N281" i="4"/>
  <c r="AO281" i="4"/>
  <c r="AP281" i="4"/>
  <c r="AQ281" i="4"/>
  <c r="AR281" i="4"/>
  <c r="AS281" i="4"/>
  <c r="AT281" i="4"/>
  <c r="AU281" i="4"/>
  <c r="AV281" i="4"/>
  <c r="AW281" i="4"/>
  <c r="AX281" i="4"/>
  <c r="AY281" i="4"/>
  <c r="AZ281" i="4"/>
  <c r="L282" i="4"/>
  <c r="M282" i="4"/>
  <c r="N282" i="4"/>
  <c r="AO282" i="4"/>
  <c r="AP282" i="4"/>
  <c r="AQ282" i="4"/>
  <c r="AR282" i="4"/>
  <c r="AS282" i="4"/>
  <c r="AT282" i="4"/>
  <c r="AU282" i="4"/>
  <c r="AV282" i="4"/>
  <c r="AW282" i="4"/>
  <c r="AX282" i="4"/>
  <c r="AY282" i="4"/>
  <c r="AZ282" i="4"/>
  <c r="L285" i="4"/>
  <c r="M285" i="4"/>
  <c r="N285" i="4"/>
  <c r="AK285" i="4"/>
  <c r="AL285" i="4"/>
  <c r="AM285" i="4"/>
  <c r="AN285" i="4"/>
  <c r="AO285" i="4"/>
  <c r="AP285" i="4"/>
  <c r="AQ285" i="4"/>
  <c r="AR285" i="4"/>
  <c r="AS285" i="4"/>
  <c r="AT285" i="4"/>
  <c r="AU285" i="4"/>
  <c r="AV285" i="4"/>
  <c r="AW285" i="4"/>
  <c r="AX285" i="4"/>
  <c r="AY285" i="4"/>
  <c r="AZ285" i="4"/>
  <c r="L286" i="4"/>
  <c r="M286" i="4"/>
  <c r="N286" i="4"/>
  <c r="AK286" i="4"/>
  <c r="AL286" i="4"/>
  <c r="AM286" i="4"/>
  <c r="AN286" i="4"/>
  <c r="AO286" i="4"/>
  <c r="AP286" i="4"/>
  <c r="AQ286" i="4"/>
  <c r="AR286" i="4"/>
  <c r="AS286" i="4"/>
  <c r="AT286" i="4"/>
  <c r="AU286" i="4"/>
  <c r="AV286" i="4"/>
  <c r="AW286" i="4"/>
  <c r="AX286" i="4"/>
  <c r="AY286" i="4"/>
  <c r="AZ286" i="4"/>
  <c r="L289" i="4"/>
  <c r="M289" i="4"/>
  <c r="N289" i="4"/>
  <c r="AO289" i="4"/>
  <c r="AP289" i="4"/>
  <c r="AQ289" i="4"/>
  <c r="AR289" i="4"/>
  <c r="AS289" i="4"/>
  <c r="AT289" i="4"/>
  <c r="AU289" i="4"/>
  <c r="AV289" i="4"/>
  <c r="AW289" i="4"/>
  <c r="AX289" i="4"/>
  <c r="AY289" i="4"/>
  <c r="AZ289" i="4"/>
  <c r="L290" i="4"/>
  <c r="M290" i="4"/>
  <c r="N290" i="4"/>
  <c r="AO290" i="4"/>
  <c r="AP290" i="4"/>
  <c r="AQ290" i="4"/>
  <c r="AR290" i="4"/>
  <c r="AS290" i="4"/>
  <c r="AT290" i="4"/>
  <c r="AU290" i="4"/>
  <c r="AV290" i="4"/>
  <c r="AW290" i="4"/>
  <c r="AX290" i="4"/>
  <c r="AY290" i="4"/>
  <c r="AZ290" i="4"/>
  <c r="L292" i="4"/>
  <c r="M292" i="4"/>
  <c r="N292" i="4"/>
  <c r="AO292" i="4"/>
  <c r="AP292" i="4"/>
  <c r="AQ292" i="4"/>
  <c r="AR292" i="4"/>
  <c r="AS292" i="4"/>
  <c r="AT292" i="4"/>
  <c r="AU292" i="4"/>
  <c r="AV292" i="4"/>
  <c r="AW292" i="4"/>
  <c r="AX292" i="4"/>
  <c r="AY292" i="4"/>
  <c r="AZ292" i="4"/>
  <c r="L296" i="4"/>
  <c r="M296" i="4"/>
  <c r="N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H296" i="4"/>
  <c r="AI296" i="4"/>
  <c r="AJ296" i="4"/>
  <c r="AO296" i="4"/>
  <c r="AP296" i="4"/>
  <c r="AQ296" i="4"/>
  <c r="AR296" i="4"/>
  <c r="AS296" i="4"/>
  <c r="AT296" i="4"/>
  <c r="AU296" i="4"/>
  <c r="AV296" i="4"/>
  <c r="AW296" i="4"/>
  <c r="AX296" i="4"/>
  <c r="AY296" i="4"/>
  <c r="AZ296" i="4"/>
  <c r="K297" i="4"/>
  <c r="L297" i="4"/>
  <c r="M297" i="4"/>
  <c r="N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H297" i="4"/>
  <c r="AI297" i="4"/>
  <c r="AJ297" i="4"/>
  <c r="AK297" i="4"/>
  <c r="AL297" i="4"/>
  <c r="AM297" i="4"/>
  <c r="AN297" i="4"/>
  <c r="AO297" i="4"/>
  <c r="AP297" i="4"/>
  <c r="AQ297" i="4"/>
  <c r="AR297" i="4"/>
  <c r="AS297" i="4"/>
  <c r="AT297" i="4"/>
  <c r="AU297" i="4"/>
  <c r="AV297" i="4"/>
  <c r="AW297" i="4"/>
  <c r="AX297" i="4"/>
  <c r="AY297" i="4"/>
  <c r="AZ297" i="4"/>
  <c r="K298" i="4"/>
  <c r="L298" i="4"/>
  <c r="M298" i="4"/>
  <c r="N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H298" i="4"/>
  <c r="AI298" i="4"/>
  <c r="AJ298" i="4"/>
  <c r="AK298" i="4"/>
  <c r="AL298" i="4"/>
  <c r="AM298" i="4"/>
  <c r="AN298" i="4"/>
  <c r="AO298" i="4"/>
  <c r="AP298" i="4"/>
  <c r="AQ298" i="4"/>
  <c r="AR298" i="4"/>
  <c r="AS298" i="4"/>
  <c r="AT298" i="4"/>
  <c r="AU298" i="4"/>
  <c r="AV298" i="4"/>
  <c r="AW298" i="4"/>
  <c r="AX298" i="4"/>
  <c r="AY298" i="4"/>
  <c r="AZ298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O299" i="4"/>
  <c r="AP299" i="4"/>
  <c r="AQ299" i="4"/>
  <c r="AR299" i="4"/>
  <c r="AS299" i="4"/>
  <c r="AT299" i="4"/>
  <c r="AU299" i="4"/>
  <c r="AV299" i="4"/>
  <c r="AW299" i="4"/>
  <c r="AX299" i="4"/>
  <c r="AY299" i="4"/>
  <c r="AZ299" i="4"/>
  <c r="L301" i="4"/>
  <c r="M301" i="4"/>
  <c r="N301" i="4"/>
  <c r="AH301" i="4"/>
  <c r="AI301" i="4"/>
  <c r="AJ301" i="4"/>
  <c r="AO301" i="4"/>
  <c r="AP301" i="4"/>
  <c r="AQ301" i="4"/>
  <c r="AR301" i="4"/>
  <c r="AS301" i="4"/>
  <c r="AT301" i="4"/>
  <c r="AU301" i="4"/>
  <c r="AV301" i="4"/>
  <c r="AW301" i="4"/>
  <c r="AX301" i="4"/>
  <c r="AY301" i="4"/>
  <c r="AZ301" i="4"/>
  <c r="K302" i="4"/>
  <c r="L302" i="4"/>
  <c r="M302" i="4"/>
  <c r="N302" i="4"/>
  <c r="U302" i="4"/>
  <c r="V302" i="4"/>
  <c r="W302" i="4"/>
  <c r="X302" i="4"/>
  <c r="Y302" i="4"/>
  <c r="Z302" i="4"/>
  <c r="AA302" i="4"/>
  <c r="AB302" i="4"/>
  <c r="AH302" i="4"/>
  <c r="AI302" i="4"/>
  <c r="AJ302" i="4"/>
  <c r="AL302" i="4"/>
  <c r="AO302" i="4"/>
  <c r="AP302" i="4"/>
  <c r="AQ302" i="4"/>
  <c r="AR302" i="4"/>
  <c r="AS302" i="4"/>
  <c r="AT302" i="4"/>
  <c r="AU302" i="4"/>
  <c r="AV302" i="4"/>
  <c r="AW302" i="4"/>
  <c r="AX302" i="4"/>
  <c r="AY302" i="4"/>
  <c r="AZ302" i="4"/>
  <c r="K303" i="4"/>
  <c r="L303" i="4"/>
  <c r="M303" i="4"/>
  <c r="N303" i="4"/>
  <c r="U303" i="4"/>
  <c r="V303" i="4"/>
  <c r="W303" i="4"/>
  <c r="X303" i="4"/>
  <c r="Y303" i="4"/>
  <c r="Z303" i="4"/>
  <c r="AA303" i="4"/>
  <c r="AB303" i="4"/>
  <c r="AJ303" i="4"/>
  <c r="AL303" i="4"/>
  <c r="AJ304" i="4"/>
  <c r="AK304" i="4"/>
  <c r="AO304" i="4"/>
  <c r="AP304" i="4"/>
  <c r="AQ304" i="4"/>
  <c r="AR304" i="4"/>
  <c r="AS304" i="4"/>
  <c r="AT304" i="4"/>
  <c r="AU304" i="4"/>
  <c r="AV304" i="4"/>
  <c r="AW304" i="4"/>
  <c r="AX304" i="4"/>
  <c r="AY304" i="4"/>
  <c r="AZ304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K307" i="4"/>
  <c r="L307" i="4"/>
  <c r="M307" i="4"/>
  <c r="N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AH307" i="4"/>
  <c r="AI307" i="4"/>
  <c r="AJ307" i="4"/>
  <c r="AL307" i="4"/>
  <c r="AM307" i="4"/>
  <c r="AN307" i="4"/>
  <c r="AO307" i="4"/>
  <c r="AP307" i="4"/>
  <c r="AQ307" i="4"/>
  <c r="AR307" i="4"/>
  <c r="AS307" i="4"/>
  <c r="AT307" i="4"/>
  <c r="AU307" i="4"/>
  <c r="AV307" i="4"/>
  <c r="AW307" i="4"/>
  <c r="AX307" i="4"/>
  <c r="AY307" i="4"/>
  <c r="AZ307" i="4"/>
  <c r="K308" i="4"/>
  <c r="L308" i="4"/>
  <c r="M308" i="4"/>
  <c r="N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AH308" i="4"/>
  <c r="AI308" i="4"/>
  <c r="AJ308" i="4"/>
  <c r="AL308" i="4"/>
  <c r="AM308" i="4"/>
  <c r="AN308" i="4"/>
  <c r="AO308" i="4"/>
  <c r="AP308" i="4"/>
  <c r="AQ308" i="4"/>
  <c r="AR308" i="4"/>
  <c r="AS308" i="4"/>
  <c r="AT308" i="4"/>
  <c r="AU308" i="4"/>
  <c r="AV308" i="4"/>
  <c r="AW308" i="4"/>
  <c r="AX308" i="4"/>
  <c r="AY308" i="4"/>
  <c r="AZ308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AG309" i="4"/>
  <c r="K312" i="4"/>
  <c r="L312" i="4"/>
  <c r="M312" i="4"/>
  <c r="N312" i="4"/>
  <c r="U312" i="4"/>
  <c r="V312" i="4"/>
  <c r="W312" i="4"/>
  <c r="X312" i="4"/>
  <c r="Y312" i="4"/>
  <c r="Z312" i="4"/>
  <c r="AA312" i="4"/>
  <c r="AB312" i="4"/>
  <c r="AK312" i="4"/>
  <c r="AL312" i="4"/>
  <c r="AM312" i="4"/>
  <c r="AN312" i="4"/>
  <c r="AO312" i="4"/>
  <c r="AP312" i="4"/>
  <c r="AQ312" i="4"/>
  <c r="AR312" i="4"/>
  <c r="AS312" i="4"/>
  <c r="AT312" i="4"/>
  <c r="AU312" i="4"/>
  <c r="AV312" i="4"/>
  <c r="AW312" i="4"/>
  <c r="AX312" i="4"/>
  <c r="AY312" i="4"/>
  <c r="AZ312" i="4"/>
  <c r="K313" i="4"/>
  <c r="L313" i="4"/>
  <c r="M313" i="4"/>
  <c r="N313" i="4"/>
  <c r="U313" i="4"/>
  <c r="V313" i="4"/>
  <c r="W313" i="4"/>
  <c r="X313" i="4"/>
  <c r="Y313" i="4"/>
  <c r="Z313" i="4"/>
  <c r="AA313" i="4"/>
  <c r="AB313" i="4"/>
  <c r="AK313" i="4"/>
  <c r="AL313" i="4"/>
  <c r="AM313" i="4"/>
  <c r="AN313" i="4"/>
  <c r="AO313" i="4"/>
  <c r="AP313" i="4"/>
  <c r="AQ313" i="4"/>
  <c r="AR313" i="4"/>
  <c r="AS313" i="4"/>
  <c r="AT313" i="4"/>
  <c r="AU313" i="4"/>
  <c r="AV313" i="4"/>
  <c r="AW313" i="4"/>
  <c r="AX313" i="4"/>
  <c r="AY313" i="4"/>
  <c r="AZ313" i="4"/>
  <c r="L316" i="4"/>
  <c r="M316" i="4"/>
  <c r="N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AH316" i="4"/>
  <c r="AI316" i="4"/>
  <c r="AJ316" i="4"/>
  <c r="AO316" i="4"/>
  <c r="AP316" i="4"/>
  <c r="AQ316" i="4"/>
  <c r="AR316" i="4"/>
  <c r="AS316" i="4"/>
  <c r="AT316" i="4"/>
  <c r="AU316" i="4"/>
  <c r="AV316" i="4"/>
  <c r="AW316" i="4"/>
  <c r="AX316" i="4"/>
  <c r="AY316" i="4"/>
  <c r="AZ316" i="4"/>
  <c r="K317" i="4"/>
  <c r="L317" i="4"/>
  <c r="M317" i="4"/>
  <c r="N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AH317" i="4"/>
  <c r="AI317" i="4"/>
  <c r="AJ317" i="4"/>
  <c r="AK317" i="4"/>
  <c r="AL317" i="4"/>
  <c r="AM317" i="4"/>
  <c r="AN317" i="4"/>
  <c r="AO317" i="4"/>
  <c r="AP317" i="4"/>
  <c r="AQ317" i="4"/>
  <c r="AR317" i="4"/>
  <c r="AS317" i="4"/>
  <c r="AT317" i="4"/>
  <c r="AU317" i="4"/>
  <c r="AV317" i="4"/>
  <c r="AW317" i="4"/>
  <c r="AX317" i="4"/>
  <c r="AY317" i="4"/>
  <c r="AZ317" i="4"/>
  <c r="K318" i="4"/>
  <c r="L318" i="4"/>
  <c r="M318" i="4"/>
  <c r="N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AH318" i="4"/>
  <c r="AI318" i="4"/>
  <c r="AJ318" i="4"/>
  <c r="AK318" i="4"/>
  <c r="AL318" i="4"/>
  <c r="AM318" i="4"/>
  <c r="AN318" i="4"/>
  <c r="AO318" i="4"/>
  <c r="V319" i="4"/>
  <c r="W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O319" i="4"/>
  <c r="AP319" i="4"/>
  <c r="AQ319" i="4"/>
  <c r="AR319" i="4"/>
  <c r="AS319" i="4"/>
  <c r="AT319" i="4"/>
  <c r="AU319" i="4"/>
  <c r="AV319" i="4"/>
  <c r="AW319" i="4"/>
  <c r="AX319" i="4"/>
  <c r="AY319" i="4"/>
  <c r="AZ319" i="4"/>
  <c r="K321" i="4"/>
  <c r="L321" i="4"/>
  <c r="M321" i="4"/>
  <c r="N321" i="4"/>
  <c r="U321" i="4"/>
  <c r="V321" i="4"/>
  <c r="W321" i="4"/>
  <c r="X321" i="4"/>
  <c r="Y321" i="4"/>
  <c r="Z321" i="4"/>
  <c r="AA321" i="4"/>
  <c r="AB321" i="4"/>
  <c r="AK321" i="4"/>
  <c r="AL321" i="4"/>
  <c r="AM321" i="4"/>
  <c r="AN321" i="4"/>
  <c r="AO321" i="4"/>
  <c r="AP321" i="4"/>
  <c r="AQ321" i="4"/>
  <c r="AR321" i="4"/>
  <c r="AS321" i="4"/>
  <c r="AT321" i="4"/>
  <c r="AU321" i="4"/>
  <c r="AV321" i="4"/>
  <c r="AW321" i="4"/>
  <c r="AX321" i="4"/>
  <c r="AY321" i="4"/>
  <c r="AZ321" i="4"/>
  <c r="K322" i="4"/>
  <c r="L322" i="4"/>
  <c r="M322" i="4"/>
  <c r="N322" i="4"/>
  <c r="U322" i="4"/>
  <c r="V322" i="4"/>
  <c r="W322" i="4"/>
  <c r="X322" i="4"/>
  <c r="Y322" i="4"/>
  <c r="Z322" i="4"/>
  <c r="AA322" i="4"/>
  <c r="AB322" i="4"/>
  <c r="AK322" i="4"/>
  <c r="AL322" i="4"/>
  <c r="AM322" i="4"/>
  <c r="AN322" i="4"/>
  <c r="AO322" i="4"/>
  <c r="AP322" i="4"/>
  <c r="AQ322" i="4"/>
  <c r="AR322" i="4"/>
  <c r="AS322" i="4"/>
  <c r="AT322" i="4"/>
  <c r="AU322" i="4"/>
  <c r="AV322" i="4"/>
  <c r="AW322" i="4"/>
  <c r="AX322" i="4"/>
  <c r="AY322" i="4"/>
  <c r="AZ322" i="4"/>
  <c r="L324" i="4"/>
  <c r="M324" i="4"/>
  <c r="N324" i="4"/>
  <c r="AO324" i="4"/>
  <c r="AP324" i="4"/>
  <c r="AQ324" i="4"/>
  <c r="AR324" i="4"/>
  <c r="AS324" i="4"/>
  <c r="AT324" i="4"/>
  <c r="AU324" i="4"/>
  <c r="AV324" i="4"/>
  <c r="AW324" i="4"/>
  <c r="AX324" i="4"/>
  <c r="AY324" i="4"/>
  <c r="AZ324" i="4"/>
  <c r="K326" i="4"/>
  <c r="L326" i="4"/>
  <c r="M326" i="4"/>
  <c r="N326" i="4"/>
  <c r="U326" i="4"/>
  <c r="V326" i="4"/>
  <c r="W326" i="4"/>
  <c r="X326" i="4"/>
  <c r="Y326" i="4"/>
  <c r="Z326" i="4"/>
  <c r="AA326" i="4"/>
  <c r="AB326" i="4"/>
  <c r="AK326" i="4"/>
  <c r="AL326" i="4"/>
  <c r="AM326" i="4"/>
  <c r="AN326" i="4"/>
  <c r="AO326" i="4"/>
  <c r="AP326" i="4"/>
  <c r="AQ326" i="4"/>
  <c r="AR326" i="4"/>
  <c r="AS326" i="4"/>
  <c r="AT326" i="4"/>
  <c r="AU326" i="4"/>
  <c r="AV326" i="4"/>
  <c r="AW326" i="4"/>
  <c r="AX326" i="4"/>
  <c r="AY326" i="4"/>
  <c r="AZ326" i="4"/>
  <c r="K327" i="4"/>
  <c r="L327" i="4"/>
  <c r="M327" i="4"/>
  <c r="N327" i="4"/>
  <c r="U327" i="4"/>
  <c r="V327" i="4"/>
  <c r="W327" i="4"/>
  <c r="X327" i="4"/>
  <c r="Y327" i="4"/>
  <c r="Z327" i="4"/>
  <c r="AA327" i="4"/>
  <c r="AB327" i="4"/>
  <c r="AK327" i="4"/>
  <c r="AL327" i="4"/>
  <c r="AM327" i="4"/>
  <c r="AN327" i="4"/>
  <c r="AO327" i="4"/>
  <c r="AP327" i="4"/>
  <c r="AQ327" i="4"/>
  <c r="AR327" i="4"/>
  <c r="AS327" i="4"/>
  <c r="AT327" i="4"/>
  <c r="AU327" i="4"/>
  <c r="AV327" i="4"/>
  <c r="AW327" i="4"/>
  <c r="AX327" i="4"/>
  <c r="AY327" i="4"/>
  <c r="AZ327" i="4"/>
  <c r="K329" i="4"/>
  <c r="L329" i="4"/>
  <c r="M329" i="4"/>
  <c r="N329" i="4"/>
  <c r="U329" i="4"/>
  <c r="V329" i="4"/>
  <c r="W329" i="4"/>
  <c r="X329" i="4"/>
  <c r="Y329" i="4"/>
  <c r="Z329" i="4"/>
  <c r="AA329" i="4"/>
  <c r="AB329" i="4"/>
  <c r="AL329" i="4"/>
  <c r="K331" i="4"/>
  <c r="L331" i="4"/>
  <c r="M331" i="4"/>
  <c r="N331" i="4"/>
  <c r="U331" i="4"/>
  <c r="Y331" i="4"/>
  <c r="AC331" i="4"/>
  <c r="AM331" i="4"/>
  <c r="AN331" i="4"/>
  <c r="AO331" i="4"/>
  <c r="AP331" i="4"/>
  <c r="AQ331" i="4"/>
  <c r="AR331" i="4"/>
  <c r="AS331" i="4"/>
  <c r="AT331" i="4"/>
  <c r="AU331" i="4"/>
  <c r="AV331" i="4"/>
  <c r="AW331" i="4"/>
  <c r="AX331" i="4"/>
  <c r="AY331" i="4"/>
  <c r="AZ331" i="4"/>
  <c r="K332" i="4"/>
  <c r="L332" i="4"/>
  <c r="M332" i="4"/>
  <c r="N332" i="4"/>
  <c r="U332" i="4"/>
  <c r="Y332" i="4"/>
  <c r="AK332" i="4"/>
  <c r="AL332" i="4"/>
  <c r="AM332" i="4"/>
  <c r="AN332" i="4"/>
  <c r="AO332" i="4"/>
  <c r="AP332" i="4"/>
  <c r="AQ332" i="4"/>
  <c r="AR332" i="4"/>
  <c r="AS332" i="4"/>
  <c r="AT332" i="4"/>
  <c r="AU332" i="4"/>
  <c r="AV332" i="4"/>
  <c r="AW332" i="4"/>
  <c r="AX332" i="4"/>
  <c r="AY332" i="4"/>
  <c r="AZ332" i="4"/>
  <c r="K333" i="4"/>
  <c r="L333" i="4"/>
  <c r="M333" i="4"/>
  <c r="N333" i="4"/>
  <c r="U333" i="4"/>
  <c r="Y333" i="4"/>
  <c r="AC333" i="4"/>
  <c r="AK333" i="4"/>
  <c r="AL333" i="4"/>
  <c r="AM333" i="4"/>
  <c r="AN333" i="4"/>
  <c r="AO333" i="4"/>
  <c r="AP333" i="4"/>
  <c r="AQ333" i="4"/>
  <c r="AR333" i="4"/>
  <c r="AS333" i="4"/>
  <c r="AT333" i="4"/>
  <c r="AU333" i="4"/>
  <c r="AV333" i="4"/>
  <c r="AW333" i="4"/>
  <c r="AX333" i="4"/>
  <c r="AY333" i="4"/>
  <c r="AZ333" i="4"/>
  <c r="K335" i="4"/>
  <c r="L335" i="4"/>
  <c r="M335" i="4"/>
  <c r="N335" i="4"/>
  <c r="AC335" i="4"/>
  <c r="AL335" i="4"/>
  <c r="AM335" i="4"/>
  <c r="AN335" i="4"/>
  <c r="AO335" i="4"/>
  <c r="AP335" i="4"/>
  <c r="AQ335" i="4"/>
  <c r="AR335" i="4"/>
  <c r="AS335" i="4"/>
  <c r="AT335" i="4"/>
  <c r="AU335" i="4"/>
  <c r="AV335" i="4"/>
  <c r="AW335" i="4"/>
  <c r="AX335" i="4"/>
  <c r="AY335" i="4"/>
  <c r="AZ335" i="4"/>
  <c r="L338" i="4"/>
  <c r="M338" i="4"/>
  <c r="N338" i="4"/>
  <c r="AO338" i="4"/>
  <c r="AP338" i="4"/>
  <c r="AQ338" i="4"/>
  <c r="AR338" i="4"/>
  <c r="AS338" i="4"/>
  <c r="AT338" i="4"/>
  <c r="AU338" i="4"/>
  <c r="AV338" i="4"/>
  <c r="AW338" i="4"/>
  <c r="AX338" i="4"/>
  <c r="AY338" i="4"/>
  <c r="AZ338" i="4"/>
  <c r="U339" i="4"/>
  <c r="V339" i="4"/>
  <c r="W339" i="4"/>
  <c r="X339" i="4"/>
  <c r="Y339" i="4"/>
  <c r="Z339" i="4"/>
  <c r="AA339" i="4"/>
  <c r="AB339" i="4"/>
  <c r="AC339" i="4"/>
  <c r="AD339" i="4"/>
  <c r="AE339" i="4"/>
  <c r="AF339" i="4"/>
  <c r="AH339" i="4"/>
  <c r="AI339" i="4"/>
  <c r="AJ339" i="4"/>
  <c r="U340" i="4"/>
  <c r="V340" i="4"/>
  <c r="W340" i="4"/>
  <c r="X340" i="4"/>
  <c r="Y340" i="4"/>
  <c r="Z340" i="4"/>
  <c r="AA340" i="4"/>
  <c r="AB340" i="4"/>
  <c r="AC340" i="4"/>
  <c r="AD340" i="4"/>
  <c r="AE340" i="4"/>
  <c r="AF340" i="4"/>
  <c r="AH340" i="4"/>
  <c r="AI340" i="4"/>
  <c r="AJ340" i="4"/>
  <c r="AK340" i="4"/>
  <c r="AL340" i="4"/>
  <c r="AM340" i="4"/>
  <c r="AN340" i="4"/>
  <c r="G344" i="4"/>
  <c r="H344" i="4"/>
  <c r="I344" i="4"/>
  <c r="J344" i="4"/>
  <c r="L344" i="4"/>
  <c r="M344" i="4"/>
  <c r="N344" i="4"/>
  <c r="U344" i="4"/>
  <c r="V344" i="4"/>
  <c r="W344" i="4"/>
  <c r="X344" i="4"/>
  <c r="Y344" i="4"/>
  <c r="Z344" i="4"/>
  <c r="AA344" i="4"/>
  <c r="AB344" i="4"/>
  <c r="AC344" i="4"/>
  <c r="AD344" i="4"/>
  <c r="AE344" i="4"/>
  <c r="AF344" i="4"/>
  <c r="AH344" i="4"/>
  <c r="AI344" i="4"/>
  <c r="AJ344" i="4"/>
  <c r="AO344" i="4"/>
  <c r="AP344" i="4"/>
  <c r="AQ344" i="4"/>
  <c r="AR344" i="4"/>
  <c r="AS344" i="4"/>
  <c r="AT344" i="4"/>
  <c r="AU344" i="4"/>
  <c r="AV344" i="4"/>
  <c r="AW344" i="4"/>
  <c r="AX344" i="4"/>
  <c r="AY344" i="4"/>
  <c r="AZ344" i="4"/>
  <c r="U345" i="4"/>
  <c r="V345" i="4"/>
  <c r="W345" i="4"/>
  <c r="X345" i="4"/>
  <c r="Y345" i="4"/>
  <c r="Z345" i="4"/>
  <c r="AA345" i="4"/>
  <c r="AB345" i="4"/>
  <c r="AC345" i="4"/>
  <c r="AD345" i="4"/>
  <c r="AE345" i="4"/>
  <c r="AF345" i="4"/>
  <c r="AG345" i="4"/>
  <c r="AH345" i="4"/>
  <c r="AI345" i="4"/>
  <c r="AJ345" i="4"/>
  <c r="AL345" i="4"/>
  <c r="AM345" i="4"/>
  <c r="AN345" i="4"/>
  <c r="AO345" i="4"/>
  <c r="AP345" i="4"/>
  <c r="AQ345" i="4"/>
  <c r="AR345" i="4"/>
  <c r="AS345" i="4"/>
  <c r="AT345" i="4"/>
  <c r="AU345" i="4"/>
  <c r="AV345" i="4"/>
  <c r="AW345" i="4"/>
  <c r="AX345" i="4"/>
  <c r="AY345" i="4"/>
  <c r="AZ345" i="4"/>
  <c r="U346" i="4"/>
  <c r="V346" i="4"/>
  <c r="W346" i="4"/>
  <c r="X346" i="4"/>
  <c r="Y346" i="4"/>
  <c r="Z346" i="4"/>
  <c r="AA346" i="4"/>
  <c r="AB346" i="4"/>
  <c r="AC346" i="4"/>
  <c r="AD346" i="4"/>
  <c r="AE346" i="4"/>
  <c r="AF346" i="4"/>
  <c r="AG346" i="4"/>
  <c r="AH346" i="4"/>
  <c r="AI346" i="4"/>
  <c r="AJ346" i="4"/>
  <c r="AK346" i="4"/>
  <c r="AO346" i="4"/>
  <c r="AP346" i="4"/>
  <c r="AQ346" i="4"/>
  <c r="AR346" i="4"/>
  <c r="AS346" i="4"/>
  <c r="AT346" i="4"/>
  <c r="AU346" i="4"/>
  <c r="AV346" i="4"/>
  <c r="AW346" i="4"/>
  <c r="AX346" i="4"/>
  <c r="AY346" i="4"/>
  <c r="AZ346" i="4"/>
  <c r="J349" i="4"/>
  <c r="K349" i="4"/>
  <c r="L349" i="4"/>
  <c r="M349" i="4"/>
  <c r="N349" i="4"/>
  <c r="AH349" i="4"/>
  <c r="AI349" i="4"/>
  <c r="AJ349" i="4"/>
  <c r="AK349" i="4"/>
  <c r="AL349" i="4"/>
  <c r="AO349" i="4"/>
  <c r="AP349" i="4"/>
  <c r="AQ349" i="4"/>
  <c r="AR349" i="4"/>
  <c r="AS349" i="4"/>
  <c r="AT349" i="4"/>
  <c r="AU349" i="4"/>
  <c r="AV349" i="4"/>
  <c r="AW349" i="4"/>
  <c r="AX349" i="4"/>
  <c r="AY349" i="4"/>
  <c r="AZ349" i="4"/>
  <c r="J350" i="4"/>
  <c r="K350" i="4"/>
  <c r="L350" i="4"/>
  <c r="M350" i="4"/>
  <c r="N350" i="4"/>
  <c r="AJ350" i="4"/>
  <c r="AK350" i="4"/>
  <c r="AL350" i="4"/>
  <c r="AO350" i="4"/>
  <c r="AP350" i="4"/>
  <c r="AQ350" i="4"/>
  <c r="AR350" i="4"/>
  <c r="AS350" i="4"/>
  <c r="AT350" i="4"/>
  <c r="AU350" i="4"/>
  <c r="AV350" i="4"/>
  <c r="AW350" i="4"/>
  <c r="AX350" i="4"/>
  <c r="AY350" i="4"/>
  <c r="AZ350" i="4"/>
  <c r="J360" i="4"/>
  <c r="K360" i="4"/>
  <c r="L360" i="4"/>
  <c r="M360" i="4"/>
  <c r="N360" i="4"/>
  <c r="AH360" i="4"/>
  <c r="AI360" i="4"/>
  <c r="AJ360" i="4"/>
  <c r="AK360" i="4"/>
  <c r="AL360" i="4"/>
  <c r="AO360" i="4"/>
  <c r="AP360" i="4"/>
  <c r="AQ360" i="4"/>
  <c r="AR360" i="4"/>
  <c r="AS360" i="4"/>
  <c r="AT360" i="4"/>
  <c r="AU360" i="4"/>
  <c r="AV360" i="4"/>
  <c r="AW360" i="4"/>
  <c r="AX360" i="4"/>
  <c r="AY360" i="4"/>
  <c r="AZ360" i="4"/>
  <c r="J362" i="4"/>
  <c r="AH362" i="4"/>
  <c r="AI362" i="4"/>
  <c r="AJ362" i="4"/>
  <c r="L363" i="4"/>
  <c r="M363" i="4"/>
  <c r="N363" i="4"/>
  <c r="AO363" i="4"/>
  <c r="AP363" i="4"/>
  <c r="AQ363" i="4"/>
  <c r="AR363" i="4"/>
  <c r="AS363" i="4"/>
  <c r="AT363" i="4"/>
  <c r="AU363" i="4"/>
  <c r="AV363" i="4"/>
  <c r="AW363" i="4"/>
  <c r="AX363" i="4"/>
  <c r="AY363" i="4"/>
  <c r="AZ363" i="4"/>
  <c r="L364" i="4"/>
  <c r="M364" i="4"/>
  <c r="N364" i="4"/>
  <c r="AO364" i="4"/>
  <c r="AP364" i="4"/>
  <c r="AQ364" i="4"/>
  <c r="AR364" i="4"/>
  <c r="AS364" i="4"/>
  <c r="AT364" i="4"/>
  <c r="AU364" i="4"/>
  <c r="AV364" i="4"/>
  <c r="AW364" i="4"/>
  <c r="AX364" i="4"/>
  <c r="AY364" i="4"/>
  <c r="AZ364" i="4"/>
  <c r="G367" i="4"/>
  <c r="H367" i="4"/>
  <c r="I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G369" i="4"/>
  <c r="H369" i="4"/>
  <c r="I369" i="4"/>
  <c r="J369" i="4"/>
  <c r="L369" i="4"/>
  <c r="M369" i="4"/>
  <c r="N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AH369" i="4"/>
  <c r="AI369" i="4"/>
  <c r="AJ369" i="4"/>
  <c r="AO369" i="4"/>
  <c r="AP369" i="4"/>
  <c r="AQ369" i="4"/>
  <c r="AR369" i="4"/>
  <c r="AS369" i="4"/>
  <c r="AT369" i="4"/>
  <c r="AU369" i="4"/>
  <c r="AV369" i="4"/>
  <c r="AW369" i="4"/>
  <c r="AX369" i="4"/>
  <c r="AY369" i="4"/>
  <c r="AZ369" i="4"/>
  <c r="K419" i="4"/>
  <c r="K420" i="4"/>
  <c r="L442" i="4"/>
  <c r="M442" i="4"/>
  <c r="N442" i="4"/>
  <c r="AO442" i="4"/>
  <c r="AP442" i="4"/>
  <c r="AQ442" i="4"/>
  <c r="AR442" i="4"/>
  <c r="AS442" i="4"/>
  <c r="AT442" i="4"/>
  <c r="AU442" i="4"/>
  <c r="AV442" i="4"/>
  <c r="AW442" i="4"/>
  <c r="AX442" i="4"/>
  <c r="AY442" i="4"/>
  <c r="AZ442" i="4"/>
  <c r="L7" i="21"/>
  <c r="M7" i="21"/>
  <c r="N7" i="21"/>
  <c r="AO7" i="21"/>
  <c r="AP7" i="21"/>
  <c r="AQ7" i="21"/>
  <c r="AR7" i="21"/>
  <c r="AS7" i="21"/>
  <c r="AT7" i="21"/>
  <c r="AU7" i="21"/>
  <c r="AV7" i="21"/>
  <c r="AW7" i="21"/>
  <c r="AX7" i="21"/>
  <c r="AY7" i="21"/>
  <c r="AZ7" i="21"/>
  <c r="L14" i="21"/>
  <c r="M14" i="21"/>
  <c r="N14" i="21"/>
  <c r="AO14" i="21"/>
  <c r="AP14" i="21"/>
  <c r="AQ14" i="21"/>
  <c r="AR14" i="21"/>
  <c r="AS14" i="21"/>
  <c r="AT14" i="21"/>
  <c r="AU14" i="21"/>
  <c r="AV14" i="21"/>
  <c r="AW14" i="21"/>
  <c r="AX14" i="21"/>
  <c r="AY14" i="21"/>
  <c r="AZ14" i="21"/>
  <c r="L26" i="21"/>
  <c r="M26" i="21"/>
  <c r="N26" i="21"/>
  <c r="AO26" i="21"/>
  <c r="AP26" i="21"/>
  <c r="AQ26" i="21"/>
  <c r="AR26" i="21"/>
  <c r="AS26" i="21"/>
  <c r="AT26" i="21"/>
  <c r="AU26" i="21"/>
  <c r="AV26" i="21"/>
  <c r="AW26" i="21"/>
  <c r="AX26" i="21"/>
  <c r="AY26" i="21"/>
  <c r="AZ26" i="21"/>
  <c r="L31" i="21"/>
  <c r="M31" i="21"/>
  <c r="N31" i="21"/>
  <c r="AO31" i="21"/>
  <c r="AP31" i="21"/>
  <c r="AQ31" i="21"/>
  <c r="AR31" i="21"/>
  <c r="AS31" i="21"/>
  <c r="AT31" i="21"/>
  <c r="AU31" i="21"/>
  <c r="AV31" i="21"/>
  <c r="AW31" i="21"/>
  <c r="AX31" i="21"/>
  <c r="AY31" i="21"/>
  <c r="AZ31" i="21"/>
  <c r="L33" i="21"/>
  <c r="M33" i="21"/>
  <c r="N33" i="21"/>
  <c r="AO33" i="21"/>
  <c r="AP33" i="21"/>
  <c r="AQ33" i="21"/>
  <c r="AR33" i="21"/>
  <c r="AS33" i="21"/>
  <c r="AT33" i="21"/>
  <c r="AU33" i="21"/>
  <c r="AV33" i="21"/>
  <c r="AW33" i="21"/>
  <c r="AX33" i="21"/>
  <c r="AY33" i="21"/>
  <c r="AZ33" i="21"/>
  <c r="L37" i="21"/>
  <c r="M37" i="21"/>
  <c r="N37" i="21"/>
  <c r="AO37" i="21"/>
  <c r="AP37" i="21"/>
  <c r="AQ37" i="21"/>
  <c r="AR37" i="21"/>
  <c r="AS37" i="21"/>
  <c r="AT37" i="21"/>
  <c r="AU37" i="21"/>
  <c r="AV37" i="21"/>
  <c r="AW37" i="21"/>
  <c r="AX37" i="21"/>
  <c r="AY37" i="21"/>
  <c r="AZ37" i="21"/>
  <c r="L44" i="21"/>
  <c r="M44" i="21"/>
  <c r="N44" i="21"/>
  <c r="AO44" i="21"/>
  <c r="AP44" i="21"/>
  <c r="AQ44" i="21"/>
  <c r="AR44" i="21"/>
  <c r="AS44" i="21"/>
  <c r="AT44" i="21"/>
  <c r="AU44" i="21"/>
  <c r="AV44" i="21"/>
  <c r="AW44" i="21"/>
  <c r="AX44" i="21"/>
  <c r="AY44" i="21"/>
  <c r="AZ44" i="21"/>
  <c r="L49" i="21"/>
  <c r="M49" i="21"/>
  <c r="N49" i="21"/>
  <c r="AP49" i="21"/>
  <c r="AQ49" i="21"/>
  <c r="AR49" i="21"/>
  <c r="AS49" i="21"/>
  <c r="AT49" i="21"/>
  <c r="AU49" i="21"/>
  <c r="AV49" i="21"/>
  <c r="AW49" i="21"/>
  <c r="AX49" i="21"/>
  <c r="AY49" i="21"/>
  <c r="AZ49" i="21"/>
  <c r="L50" i="21"/>
  <c r="M50" i="21"/>
  <c r="N50" i="21"/>
  <c r="AO50" i="21"/>
  <c r="AP50" i="21"/>
  <c r="AQ50" i="21"/>
  <c r="AR50" i="21"/>
  <c r="AS50" i="21"/>
  <c r="AT50" i="21"/>
  <c r="AU50" i="21"/>
  <c r="AV50" i="21"/>
  <c r="AW50" i="21"/>
  <c r="AX50" i="21"/>
  <c r="AY50" i="21"/>
  <c r="AZ50" i="21"/>
  <c r="L52" i="21"/>
  <c r="M52" i="21"/>
  <c r="N52" i="21"/>
  <c r="AO52" i="21"/>
  <c r="AP52" i="21"/>
  <c r="AQ52" i="21"/>
  <c r="AR52" i="21"/>
  <c r="AS52" i="21"/>
  <c r="AT52" i="21"/>
  <c r="AU52" i="21"/>
  <c r="AV52" i="21"/>
  <c r="AW52" i="21"/>
  <c r="AX52" i="21"/>
  <c r="AY52" i="21"/>
  <c r="AZ52" i="21"/>
  <c r="L56" i="21"/>
  <c r="M56" i="21"/>
  <c r="N56" i="21"/>
  <c r="AO56" i="21"/>
  <c r="AP56" i="21"/>
  <c r="AQ56" i="21"/>
  <c r="AR56" i="21"/>
  <c r="AS56" i="21"/>
  <c r="AT56" i="21"/>
  <c r="AU56" i="21"/>
  <c r="AV56" i="21"/>
  <c r="AW56" i="21"/>
  <c r="AX56" i="21"/>
  <c r="AY56" i="21"/>
  <c r="AZ56" i="21"/>
  <c r="L58" i="21"/>
  <c r="M58" i="21"/>
  <c r="N58" i="21"/>
  <c r="AO58" i="21"/>
  <c r="AP58" i="21"/>
  <c r="AQ58" i="21"/>
  <c r="AR58" i="21"/>
  <c r="AS58" i="21"/>
  <c r="AT58" i="21"/>
  <c r="AU58" i="21"/>
  <c r="AV58" i="21"/>
  <c r="AW58" i="21"/>
  <c r="AX58" i="21"/>
  <c r="AY58" i="21"/>
  <c r="AZ58" i="21"/>
  <c r="L59" i="21"/>
  <c r="M59" i="21"/>
  <c r="N59" i="21"/>
  <c r="AO59" i="21"/>
  <c r="AP59" i="21"/>
  <c r="AQ59" i="21"/>
  <c r="AR59" i="21"/>
  <c r="AS59" i="21"/>
  <c r="AT59" i="21"/>
  <c r="AU59" i="21"/>
  <c r="AV59" i="21"/>
  <c r="AW59" i="21"/>
  <c r="AX59" i="21"/>
  <c r="AY59" i="21"/>
  <c r="AZ59" i="21"/>
  <c r="K63" i="21"/>
  <c r="L63" i="21"/>
  <c r="M63" i="21"/>
  <c r="N63" i="21"/>
  <c r="AO63" i="21"/>
  <c r="AP63" i="21"/>
  <c r="AQ63" i="21"/>
  <c r="AR63" i="21"/>
  <c r="AS63" i="21"/>
  <c r="AT63" i="21"/>
  <c r="AU63" i="21"/>
  <c r="AV63" i="21"/>
  <c r="AW63" i="21"/>
  <c r="AX63" i="21"/>
  <c r="AY63" i="21"/>
  <c r="AZ63" i="21"/>
  <c r="L80" i="21"/>
  <c r="M80" i="21"/>
  <c r="N80" i="21"/>
  <c r="AO80" i="21"/>
  <c r="AP80" i="21"/>
  <c r="AQ80" i="21"/>
  <c r="AR80" i="21"/>
  <c r="AS80" i="21"/>
  <c r="AT80" i="21"/>
  <c r="AU80" i="21"/>
  <c r="AV80" i="21"/>
  <c r="AW80" i="21"/>
  <c r="AX80" i="21"/>
  <c r="AY80" i="21"/>
  <c r="AZ80" i="21"/>
  <c r="K81" i="21"/>
  <c r="L81" i="21"/>
  <c r="M81" i="21"/>
  <c r="N81" i="21"/>
  <c r="AO81" i="21"/>
  <c r="AP81" i="21"/>
  <c r="AQ81" i="21"/>
  <c r="AR81" i="21"/>
  <c r="AS81" i="21"/>
  <c r="AT81" i="21"/>
  <c r="AU81" i="21"/>
  <c r="AV81" i="21"/>
  <c r="AW81" i="21"/>
  <c r="AX81" i="21"/>
  <c r="AY81" i="21"/>
  <c r="AZ81" i="21"/>
  <c r="L105" i="21"/>
  <c r="M105" i="21"/>
  <c r="N105" i="21"/>
  <c r="AP105" i="21"/>
  <c r="AQ105" i="21"/>
  <c r="AR105" i="21"/>
  <c r="AS105" i="21"/>
  <c r="AT105" i="21"/>
  <c r="AU105" i="21"/>
  <c r="AV105" i="21"/>
  <c r="AW105" i="21"/>
  <c r="AX105" i="21"/>
  <c r="AY105" i="21"/>
  <c r="AZ105" i="21"/>
  <c r="L106" i="21"/>
  <c r="M106" i="21"/>
  <c r="N106" i="21"/>
  <c r="AP106" i="21"/>
  <c r="AQ106" i="21"/>
  <c r="AR106" i="21"/>
  <c r="AS106" i="21"/>
  <c r="AT106" i="21"/>
  <c r="AU106" i="21"/>
  <c r="AV106" i="21"/>
  <c r="AW106" i="21"/>
  <c r="AX106" i="21"/>
  <c r="AY106" i="21"/>
  <c r="AZ106" i="21"/>
  <c r="K109" i="21"/>
  <c r="L109" i="21"/>
  <c r="M109" i="21"/>
  <c r="N109" i="21"/>
  <c r="AO109" i="21"/>
  <c r="AP109" i="21"/>
  <c r="AQ109" i="21"/>
  <c r="AR109" i="21"/>
  <c r="AS109" i="21"/>
  <c r="AT109" i="21"/>
  <c r="AU109" i="21"/>
  <c r="AV109" i="21"/>
  <c r="AW109" i="21"/>
  <c r="AX109" i="21"/>
  <c r="AY109" i="21"/>
  <c r="AZ109" i="21"/>
  <c r="M110" i="21"/>
  <c r="N110" i="21"/>
  <c r="AP110" i="21"/>
  <c r="AQ110" i="21"/>
  <c r="AR110" i="21"/>
  <c r="AS110" i="21"/>
  <c r="AT110" i="21"/>
  <c r="AU110" i="21"/>
  <c r="AV110" i="21"/>
  <c r="AW110" i="21"/>
  <c r="AX110" i="21"/>
  <c r="AY110" i="21"/>
  <c r="AZ110" i="21"/>
  <c r="L111" i="21"/>
  <c r="M111" i="21"/>
  <c r="N111" i="21"/>
  <c r="AO111" i="21"/>
  <c r="AP111" i="21"/>
  <c r="AQ111" i="21"/>
  <c r="AR111" i="21"/>
  <c r="AS111" i="21"/>
  <c r="AT111" i="21"/>
  <c r="AU111" i="21"/>
  <c r="AV111" i="21"/>
  <c r="AW111" i="21"/>
  <c r="AX111" i="21"/>
  <c r="AY111" i="21"/>
  <c r="AZ111" i="21"/>
  <c r="L114" i="21"/>
  <c r="M114" i="21"/>
  <c r="N114" i="21"/>
  <c r="AO114" i="21"/>
  <c r="AP114" i="21"/>
  <c r="AQ114" i="21"/>
  <c r="AR114" i="21"/>
  <c r="AS114" i="21"/>
  <c r="AT114" i="21"/>
  <c r="AU114" i="21"/>
  <c r="AV114" i="21"/>
  <c r="AW114" i="21"/>
  <c r="AX114" i="21"/>
  <c r="AY114" i="21"/>
  <c r="AZ114" i="21"/>
  <c r="L115" i="21"/>
  <c r="M115" i="21"/>
  <c r="N115" i="21"/>
  <c r="AO115" i="21"/>
  <c r="AP115" i="21"/>
  <c r="AQ115" i="21"/>
  <c r="AR115" i="21"/>
  <c r="AS115" i="21"/>
  <c r="AT115" i="21"/>
  <c r="AU115" i="21"/>
  <c r="AV115" i="21"/>
  <c r="AW115" i="21"/>
  <c r="AX115" i="21"/>
  <c r="AY115" i="21"/>
  <c r="AZ115" i="21"/>
  <c r="L116" i="21"/>
  <c r="M116" i="21"/>
  <c r="N116" i="21"/>
  <c r="L305" i="21"/>
  <c r="M305" i="21"/>
  <c r="N305" i="21"/>
  <c r="AO305" i="21"/>
  <c r="AP305" i="21"/>
  <c r="AQ305" i="21"/>
  <c r="AR305" i="21"/>
  <c r="AS305" i="21"/>
  <c r="AT305" i="21"/>
  <c r="AU305" i="21"/>
  <c r="AV305" i="21"/>
  <c r="AW305" i="21"/>
  <c r="AX305" i="21"/>
  <c r="AY305" i="21"/>
  <c r="AZ305" i="21"/>
  <c r="L311" i="21"/>
  <c r="M311" i="21"/>
  <c r="N311" i="21"/>
  <c r="AO311" i="21"/>
  <c r="AP311" i="21"/>
  <c r="AQ311" i="21"/>
  <c r="AR311" i="21"/>
  <c r="AS311" i="21"/>
  <c r="AT311" i="21"/>
  <c r="AU311" i="21"/>
  <c r="AV311" i="21"/>
  <c r="AW311" i="21"/>
  <c r="AX311" i="21"/>
  <c r="AY311" i="21"/>
  <c r="AZ311" i="21"/>
  <c r="L312" i="21"/>
  <c r="M312" i="21"/>
  <c r="N312" i="21"/>
  <c r="AO312" i="21"/>
  <c r="AP312" i="21"/>
  <c r="AQ312" i="21"/>
  <c r="AR312" i="21"/>
  <c r="AS312" i="21"/>
  <c r="AT312" i="21"/>
  <c r="AU312" i="21"/>
  <c r="AV312" i="21"/>
  <c r="AW312" i="21"/>
  <c r="AX312" i="21"/>
  <c r="AY312" i="21"/>
  <c r="AZ312" i="21"/>
  <c r="K317" i="21"/>
  <c r="L317" i="21"/>
  <c r="M317" i="21"/>
  <c r="N317" i="21"/>
  <c r="AN317" i="21"/>
  <c r="AO317" i="21"/>
  <c r="AP317" i="21"/>
  <c r="AQ317" i="21"/>
  <c r="AR317" i="21"/>
  <c r="AS317" i="21"/>
  <c r="AT317" i="21"/>
  <c r="AU317" i="21"/>
  <c r="AV317" i="21"/>
  <c r="AW317" i="21"/>
  <c r="AX317" i="21"/>
  <c r="AY317" i="21"/>
  <c r="AZ317" i="21"/>
  <c r="L318" i="21"/>
  <c r="M318" i="21"/>
  <c r="N318" i="21"/>
  <c r="K36" i="20"/>
  <c r="L36" i="20"/>
  <c r="M36" i="20"/>
  <c r="N36" i="20"/>
  <c r="AK36" i="20"/>
  <c r="AL36" i="20"/>
  <c r="AM36" i="20"/>
  <c r="AN36" i="20"/>
  <c r="AO36" i="20"/>
  <c r="AP36" i="20"/>
  <c r="AQ36" i="20"/>
  <c r="AR36" i="20"/>
  <c r="AS36" i="20"/>
  <c r="AT36" i="20"/>
  <c r="AU36" i="20"/>
  <c r="AV36" i="20"/>
  <c r="AW36" i="20"/>
  <c r="AX36" i="20"/>
  <c r="AY36" i="20"/>
  <c r="AZ36" i="20"/>
  <c r="K37" i="20"/>
  <c r="L37" i="20"/>
  <c r="M37" i="20"/>
  <c r="N37" i="20"/>
  <c r="AK37" i="20"/>
  <c r="AL37" i="20"/>
  <c r="AM37" i="20"/>
  <c r="AN37" i="20"/>
  <c r="AO37" i="20"/>
  <c r="AP37" i="20"/>
  <c r="AQ37" i="20"/>
  <c r="AR37" i="20"/>
  <c r="AS37" i="20"/>
  <c r="AT37" i="20"/>
  <c r="AU37" i="20"/>
  <c r="AV37" i="20"/>
  <c r="AW37" i="20"/>
  <c r="AX37" i="20"/>
  <c r="AY37" i="20"/>
  <c r="AZ37" i="20"/>
  <c r="K39" i="20"/>
  <c r="L39" i="20"/>
  <c r="M39" i="20"/>
  <c r="N39" i="20"/>
  <c r="AK39" i="20"/>
  <c r="AL39" i="20"/>
  <c r="AM39" i="20"/>
  <c r="AN39" i="20"/>
  <c r="AO39" i="20"/>
  <c r="AP39" i="20"/>
  <c r="AQ39" i="20"/>
  <c r="AR39" i="20"/>
  <c r="AS39" i="20"/>
  <c r="AT39" i="20"/>
  <c r="AU39" i="20"/>
  <c r="AV39" i="20"/>
  <c r="AW39" i="20"/>
  <c r="AX39" i="20"/>
  <c r="AY39" i="20"/>
  <c r="AZ39" i="20"/>
  <c r="K40" i="20"/>
  <c r="L40" i="20"/>
  <c r="M40" i="20"/>
  <c r="N40" i="20"/>
  <c r="AK40" i="20"/>
  <c r="AL40" i="20"/>
  <c r="AM40" i="20"/>
  <c r="AN40" i="20"/>
  <c r="AO40" i="20"/>
  <c r="AP40" i="20"/>
  <c r="AQ40" i="20"/>
  <c r="AR40" i="20"/>
  <c r="AS40" i="20"/>
  <c r="AT40" i="20"/>
  <c r="AU40" i="20"/>
  <c r="AV40" i="20"/>
  <c r="AW40" i="20"/>
  <c r="AX40" i="20"/>
  <c r="AY40" i="20"/>
  <c r="AZ40" i="20"/>
  <c r="K41" i="20"/>
  <c r="L41" i="20"/>
  <c r="M41" i="20"/>
  <c r="N41" i="20"/>
  <c r="AK41" i="20"/>
  <c r="AL41" i="20"/>
  <c r="AM41" i="20"/>
  <c r="AN41" i="20"/>
  <c r="AO41" i="20"/>
  <c r="AP41" i="20"/>
  <c r="AQ41" i="20"/>
  <c r="AR41" i="20"/>
  <c r="AS41" i="20"/>
  <c r="AT41" i="20"/>
  <c r="AU41" i="20"/>
  <c r="AV41" i="20"/>
  <c r="AW41" i="20"/>
  <c r="AX41" i="20"/>
  <c r="AY41" i="20"/>
  <c r="AZ41" i="20"/>
  <c r="K45" i="20"/>
  <c r="L45" i="20"/>
  <c r="M45" i="20"/>
  <c r="N45" i="20"/>
  <c r="AK45" i="20"/>
  <c r="AL45" i="20"/>
  <c r="AM45" i="20"/>
  <c r="AN45" i="20"/>
  <c r="AO45" i="20"/>
  <c r="AP45" i="20"/>
  <c r="AQ45" i="20"/>
  <c r="AR45" i="20"/>
  <c r="AS45" i="20"/>
  <c r="AT45" i="20"/>
  <c r="AU45" i="20"/>
  <c r="AV45" i="20"/>
  <c r="AW45" i="20"/>
  <c r="AX45" i="20"/>
  <c r="AY45" i="20"/>
  <c r="AZ45" i="20"/>
  <c r="K46" i="20"/>
  <c r="L46" i="20"/>
  <c r="M46" i="20"/>
  <c r="N46" i="20"/>
  <c r="AK46" i="20"/>
  <c r="AL46" i="20"/>
  <c r="AM46" i="20"/>
  <c r="AN46" i="20"/>
  <c r="AO46" i="20"/>
  <c r="AP46" i="20"/>
  <c r="AQ46" i="20"/>
  <c r="AR46" i="20"/>
  <c r="AS46" i="20"/>
  <c r="AT46" i="20"/>
  <c r="AU46" i="20"/>
  <c r="AV46" i="20"/>
  <c r="AW46" i="20"/>
  <c r="AX46" i="20"/>
  <c r="AY46" i="20"/>
  <c r="AZ46" i="20"/>
  <c r="K48" i="20"/>
  <c r="L48" i="20"/>
  <c r="M48" i="20"/>
  <c r="N48" i="20"/>
  <c r="AK48" i="20"/>
  <c r="AL48" i="20"/>
  <c r="AM48" i="20"/>
  <c r="AN48" i="20"/>
  <c r="AO48" i="20"/>
  <c r="AP48" i="20"/>
  <c r="AQ48" i="20"/>
  <c r="AR48" i="20"/>
  <c r="AS48" i="20"/>
  <c r="AT48" i="20"/>
  <c r="AU48" i="20"/>
  <c r="AV48" i="20"/>
  <c r="AW48" i="20"/>
  <c r="AX48" i="20"/>
  <c r="AY48" i="20"/>
  <c r="AZ48" i="20"/>
  <c r="K49" i="20"/>
  <c r="L49" i="20"/>
  <c r="M49" i="20"/>
  <c r="N49" i="20"/>
  <c r="AK49" i="20"/>
  <c r="AL49" i="20"/>
  <c r="AM49" i="20"/>
  <c r="AN49" i="20"/>
  <c r="AO49" i="20"/>
  <c r="AP49" i="20"/>
  <c r="AQ49" i="20"/>
  <c r="AR49" i="20"/>
  <c r="AS49" i="20"/>
  <c r="AT49" i="20"/>
  <c r="AU49" i="20"/>
  <c r="AV49" i="20"/>
  <c r="AW49" i="20"/>
  <c r="AX49" i="20"/>
  <c r="AY49" i="20"/>
  <c r="AZ49" i="20"/>
  <c r="K50" i="20"/>
  <c r="L50" i="20"/>
  <c r="M50" i="20"/>
  <c r="N50" i="20"/>
  <c r="AK50" i="20"/>
  <c r="AL50" i="20"/>
  <c r="AM50" i="20"/>
  <c r="AN50" i="20"/>
  <c r="AO50" i="20"/>
  <c r="AP50" i="20"/>
  <c r="AQ50" i="20"/>
  <c r="AR50" i="20"/>
  <c r="AS50" i="20"/>
  <c r="AT50" i="20"/>
  <c r="AU50" i="20"/>
  <c r="AV50" i="20"/>
  <c r="AW50" i="20"/>
  <c r="AX50" i="20"/>
  <c r="AY50" i="20"/>
  <c r="AZ50" i="20"/>
  <c r="K54" i="20"/>
  <c r="L54" i="20"/>
  <c r="M54" i="20"/>
  <c r="N54" i="20"/>
  <c r="AM54" i="20"/>
  <c r="AN54" i="20"/>
  <c r="AO54" i="20"/>
  <c r="AP54" i="20"/>
  <c r="AQ54" i="20"/>
  <c r="AR54" i="20"/>
  <c r="AS54" i="20"/>
  <c r="AT54" i="20"/>
  <c r="AU54" i="20"/>
  <c r="AV54" i="20"/>
  <c r="AW54" i="20"/>
  <c r="AX54" i="20"/>
  <c r="AY54" i="20"/>
  <c r="AZ54" i="20"/>
  <c r="K55" i="20"/>
  <c r="L55" i="20"/>
  <c r="M55" i="20"/>
  <c r="N55" i="20"/>
  <c r="AM55" i="20"/>
  <c r="AN55" i="20"/>
  <c r="AO55" i="20"/>
  <c r="AP55" i="20"/>
  <c r="AQ55" i="20"/>
  <c r="AR55" i="20"/>
  <c r="AS55" i="20"/>
  <c r="AT55" i="20"/>
  <c r="AU55" i="20"/>
  <c r="AV55" i="20"/>
  <c r="AW55" i="20"/>
  <c r="AX55" i="20"/>
  <c r="AY55" i="20"/>
  <c r="AZ55" i="20"/>
  <c r="K57" i="20"/>
  <c r="L57" i="20"/>
  <c r="M57" i="20"/>
  <c r="N57" i="20"/>
  <c r="AM57" i="20"/>
  <c r="AN57" i="20"/>
  <c r="AO57" i="20"/>
  <c r="AP57" i="20"/>
  <c r="AQ57" i="20"/>
  <c r="AR57" i="20"/>
  <c r="AS57" i="20"/>
  <c r="AT57" i="20"/>
  <c r="AU57" i="20"/>
  <c r="AV57" i="20"/>
  <c r="AW57" i="20"/>
  <c r="AX57" i="20"/>
  <c r="AY57" i="20"/>
  <c r="AZ57" i="20"/>
  <c r="K58" i="20"/>
  <c r="L58" i="20"/>
  <c r="M58" i="20"/>
  <c r="N58" i="20"/>
  <c r="AM58" i="20"/>
  <c r="AN58" i="20"/>
  <c r="AO58" i="20"/>
  <c r="AP58" i="20"/>
  <c r="AQ58" i="20"/>
  <c r="AR58" i="20"/>
  <c r="AS58" i="20"/>
  <c r="AT58" i="20"/>
  <c r="AU58" i="20"/>
  <c r="AV58" i="20"/>
  <c r="AW58" i="20"/>
  <c r="AX58" i="20"/>
  <c r="AY58" i="20"/>
  <c r="AZ58" i="20"/>
  <c r="K59" i="20"/>
  <c r="L59" i="20"/>
  <c r="M59" i="20"/>
  <c r="N59" i="20"/>
  <c r="AM59" i="20"/>
  <c r="AN59" i="20"/>
  <c r="AO59" i="20"/>
  <c r="AP59" i="20"/>
  <c r="AQ59" i="20"/>
  <c r="AR59" i="20"/>
  <c r="AS59" i="20"/>
  <c r="AT59" i="20"/>
  <c r="AU59" i="20"/>
  <c r="AV59" i="20"/>
  <c r="AW59" i="20"/>
  <c r="AX59" i="20"/>
  <c r="AY59" i="20"/>
  <c r="AZ59" i="20"/>
  <c r="AK63" i="20"/>
  <c r="AL63" i="20"/>
  <c r="AM63" i="20"/>
  <c r="AN63" i="20"/>
  <c r="AO63" i="20"/>
  <c r="AP63" i="20"/>
  <c r="AQ63" i="20"/>
  <c r="AR63" i="20"/>
  <c r="AS63" i="20"/>
  <c r="AT63" i="20"/>
  <c r="AU63" i="20"/>
  <c r="AV63" i="20"/>
  <c r="AW63" i="20"/>
  <c r="AX63" i="20"/>
  <c r="AY63" i="20"/>
  <c r="AZ63" i="20"/>
  <c r="AK64" i="20"/>
  <c r="AL64" i="20"/>
  <c r="AM64" i="20"/>
  <c r="AN64" i="20"/>
  <c r="AO64" i="20"/>
  <c r="AP64" i="20"/>
  <c r="AQ64" i="20"/>
  <c r="AR64" i="20"/>
  <c r="AS64" i="20"/>
  <c r="AT64" i="20"/>
  <c r="AU64" i="20"/>
  <c r="AV64" i="20"/>
  <c r="AW64" i="20"/>
  <c r="AX64" i="20"/>
  <c r="AY64" i="20"/>
  <c r="AZ64" i="20"/>
  <c r="AK66" i="20"/>
  <c r="AL66" i="20"/>
  <c r="AM66" i="20"/>
  <c r="AN66" i="20"/>
  <c r="AO66" i="20"/>
  <c r="AP66" i="20"/>
  <c r="AQ66" i="20"/>
  <c r="AR66" i="20"/>
  <c r="AS66" i="20"/>
  <c r="AT66" i="20"/>
  <c r="AU66" i="20"/>
  <c r="AV66" i="20"/>
  <c r="AW66" i="20"/>
  <c r="AX66" i="20"/>
  <c r="AY66" i="20"/>
  <c r="AZ66" i="20"/>
  <c r="AK67" i="20"/>
  <c r="AL67" i="20"/>
  <c r="AM67" i="20"/>
  <c r="AN67" i="20"/>
  <c r="AO67" i="20"/>
  <c r="AP67" i="20"/>
  <c r="AQ67" i="20"/>
  <c r="AR67" i="20"/>
  <c r="AS67" i="20"/>
  <c r="AT67" i="20"/>
  <c r="AU67" i="20"/>
  <c r="AV67" i="20"/>
  <c r="AW67" i="20"/>
  <c r="AX67" i="20"/>
  <c r="AY67" i="20"/>
  <c r="AZ67" i="20"/>
  <c r="AK68" i="20"/>
  <c r="AL68" i="20"/>
  <c r="AM68" i="20"/>
  <c r="AN68" i="20"/>
  <c r="AO68" i="20"/>
  <c r="AP68" i="20"/>
  <c r="AQ68" i="20"/>
  <c r="AR68" i="20"/>
  <c r="AS68" i="20"/>
  <c r="AT68" i="20"/>
  <c r="AU68" i="20"/>
  <c r="AV68" i="20"/>
  <c r="AW68" i="20"/>
  <c r="AX68" i="20"/>
  <c r="AY68" i="20"/>
  <c r="AZ68" i="20"/>
  <c r="K105" i="20"/>
  <c r="AK105" i="20"/>
  <c r="AL105" i="20"/>
  <c r="AM105" i="20"/>
  <c r="AN105" i="20"/>
  <c r="K106" i="20"/>
  <c r="L106" i="20"/>
  <c r="M106" i="20"/>
  <c r="N106" i="20"/>
  <c r="AK106" i="20"/>
  <c r="AL106" i="20"/>
  <c r="AM106" i="20"/>
  <c r="AN106" i="20"/>
  <c r="AO106" i="20"/>
  <c r="AP106" i="20"/>
  <c r="AQ106" i="20"/>
  <c r="AR106" i="20"/>
  <c r="AS106" i="20"/>
  <c r="AT106" i="20"/>
  <c r="AU106" i="20"/>
  <c r="AV106" i="20"/>
  <c r="AW106" i="20"/>
  <c r="AX106" i="20"/>
  <c r="AY106" i="20"/>
  <c r="AZ106" i="20"/>
  <c r="K109" i="20"/>
  <c r="L109" i="20"/>
  <c r="M109" i="20"/>
  <c r="N109" i="20"/>
  <c r="AK109" i="20"/>
  <c r="AL109" i="20"/>
  <c r="AM109" i="20"/>
  <c r="AN109" i="20"/>
  <c r="AO109" i="20"/>
  <c r="AP109" i="20"/>
  <c r="AQ109" i="20"/>
  <c r="AR109" i="20"/>
  <c r="AS109" i="20"/>
  <c r="AT109" i="20"/>
  <c r="AU109" i="20"/>
  <c r="AV109" i="20"/>
  <c r="AW109" i="20"/>
  <c r="AX109" i="20"/>
  <c r="AY109" i="20"/>
  <c r="AZ109" i="20"/>
  <c r="K111" i="20"/>
  <c r="L111" i="20"/>
  <c r="M111" i="20"/>
  <c r="N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AY111" i="20"/>
  <c r="AZ111" i="20"/>
  <c r="K112" i="20"/>
  <c r="L112" i="20"/>
  <c r="M112" i="20"/>
  <c r="N112" i="20"/>
  <c r="AK112" i="20"/>
  <c r="AL112" i="20"/>
  <c r="AM112" i="20"/>
  <c r="AN112" i="20"/>
  <c r="AO112" i="20"/>
  <c r="AP112" i="20"/>
  <c r="AQ112" i="20"/>
  <c r="AR112" i="20"/>
  <c r="AS112" i="20"/>
  <c r="AT112" i="20"/>
  <c r="AU112" i="20"/>
  <c r="AV112" i="20"/>
  <c r="AW112" i="20"/>
  <c r="AX112" i="20"/>
  <c r="AY112" i="20"/>
  <c r="AZ112" i="20"/>
  <c r="K113" i="20"/>
  <c r="L113" i="20"/>
  <c r="M113" i="20"/>
  <c r="N113" i="20"/>
  <c r="AK113" i="20"/>
  <c r="AL113" i="20"/>
  <c r="AM113" i="20"/>
  <c r="AN113" i="20"/>
  <c r="AO113" i="20"/>
  <c r="AP113" i="20"/>
  <c r="AQ113" i="20"/>
  <c r="AR113" i="20"/>
  <c r="AS113" i="20"/>
  <c r="AT113" i="20"/>
  <c r="AU113" i="20"/>
  <c r="AV113" i="20"/>
  <c r="AW113" i="20"/>
  <c r="AX113" i="20"/>
  <c r="AY113" i="20"/>
  <c r="AZ113" i="20"/>
  <c r="L115" i="20"/>
  <c r="M115" i="20"/>
  <c r="N115" i="20"/>
  <c r="AO115" i="20"/>
  <c r="AP115" i="20"/>
  <c r="AQ115" i="20"/>
  <c r="AR115" i="20"/>
  <c r="AS115" i="20"/>
  <c r="AT115" i="20"/>
  <c r="AU115" i="20"/>
  <c r="AV115" i="20"/>
  <c r="AW115" i="20"/>
  <c r="AX115" i="20"/>
  <c r="AY115" i="20"/>
  <c r="AZ115" i="20"/>
  <c r="L119" i="20"/>
  <c r="M119" i="20"/>
  <c r="N119" i="20"/>
  <c r="AO119" i="20"/>
  <c r="AP119" i="20"/>
  <c r="AQ119" i="20"/>
  <c r="AR119" i="20"/>
  <c r="AS119" i="20"/>
  <c r="AT119" i="20"/>
  <c r="AU119" i="20"/>
  <c r="AV119" i="20"/>
  <c r="AW119" i="20"/>
  <c r="AX119" i="20"/>
  <c r="AY119" i="20"/>
  <c r="AZ119" i="20"/>
  <c r="K121" i="20"/>
  <c r="L121" i="20"/>
  <c r="M121" i="20"/>
  <c r="N121" i="20"/>
  <c r="AK121" i="20"/>
  <c r="AL121" i="20"/>
  <c r="AM121" i="20"/>
  <c r="AN121" i="20"/>
  <c r="AO121" i="20"/>
  <c r="AP121" i="20"/>
  <c r="AQ121" i="20"/>
  <c r="AR121" i="20"/>
  <c r="AS121" i="20"/>
  <c r="AT121" i="20"/>
  <c r="AU121" i="20"/>
  <c r="AV121" i="20"/>
  <c r="AW121" i="20"/>
  <c r="AX121" i="20"/>
  <c r="AY121" i="20"/>
  <c r="AZ121" i="20"/>
  <c r="L122" i="20"/>
  <c r="M122" i="20"/>
  <c r="N122" i="20"/>
  <c r="AO122" i="20"/>
  <c r="AP122" i="20"/>
  <c r="AQ122" i="20"/>
  <c r="AR122" i="20"/>
  <c r="AS122" i="20"/>
  <c r="AT122" i="20"/>
  <c r="AU122" i="20"/>
  <c r="AV122" i="20"/>
  <c r="AW122" i="20"/>
  <c r="AX122" i="20"/>
  <c r="AY122" i="20"/>
  <c r="AZ122" i="20"/>
  <c r="K123" i="20"/>
  <c r="L123" i="20"/>
  <c r="M123" i="20"/>
  <c r="N123" i="20"/>
  <c r="AK123" i="20"/>
  <c r="AL123" i="20"/>
  <c r="AM123" i="20"/>
  <c r="AN123" i="20"/>
  <c r="AO123" i="20"/>
  <c r="AP123" i="20"/>
  <c r="AQ123" i="20"/>
  <c r="AR123" i="20"/>
  <c r="AS123" i="20"/>
  <c r="AT123" i="20"/>
  <c r="AU123" i="20"/>
  <c r="AV123" i="20"/>
  <c r="AW123" i="20"/>
  <c r="AX123" i="20"/>
  <c r="AY123" i="20"/>
  <c r="AZ123" i="20"/>
  <c r="K124" i="20"/>
  <c r="L124" i="20"/>
  <c r="M124" i="20"/>
  <c r="N124" i="20"/>
  <c r="AK124" i="20"/>
  <c r="AL124" i="20"/>
  <c r="AM124" i="20"/>
  <c r="AN124" i="20"/>
  <c r="AO124" i="20"/>
  <c r="AP124" i="20"/>
  <c r="AQ124" i="20"/>
  <c r="AR124" i="20"/>
  <c r="AS124" i="20"/>
  <c r="AT124" i="20"/>
  <c r="AU124" i="20"/>
  <c r="AV124" i="20"/>
  <c r="AW124" i="20"/>
  <c r="AX124" i="20"/>
  <c r="AY124" i="20"/>
  <c r="AZ124" i="20"/>
  <c r="K125" i="20"/>
  <c r="L125" i="20"/>
  <c r="M125" i="20"/>
  <c r="N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AY125" i="20"/>
  <c r="AZ125" i="20"/>
  <c r="K126" i="20"/>
  <c r="L126" i="20"/>
  <c r="M126" i="20"/>
  <c r="N126" i="20"/>
  <c r="AK126" i="20"/>
  <c r="AL126" i="20"/>
  <c r="AM126" i="20"/>
  <c r="AN126" i="20"/>
  <c r="AO126" i="20"/>
  <c r="AP126" i="20"/>
  <c r="AQ126" i="20"/>
  <c r="AR126" i="20"/>
  <c r="AS126" i="20"/>
  <c r="AT126" i="20"/>
  <c r="AU126" i="20"/>
  <c r="AV126" i="20"/>
  <c r="AW126" i="20"/>
  <c r="AX126" i="20"/>
  <c r="AY126" i="20"/>
  <c r="AZ126" i="20"/>
  <c r="K128" i="20"/>
  <c r="L128" i="20"/>
  <c r="M128" i="20"/>
  <c r="N128" i="20"/>
  <c r="AK128" i="20"/>
  <c r="AL128" i="20"/>
  <c r="AM128" i="20"/>
  <c r="AN128" i="20"/>
  <c r="AO128" i="20"/>
  <c r="AP128" i="20"/>
  <c r="AQ128" i="20"/>
  <c r="AR128" i="20"/>
  <c r="AS128" i="20"/>
  <c r="AT128" i="20"/>
  <c r="AU128" i="20"/>
  <c r="AV128" i="20"/>
  <c r="AW128" i="20"/>
  <c r="AX128" i="20"/>
  <c r="AY128" i="20"/>
  <c r="AZ128" i="20"/>
  <c r="K129" i="20"/>
  <c r="L129" i="20"/>
  <c r="M129" i="20"/>
  <c r="N129" i="20"/>
  <c r="AK129" i="20"/>
  <c r="AL129" i="20"/>
  <c r="AM129" i="20"/>
  <c r="AN129" i="20"/>
  <c r="AO129" i="20"/>
  <c r="AP129" i="20"/>
  <c r="AQ129" i="20"/>
  <c r="AR129" i="20"/>
  <c r="AS129" i="20"/>
  <c r="AT129" i="20"/>
  <c r="AU129" i="20"/>
  <c r="AV129" i="20"/>
  <c r="AW129" i="20"/>
  <c r="AX129" i="20"/>
  <c r="AY129" i="20"/>
  <c r="AZ129" i="20"/>
  <c r="K130" i="20"/>
  <c r="L130" i="20"/>
  <c r="M130" i="20"/>
  <c r="N130" i="20"/>
  <c r="AK130" i="20"/>
  <c r="AL130" i="20"/>
  <c r="AM130" i="20"/>
  <c r="AN130" i="20"/>
  <c r="AO130" i="20"/>
  <c r="AP130" i="20"/>
  <c r="AQ130" i="20"/>
  <c r="AR130" i="20"/>
  <c r="AS130" i="20"/>
  <c r="AT130" i="20"/>
  <c r="AU130" i="20"/>
  <c r="AV130" i="20"/>
  <c r="AW130" i="20"/>
  <c r="AX130" i="20"/>
  <c r="AY130" i="20"/>
  <c r="AZ130" i="20"/>
  <c r="K133" i="20"/>
  <c r="L133" i="20"/>
  <c r="M133" i="20"/>
  <c r="N133" i="20"/>
  <c r="AK133" i="20"/>
  <c r="AL133" i="20"/>
  <c r="AM133" i="20"/>
  <c r="AN133" i="20"/>
  <c r="AO133" i="20"/>
  <c r="AP133" i="20"/>
  <c r="AQ133" i="20"/>
  <c r="AR133" i="20"/>
  <c r="AS133" i="20"/>
  <c r="AT133" i="20"/>
  <c r="AU133" i="20"/>
  <c r="AV133" i="20"/>
  <c r="AW133" i="20"/>
  <c r="AX133" i="20"/>
  <c r="AY133" i="20"/>
  <c r="AZ133" i="20"/>
  <c r="K134" i="20"/>
  <c r="L134" i="20"/>
  <c r="M134" i="20"/>
  <c r="N134" i="20"/>
  <c r="AK134" i="20"/>
  <c r="AL134" i="20"/>
  <c r="AM134" i="20"/>
  <c r="AN134" i="20"/>
  <c r="AO134" i="20"/>
  <c r="AP134" i="20"/>
  <c r="AQ134" i="20"/>
  <c r="AR134" i="20"/>
  <c r="AS134" i="20"/>
  <c r="AT134" i="20"/>
  <c r="AU134" i="20"/>
  <c r="AV134" i="20"/>
  <c r="AW134" i="20"/>
  <c r="AX134" i="20"/>
  <c r="AY134" i="20"/>
  <c r="AZ134" i="20"/>
  <c r="K135" i="20"/>
  <c r="L135" i="20"/>
  <c r="M135" i="20"/>
  <c r="N135" i="20"/>
  <c r="AK135" i="20"/>
  <c r="AL135" i="20"/>
  <c r="AM135" i="20"/>
  <c r="AN135" i="20"/>
  <c r="AO135" i="20"/>
  <c r="AP135" i="20"/>
  <c r="AQ135" i="20"/>
  <c r="AR135" i="20"/>
  <c r="AS135" i="20"/>
  <c r="AT135" i="20"/>
  <c r="AU135" i="20"/>
  <c r="AV135" i="20"/>
  <c r="AW135" i="20"/>
  <c r="AX135" i="20"/>
  <c r="AY135" i="20"/>
  <c r="AZ135" i="20"/>
  <c r="K141" i="20"/>
  <c r="L141" i="20"/>
  <c r="M141" i="20"/>
  <c r="N141" i="20"/>
  <c r="AK141" i="20"/>
  <c r="AL141" i="20"/>
  <c r="AM141" i="20"/>
  <c r="AN141" i="20"/>
  <c r="AO141" i="20"/>
  <c r="AP141" i="20"/>
  <c r="AQ141" i="20"/>
  <c r="AR141" i="20"/>
  <c r="AS141" i="20"/>
  <c r="AT141" i="20"/>
  <c r="AU141" i="20"/>
  <c r="AV141" i="20"/>
  <c r="AW141" i="20"/>
  <c r="AX141" i="20"/>
  <c r="AY141" i="20"/>
  <c r="AZ141" i="20"/>
  <c r="K142" i="20"/>
  <c r="L142" i="20"/>
  <c r="M142" i="20"/>
  <c r="N142" i="20"/>
  <c r="AK142" i="20"/>
  <c r="AL142" i="20"/>
  <c r="AM142" i="20"/>
  <c r="AN142" i="20"/>
  <c r="AO142" i="20"/>
  <c r="AP142" i="20"/>
  <c r="AQ142" i="20"/>
  <c r="AR142" i="20"/>
  <c r="AS142" i="20"/>
  <c r="AT142" i="20"/>
  <c r="AU142" i="20"/>
  <c r="AV142" i="20"/>
  <c r="AW142" i="20"/>
  <c r="AX142" i="20"/>
  <c r="AY142" i="20"/>
  <c r="AZ142" i="20"/>
  <c r="K143" i="20"/>
  <c r="L143" i="20"/>
  <c r="M143" i="20"/>
  <c r="N143" i="20"/>
  <c r="AK143" i="20"/>
  <c r="AL143" i="20"/>
  <c r="AM143" i="20"/>
  <c r="AN143" i="20"/>
  <c r="AO143" i="20"/>
  <c r="AP143" i="20"/>
  <c r="AQ143" i="20"/>
  <c r="AR143" i="20"/>
  <c r="AS143" i="20"/>
  <c r="AT143" i="20"/>
  <c r="AU143" i="20"/>
  <c r="AV143" i="20"/>
  <c r="AW143" i="20"/>
  <c r="AX143" i="20"/>
  <c r="AY143" i="20"/>
  <c r="AZ143" i="20"/>
  <c r="K144" i="20"/>
  <c r="L144" i="20"/>
  <c r="M144" i="20"/>
  <c r="N144" i="20"/>
  <c r="AK144" i="20"/>
  <c r="AL144" i="20"/>
  <c r="AM144" i="20"/>
  <c r="AN144" i="20"/>
  <c r="AO144" i="20"/>
  <c r="AP144" i="20"/>
  <c r="AQ144" i="20"/>
  <c r="AR144" i="20"/>
  <c r="AS144" i="20"/>
  <c r="AT144" i="20"/>
  <c r="AU144" i="20"/>
  <c r="AV144" i="20"/>
  <c r="AW144" i="20"/>
  <c r="AX144" i="20"/>
  <c r="AY144" i="20"/>
  <c r="AZ144" i="20"/>
  <c r="K145" i="20"/>
  <c r="L145" i="20"/>
  <c r="M145" i="20"/>
  <c r="N145" i="20"/>
  <c r="AK145" i="20"/>
  <c r="AL145" i="20"/>
  <c r="AM145" i="20"/>
  <c r="AN145" i="20"/>
  <c r="AO145" i="20"/>
  <c r="AP145" i="20"/>
  <c r="AQ145" i="20"/>
  <c r="AR145" i="20"/>
  <c r="AS145" i="20"/>
  <c r="AT145" i="20"/>
  <c r="AU145" i="20"/>
  <c r="AV145" i="20"/>
  <c r="AW145" i="20"/>
  <c r="AX145" i="20"/>
  <c r="AY145" i="20"/>
  <c r="AZ145" i="20"/>
  <c r="K146" i="20"/>
  <c r="L146" i="20"/>
  <c r="M146" i="20"/>
  <c r="N146" i="20"/>
  <c r="AK146" i="20"/>
  <c r="AL146" i="20"/>
  <c r="AM146" i="20"/>
  <c r="AN146" i="20"/>
  <c r="AO146" i="20"/>
  <c r="AP146" i="20"/>
  <c r="AQ146" i="20"/>
  <c r="AR146" i="20"/>
  <c r="AS146" i="20"/>
  <c r="AT146" i="20"/>
  <c r="AU146" i="20"/>
  <c r="AV146" i="20"/>
  <c r="AW146" i="20"/>
  <c r="AX146" i="20"/>
  <c r="AY146" i="20"/>
  <c r="AZ146" i="20"/>
  <c r="K147" i="20"/>
  <c r="L147" i="20"/>
  <c r="M147" i="20"/>
  <c r="N147" i="20"/>
  <c r="O147" i="20"/>
  <c r="AK147" i="20"/>
  <c r="AL147" i="20"/>
  <c r="AM147" i="20"/>
  <c r="AN147" i="20"/>
  <c r="AO147" i="20"/>
  <c r="AP147" i="20"/>
  <c r="AQ147" i="20"/>
  <c r="AR147" i="20"/>
  <c r="AS147" i="20"/>
  <c r="AT147" i="20"/>
  <c r="AU147" i="20"/>
  <c r="AV147" i="20"/>
  <c r="AW147" i="20"/>
  <c r="AX147" i="20"/>
  <c r="AY147" i="20"/>
  <c r="AZ147" i="20"/>
  <c r="K148" i="20"/>
  <c r="L148" i="20"/>
  <c r="M148" i="20"/>
  <c r="N148" i="20"/>
  <c r="AK148" i="20"/>
  <c r="AL148" i="20"/>
  <c r="AM148" i="20"/>
  <c r="AN148" i="20"/>
  <c r="AO148" i="20"/>
  <c r="AP148" i="20"/>
  <c r="AQ148" i="20"/>
  <c r="AR148" i="20"/>
  <c r="AS148" i="20"/>
  <c r="AT148" i="20"/>
  <c r="AU148" i="20"/>
  <c r="AV148" i="20"/>
  <c r="AW148" i="20"/>
  <c r="AX148" i="20"/>
  <c r="AY148" i="20"/>
  <c r="AZ148" i="20"/>
  <c r="K149" i="20"/>
  <c r="L149" i="20"/>
  <c r="M149" i="20"/>
  <c r="N149" i="20"/>
  <c r="AK149" i="20"/>
  <c r="AL149" i="20"/>
  <c r="AM149" i="20"/>
  <c r="AN149" i="20"/>
  <c r="AO149" i="20"/>
  <c r="AP149" i="20"/>
  <c r="AQ149" i="20"/>
  <c r="AR149" i="20"/>
  <c r="AS149" i="20"/>
  <c r="AT149" i="20"/>
  <c r="AU149" i="20"/>
  <c r="AV149" i="20"/>
  <c r="AW149" i="20"/>
  <c r="AX149" i="20"/>
  <c r="AY149" i="20"/>
  <c r="AZ149" i="20"/>
  <c r="K150" i="20"/>
  <c r="L150" i="20"/>
  <c r="M150" i="20"/>
  <c r="N150" i="20"/>
  <c r="AK150" i="20"/>
  <c r="AL150" i="20"/>
  <c r="AM150" i="20"/>
  <c r="AN150" i="20"/>
  <c r="AO150" i="20"/>
  <c r="AP150" i="20"/>
  <c r="AQ150" i="20"/>
  <c r="AR150" i="20"/>
  <c r="AS150" i="20"/>
  <c r="AT150" i="20"/>
  <c r="AU150" i="20"/>
  <c r="AV150" i="20"/>
  <c r="AW150" i="20"/>
  <c r="AX150" i="20"/>
  <c r="AY150" i="20"/>
  <c r="AZ150" i="20"/>
  <c r="K151" i="20"/>
  <c r="L151" i="20"/>
  <c r="M151" i="20"/>
  <c r="N151" i="20"/>
  <c r="AK151" i="20"/>
  <c r="AL151" i="20"/>
  <c r="AM151" i="20"/>
  <c r="AN151" i="20"/>
  <c r="AO151" i="20"/>
  <c r="AP151" i="20"/>
  <c r="AQ151" i="20"/>
  <c r="AR151" i="20"/>
  <c r="AS151" i="20"/>
  <c r="AT151" i="20"/>
  <c r="AU151" i="20"/>
  <c r="AV151" i="20"/>
  <c r="AW151" i="20"/>
  <c r="AX151" i="20"/>
  <c r="AY151" i="20"/>
  <c r="AZ151" i="20"/>
  <c r="K152" i="20"/>
  <c r="L152" i="20"/>
  <c r="M152" i="20"/>
  <c r="N152" i="20"/>
  <c r="AK152" i="20"/>
  <c r="AL152" i="20"/>
  <c r="AM152" i="20"/>
  <c r="AN152" i="20"/>
  <c r="AO152" i="20"/>
  <c r="AP152" i="20"/>
  <c r="AQ152" i="20"/>
  <c r="AR152" i="20"/>
  <c r="AS152" i="20"/>
  <c r="AT152" i="20"/>
  <c r="AU152" i="20"/>
  <c r="AV152" i="20"/>
  <c r="AW152" i="20"/>
  <c r="AX152" i="20"/>
  <c r="AY152" i="20"/>
  <c r="AZ152" i="20"/>
  <c r="K155" i="20"/>
  <c r="L155" i="20"/>
  <c r="M155" i="20"/>
  <c r="N155" i="20"/>
  <c r="AN155" i="20"/>
  <c r="AO155" i="20"/>
  <c r="AP155" i="20"/>
  <c r="AQ155" i="20"/>
  <c r="AR155" i="20"/>
  <c r="AS155" i="20"/>
  <c r="AT155" i="20"/>
  <c r="AU155" i="20"/>
  <c r="AV155" i="20"/>
  <c r="AW155" i="20"/>
  <c r="AX155" i="20"/>
  <c r="AY155" i="20"/>
  <c r="AZ155" i="20"/>
  <c r="K156" i="20"/>
  <c r="L156" i="20"/>
  <c r="M156" i="20"/>
  <c r="N156" i="20"/>
  <c r="AN156" i="20"/>
  <c r="AO156" i="20"/>
  <c r="AP156" i="20"/>
  <c r="AQ156" i="20"/>
  <c r="AR156" i="20"/>
  <c r="AS156" i="20"/>
  <c r="AT156" i="20"/>
  <c r="AU156" i="20"/>
  <c r="AV156" i="20"/>
  <c r="AW156" i="20"/>
  <c r="AX156" i="20"/>
  <c r="AY156" i="20"/>
  <c r="AZ156" i="20"/>
  <c r="K157" i="20"/>
  <c r="L157" i="20"/>
  <c r="M157" i="20"/>
  <c r="N157" i="20"/>
  <c r="AN157" i="20"/>
  <c r="AO157" i="20"/>
  <c r="AP157" i="20"/>
  <c r="AQ157" i="20"/>
  <c r="AR157" i="20"/>
  <c r="AS157" i="20"/>
  <c r="AT157" i="20"/>
  <c r="AU157" i="20"/>
  <c r="AV157" i="20"/>
  <c r="AW157" i="20"/>
  <c r="AX157" i="20"/>
  <c r="AY157" i="20"/>
  <c r="AZ157" i="20"/>
  <c r="K158" i="20"/>
  <c r="L158" i="20"/>
  <c r="M158" i="20"/>
  <c r="N158" i="20"/>
  <c r="AN158" i="20"/>
  <c r="AO158" i="20"/>
  <c r="AP158" i="20"/>
  <c r="AQ158" i="20"/>
  <c r="AR158" i="20"/>
  <c r="AS158" i="20"/>
  <c r="AT158" i="20"/>
  <c r="AU158" i="20"/>
  <c r="AV158" i="20"/>
  <c r="AW158" i="20"/>
  <c r="AX158" i="20"/>
  <c r="AY158" i="20"/>
  <c r="AZ158" i="20"/>
  <c r="K159" i="20"/>
  <c r="L159" i="20"/>
  <c r="M159" i="20"/>
  <c r="N159" i="20"/>
  <c r="AN159" i="20"/>
  <c r="AO159" i="20"/>
  <c r="AP159" i="20"/>
  <c r="AQ159" i="20"/>
  <c r="AR159" i="20"/>
  <c r="AS159" i="20"/>
  <c r="AT159" i="20"/>
  <c r="AU159" i="20"/>
  <c r="AV159" i="20"/>
  <c r="AW159" i="20"/>
  <c r="AX159" i="20"/>
  <c r="AY159" i="20"/>
  <c r="AZ159" i="20"/>
  <c r="K160" i="20"/>
  <c r="L160" i="20"/>
  <c r="M160" i="20"/>
  <c r="N160" i="20"/>
  <c r="AN160" i="20"/>
  <c r="AO160" i="20"/>
  <c r="AP160" i="20"/>
  <c r="AQ160" i="20"/>
  <c r="AR160" i="20"/>
  <c r="AS160" i="20"/>
  <c r="AT160" i="20"/>
  <c r="AU160" i="20"/>
  <c r="AV160" i="20"/>
  <c r="AW160" i="20"/>
  <c r="AX160" i="20"/>
  <c r="AY160" i="20"/>
  <c r="AZ160" i="20"/>
  <c r="L162" i="20"/>
  <c r="M162" i="20"/>
  <c r="N162" i="20"/>
  <c r="L163" i="20"/>
  <c r="M163" i="20"/>
  <c r="N163" i="20"/>
  <c r="L165" i="20"/>
  <c r="M165" i="20"/>
  <c r="N165" i="20"/>
  <c r="L166" i="20"/>
  <c r="M166" i="20"/>
  <c r="N166" i="20"/>
  <c r="L167" i="20"/>
  <c r="M167" i="20"/>
  <c r="N167" i="20"/>
  <c r="L169" i="20"/>
  <c r="M169" i="20"/>
  <c r="N169" i="20"/>
  <c r="K177" i="20"/>
  <c r="L177" i="20"/>
  <c r="M177" i="20"/>
  <c r="N177" i="20"/>
  <c r="AK177" i="20"/>
  <c r="AL177" i="20"/>
  <c r="AM177" i="20"/>
  <c r="AN177" i="20"/>
  <c r="AO177" i="20"/>
  <c r="AP177" i="20"/>
  <c r="AQ177" i="20"/>
  <c r="AR177" i="20"/>
  <c r="AS177" i="20"/>
  <c r="AT177" i="20"/>
  <c r="AU177" i="20"/>
  <c r="AV177" i="20"/>
  <c r="AW177" i="20"/>
  <c r="AX177" i="20"/>
  <c r="AY177" i="20"/>
  <c r="AZ177" i="20"/>
  <c r="L186" i="20"/>
  <c r="M186" i="20"/>
  <c r="N186" i="20"/>
  <c r="AO186" i="20"/>
  <c r="AP186" i="20"/>
  <c r="AQ186" i="20"/>
  <c r="AR186" i="20"/>
  <c r="AS186" i="20"/>
  <c r="AT186" i="20"/>
  <c r="AU186" i="20"/>
  <c r="AV186" i="20"/>
  <c r="AW186" i="20"/>
  <c r="AX186" i="20"/>
  <c r="AY186" i="20"/>
  <c r="AZ186" i="20"/>
  <c r="L190" i="20"/>
  <c r="M190" i="20"/>
  <c r="N190" i="20"/>
  <c r="AO190" i="20"/>
  <c r="AP190" i="20"/>
  <c r="AQ190" i="20"/>
  <c r="AR190" i="20"/>
  <c r="AS190" i="20"/>
  <c r="AT190" i="20"/>
  <c r="AU190" i="20"/>
  <c r="AV190" i="20"/>
  <c r="AW190" i="20"/>
  <c r="AX190" i="20"/>
  <c r="AY190" i="20"/>
  <c r="AZ190" i="20"/>
  <c r="L194" i="20"/>
  <c r="M194" i="20"/>
  <c r="N194" i="20"/>
  <c r="AO194" i="20"/>
  <c r="AP194" i="20"/>
  <c r="AQ194" i="20"/>
  <c r="AR194" i="20"/>
  <c r="AS194" i="20"/>
  <c r="AT194" i="20"/>
  <c r="AU194" i="20"/>
  <c r="AV194" i="20"/>
  <c r="AW194" i="20"/>
  <c r="AX194" i="20"/>
  <c r="AY194" i="20"/>
  <c r="AZ194" i="20"/>
  <c r="L197" i="20"/>
  <c r="M197" i="20"/>
  <c r="N197" i="20"/>
  <c r="AK197" i="20"/>
  <c r="AL197" i="20"/>
  <c r="AM197" i="20"/>
  <c r="AN197" i="20"/>
  <c r="AO197" i="20"/>
  <c r="AP197" i="20"/>
  <c r="AQ197" i="20"/>
  <c r="AR197" i="20"/>
  <c r="AS197" i="20"/>
  <c r="AT197" i="20"/>
  <c r="AU197" i="20"/>
  <c r="AV197" i="20"/>
  <c r="AW197" i="20"/>
  <c r="AX197" i="20"/>
  <c r="AY197" i="20"/>
  <c r="AZ197" i="20"/>
  <c r="L198" i="20"/>
  <c r="M198" i="20"/>
  <c r="N198" i="20"/>
  <c r="AK198" i="20"/>
  <c r="AL198" i="20"/>
  <c r="AM198" i="20"/>
  <c r="AN198" i="20"/>
  <c r="AO198" i="20"/>
  <c r="AP198" i="20"/>
  <c r="AQ198" i="20"/>
  <c r="AR198" i="20"/>
  <c r="AS198" i="20"/>
  <c r="AT198" i="20"/>
  <c r="AU198" i="20"/>
  <c r="AV198" i="20"/>
  <c r="AW198" i="20"/>
  <c r="AX198" i="20"/>
  <c r="AY198" i="20"/>
  <c r="AZ198" i="20"/>
  <c r="L201" i="20"/>
  <c r="M201" i="20"/>
  <c r="N201" i="20"/>
  <c r="AO201" i="20"/>
  <c r="AP201" i="20"/>
  <c r="AQ201" i="20"/>
  <c r="AR201" i="20"/>
  <c r="AS201" i="20"/>
  <c r="AT201" i="20"/>
  <c r="AU201" i="20"/>
  <c r="AV201" i="20"/>
  <c r="AW201" i="20"/>
  <c r="AX201" i="20"/>
  <c r="AY201" i="20"/>
  <c r="AZ201" i="20"/>
  <c r="L202" i="20"/>
  <c r="M202" i="20"/>
  <c r="N202" i="20"/>
  <c r="AO202" i="20"/>
  <c r="AP202" i="20"/>
  <c r="AQ202" i="20"/>
  <c r="AR202" i="20"/>
  <c r="AS202" i="20"/>
  <c r="AT202" i="20"/>
  <c r="AU202" i="20"/>
  <c r="AV202" i="20"/>
  <c r="AW202" i="20"/>
  <c r="AX202" i="20"/>
  <c r="AY202" i="20"/>
  <c r="AZ202" i="20"/>
  <c r="BC7" i="6"/>
  <c r="BD7" i="6"/>
  <c r="BE8" i="6" a="1"/>
  <c r="BE8" i="6"/>
  <c r="BF8" i="6"/>
  <c r="BG8" i="6"/>
  <c r="BE9" i="6"/>
  <c r="BF9" i="6"/>
  <c r="BG9" i="6"/>
  <c r="BE10" i="6"/>
  <c r="BF10" i="6"/>
  <c r="BG10" i="6"/>
  <c r="BC11" i="6"/>
  <c r="BD11" i="6"/>
  <c r="BE14" i="6" a="1"/>
  <c r="BE14" i="6"/>
  <c r="BF14" i="6"/>
  <c r="BG14" i="6"/>
  <c r="BC15" i="6"/>
  <c r="BD15" i="6"/>
  <c r="BE15" i="6"/>
  <c r="BF15" i="6"/>
  <c r="BG15" i="6"/>
  <c r="J16" i="6"/>
  <c r="L16" i="6"/>
  <c r="M16" i="6"/>
  <c r="N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C16" i="6"/>
  <c r="BD16" i="6"/>
  <c r="BE16" i="6"/>
  <c r="BF16" i="6"/>
  <c r="BG16" i="6"/>
  <c r="J17" i="6"/>
  <c r="K17" i="6"/>
  <c r="L17" i="6"/>
  <c r="M17" i="6"/>
  <c r="N17" i="6"/>
  <c r="AH17" i="6"/>
  <c r="AI17" i="6"/>
  <c r="AJ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C17" i="6"/>
  <c r="BD17" i="6"/>
  <c r="BC18" i="6"/>
  <c r="BD18" i="6"/>
  <c r="J19" i="6"/>
  <c r="L19" i="6"/>
  <c r="M19" i="6"/>
  <c r="N19" i="6"/>
  <c r="AH19" i="6"/>
  <c r="AI19" i="6"/>
  <c r="AJ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C19" i="6"/>
  <c r="BD19" i="6"/>
  <c r="J20" i="6"/>
  <c r="K20" i="6"/>
  <c r="L20" i="6"/>
  <c r="M20" i="6"/>
  <c r="N20" i="6"/>
  <c r="AH20" i="6"/>
  <c r="AI20" i="6"/>
  <c r="AJ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C20" i="6"/>
  <c r="BD20" i="6"/>
  <c r="H21" i="6"/>
  <c r="I21" i="6"/>
  <c r="J21" i="6"/>
  <c r="K21" i="6"/>
  <c r="L21" i="6"/>
  <c r="M21" i="6"/>
  <c r="N21" i="6"/>
  <c r="Y21" i="6"/>
  <c r="AC21" i="6"/>
  <c r="AG21" i="6"/>
  <c r="AH21" i="6"/>
  <c r="AI21" i="6"/>
  <c r="AJ21" i="6"/>
  <c r="AK21" i="6"/>
  <c r="AL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I22" i="6"/>
  <c r="J22" i="6"/>
  <c r="K22" i="6"/>
  <c r="L22" i="6"/>
  <c r="M22" i="6"/>
  <c r="N22" i="6"/>
  <c r="AC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H23" i="6"/>
  <c r="I23" i="6"/>
  <c r="J23" i="6"/>
  <c r="K23" i="6"/>
  <c r="L23" i="6"/>
  <c r="M23" i="6"/>
  <c r="N23" i="6"/>
  <c r="Y23" i="6"/>
  <c r="AC23" i="6"/>
  <c r="AG23" i="6"/>
  <c r="AH23" i="6"/>
  <c r="AI23" i="6"/>
  <c r="AJ23" i="6"/>
  <c r="AK23" i="6"/>
  <c r="AL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I24" i="6"/>
  <c r="J24" i="6"/>
  <c r="K24" i="6"/>
  <c r="L24" i="6"/>
  <c r="M24" i="6"/>
  <c r="N24" i="6"/>
  <c r="AC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E24" i="6"/>
  <c r="BF24" i="6"/>
  <c r="H25" i="6"/>
  <c r="I25" i="6"/>
  <c r="J25" i="6"/>
  <c r="K25" i="6"/>
  <c r="L25" i="6"/>
  <c r="M25" i="6"/>
  <c r="N25" i="6"/>
  <c r="BC25" i="6"/>
  <c r="BD25" i="6"/>
  <c r="BE25" i="6"/>
  <c r="BF25" i="6"/>
  <c r="BE26" i="6"/>
  <c r="BF26" i="6"/>
  <c r="Y27" i="6"/>
  <c r="Z27" i="6"/>
  <c r="AA27" i="6"/>
  <c r="AB27" i="6"/>
  <c r="AC27" i="6"/>
  <c r="AD27" i="6"/>
  <c r="AE27" i="6"/>
  <c r="AF27" i="6"/>
  <c r="AG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E27" i="6"/>
  <c r="BF27" i="6"/>
  <c r="BE28" i="6"/>
  <c r="BF28" i="6"/>
  <c r="BC29" i="6"/>
  <c r="BD29" i="6"/>
  <c r="BE29" i="6"/>
  <c r="BF29" i="6"/>
  <c r="BE30" i="6"/>
  <c r="BF30" i="6"/>
  <c r="BE31" i="6"/>
  <c r="BF31" i="6"/>
  <c r="BE32" i="6"/>
  <c r="BF32" i="6"/>
  <c r="BC33" i="6"/>
  <c r="BD33" i="6"/>
  <c r="BE33" i="6"/>
  <c r="BF33" i="6"/>
  <c r="BC34" i="6"/>
  <c r="BD34" i="6"/>
  <c r="BE34" i="6"/>
  <c r="BF34" i="6"/>
  <c r="BE35" i="6"/>
  <c r="BF35" i="6"/>
  <c r="BE36" i="6"/>
  <c r="BF36" i="6"/>
  <c r="J45" i="6"/>
  <c r="K45" i="6"/>
  <c r="L45" i="6"/>
  <c r="M45" i="6"/>
  <c r="N45" i="6"/>
  <c r="AJ45" i="6"/>
  <c r="AK45" i="6"/>
  <c r="AL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K46" i="6"/>
  <c r="L46" i="6"/>
  <c r="M46" i="6"/>
  <c r="N46" i="6"/>
  <c r="AK47" i="6"/>
  <c r="AL47" i="6"/>
  <c r="AM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J48" i="6"/>
  <c r="K48" i="6"/>
  <c r="AJ48" i="6"/>
  <c r="AK48" i="6"/>
  <c r="AL48" i="6"/>
  <c r="K49" i="6"/>
  <c r="L49" i="6"/>
  <c r="AN49" i="6"/>
  <c r="AO49" i="6"/>
  <c r="AP49" i="6"/>
  <c r="AK50" i="6"/>
  <c r="AL50" i="6"/>
  <c r="AM50" i="6"/>
  <c r="J51" i="6"/>
  <c r="K51" i="6"/>
  <c r="L51" i="6"/>
  <c r="M51" i="6"/>
  <c r="N51" i="6"/>
  <c r="AJ51" i="6"/>
  <c r="AK51" i="6"/>
  <c r="AL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K52" i="6"/>
  <c r="L52" i="6"/>
  <c r="M52" i="6"/>
  <c r="N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AK53" i="6"/>
  <c r="AL53" i="6"/>
  <c r="AM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L55" i="6"/>
  <c r="M55" i="6"/>
  <c r="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L56" i="6"/>
  <c r="M56" i="6"/>
  <c r="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H57" i="6"/>
  <c r="I57" i="6"/>
  <c r="J57" i="6"/>
  <c r="K57" i="6"/>
  <c r="L57" i="6"/>
  <c r="M57" i="6"/>
  <c r="N57" i="6"/>
  <c r="Y57" i="6"/>
  <c r="AC57" i="6"/>
  <c r="AG57" i="6"/>
  <c r="AH57" i="6"/>
  <c r="AI57" i="6"/>
  <c r="AJ57" i="6"/>
  <c r="AK57" i="6"/>
  <c r="AL57" i="6"/>
  <c r="AO57" i="6"/>
  <c r="AP57" i="6"/>
  <c r="AS57" i="6"/>
  <c r="AT57" i="6"/>
  <c r="AW57" i="6"/>
  <c r="AX57" i="6"/>
  <c r="I58" i="6"/>
  <c r="J58" i="6"/>
  <c r="K58" i="6"/>
  <c r="L58" i="6"/>
  <c r="M58" i="6"/>
  <c r="N58" i="6"/>
  <c r="AC58" i="6"/>
  <c r="AG58" i="6"/>
  <c r="AH58" i="6"/>
  <c r="AI58" i="6"/>
  <c r="AJ58" i="6"/>
  <c r="AK58" i="6"/>
  <c r="AL58" i="6"/>
  <c r="AM58" i="6"/>
  <c r="AN58" i="6"/>
  <c r="AO58" i="6"/>
  <c r="AP58" i="6"/>
  <c r="AS58" i="6"/>
  <c r="AT58" i="6"/>
  <c r="AW58" i="6"/>
  <c r="AX58" i="6"/>
  <c r="H59" i="6"/>
  <c r="I59" i="6"/>
  <c r="J59" i="6"/>
  <c r="K59" i="6"/>
  <c r="L59" i="6"/>
  <c r="M59" i="6"/>
  <c r="N59" i="6"/>
  <c r="Y59" i="6"/>
  <c r="AC59" i="6"/>
  <c r="AG59" i="6"/>
  <c r="AH59" i="6"/>
  <c r="AI59" i="6"/>
  <c r="AJ59" i="6"/>
  <c r="AK59" i="6"/>
  <c r="AL59" i="6"/>
  <c r="AO59" i="6"/>
  <c r="AP59" i="6"/>
  <c r="AS59" i="6"/>
  <c r="AT59" i="6"/>
  <c r="AW59" i="6"/>
  <c r="AX59" i="6"/>
  <c r="I60" i="6"/>
  <c r="J60" i="6"/>
  <c r="K60" i="6"/>
  <c r="L60" i="6"/>
  <c r="M60" i="6"/>
  <c r="N60" i="6"/>
  <c r="AC60" i="6"/>
  <c r="AG60" i="6"/>
  <c r="AH60" i="6"/>
  <c r="AI60" i="6"/>
  <c r="AJ60" i="6"/>
  <c r="AK60" i="6"/>
  <c r="AL60" i="6"/>
  <c r="AM60" i="6"/>
  <c r="AN60" i="6"/>
  <c r="AO60" i="6"/>
  <c r="AP60" i="6"/>
  <c r="AS60" i="6"/>
  <c r="AT60" i="6"/>
  <c r="AW60" i="6"/>
  <c r="AX60" i="6"/>
  <c r="AO61" i="6"/>
  <c r="AP61" i="6"/>
  <c r="AS61" i="6"/>
  <c r="AT61" i="6"/>
  <c r="AW61" i="6"/>
  <c r="AX61" i="6"/>
  <c r="J62" i="6"/>
  <c r="K62" i="6"/>
  <c r="AJ62" i="6"/>
  <c r="AK62" i="6"/>
  <c r="AL62" i="6"/>
  <c r="K63" i="6"/>
  <c r="L63" i="6"/>
  <c r="AN63" i="6"/>
  <c r="AO63" i="6"/>
  <c r="AP63" i="6"/>
  <c r="AO64" i="6"/>
  <c r="AP64" i="6"/>
  <c r="AS64" i="6"/>
  <c r="AT64" i="6"/>
  <c r="AW64" i="6"/>
  <c r="AX64" i="6"/>
  <c r="H65" i="6"/>
  <c r="I65" i="6"/>
  <c r="J65" i="6"/>
  <c r="K65" i="6"/>
  <c r="L65" i="6"/>
  <c r="M65" i="6"/>
  <c r="N65" i="6"/>
  <c r="Y65" i="6"/>
  <c r="AC65" i="6"/>
  <c r="AG65" i="6"/>
  <c r="AH65" i="6"/>
  <c r="AI65" i="6"/>
  <c r="AJ65" i="6"/>
  <c r="AK65" i="6"/>
  <c r="AL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I66" i="6"/>
  <c r="J66" i="6"/>
  <c r="K66" i="6"/>
  <c r="L66" i="6"/>
  <c r="M66" i="6"/>
  <c r="N66" i="6"/>
  <c r="AC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H67" i="6"/>
  <c r="I67" i="6"/>
  <c r="J67" i="6"/>
  <c r="K67" i="6"/>
  <c r="L67" i="6"/>
  <c r="M67" i="6"/>
  <c r="N67" i="6"/>
  <c r="Y67" i="6"/>
  <c r="AC67" i="6"/>
  <c r="AG67" i="6"/>
  <c r="AH67" i="6"/>
  <c r="AI67" i="6"/>
  <c r="AJ67" i="6"/>
  <c r="AK67" i="6"/>
  <c r="AL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I69" i="6"/>
  <c r="J69" i="6"/>
  <c r="K69" i="6"/>
  <c r="L69" i="6"/>
  <c r="M69" i="6"/>
  <c r="N69" i="6"/>
  <c r="AC69" i="6"/>
  <c r="AG69" i="6"/>
  <c r="AH69" i="6"/>
  <c r="AI69" i="6"/>
  <c r="AJ69" i="6"/>
  <c r="AK69" i="6"/>
  <c r="AL69" i="6"/>
  <c r="AO69" i="6"/>
  <c r="AP69" i="6"/>
  <c r="AS69" i="6"/>
  <c r="AT69" i="6"/>
  <c r="AW69" i="6"/>
  <c r="AX69" i="6"/>
  <c r="J70" i="6"/>
  <c r="K70" i="6"/>
  <c r="L70" i="6"/>
  <c r="M70" i="6"/>
  <c r="N70" i="6"/>
  <c r="AG70" i="6"/>
  <c r="AH70" i="6"/>
  <c r="AI70" i="6"/>
  <c r="AJ70" i="6"/>
  <c r="AK70" i="6"/>
  <c r="AL70" i="6"/>
  <c r="AM70" i="6"/>
  <c r="AN70" i="6"/>
  <c r="J73" i="6"/>
  <c r="L73" i="6"/>
  <c r="M73" i="6"/>
  <c r="N73" i="6"/>
  <c r="AH73" i="6"/>
  <c r="AI73" i="6"/>
  <c r="AJ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J74" i="6"/>
  <c r="K74" i="6"/>
  <c r="L74" i="6"/>
  <c r="M74" i="6"/>
  <c r="N74" i="6"/>
  <c r="AH74" i="6"/>
  <c r="AI74" i="6"/>
  <c r="AJ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H75" i="6"/>
  <c r="I75" i="6"/>
  <c r="J75" i="6"/>
  <c r="K75" i="6"/>
  <c r="L75" i="6"/>
  <c r="M75" i="6"/>
  <c r="N75" i="6"/>
  <c r="Y75" i="6"/>
  <c r="AC75" i="6"/>
  <c r="AG75" i="6"/>
  <c r="AH75" i="6"/>
  <c r="AI75" i="6"/>
  <c r="AJ75" i="6"/>
  <c r="AK75" i="6"/>
  <c r="AL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K76" i="6"/>
  <c r="L76" i="6"/>
  <c r="M76" i="6"/>
  <c r="N76" i="6"/>
  <c r="Y76" i="6"/>
  <c r="AC76" i="6"/>
  <c r="AG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I77" i="6"/>
  <c r="J77" i="6"/>
  <c r="K77" i="6"/>
  <c r="L77" i="6"/>
  <c r="M77" i="6"/>
  <c r="N77" i="6"/>
  <c r="AC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H78" i="6"/>
  <c r="I78" i="6"/>
  <c r="J78" i="6"/>
  <c r="K78" i="6"/>
  <c r="L78" i="6"/>
  <c r="M78" i="6"/>
  <c r="N78" i="6"/>
  <c r="Y78" i="6"/>
  <c r="AC78" i="6"/>
  <c r="AG78" i="6"/>
  <c r="AH78" i="6"/>
  <c r="AI78" i="6"/>
  <c r="AJ78" i="6"/>
  <c r="AK78" i="6"/>
  <c r="AL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H79" i="6"/>
  <c r="I79" i="6"/>
  <c r="J79" i="6"/>
  <c r="K79" i="6"/>
  <c r="L79" i="6"/>
  <c r="M79" i="6"/>
  <c r="N79" i="6"/>
  <c r="Y79" i="6"/>
  <c r="AC79" i="6"/>
  <c r="AG79" i="6"/>
  <c r="AH79" i="6"/>
  <c r="AI79" i="6"/>
  <c r="AJ79" i="6"/>
  <c r="AK79" i="6"/>
  <c r="AL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I80" i="6"/>
  <c r="J80" i="6"/>
  <c r="K80" i="6"/>
  <c r="L80" i="6"/>
  <c r="M80" i="6"/>
  <c r="N80" i="6"/>
  <c r="AC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J81" i="6"/>
  <c r="K81" i="6"/>
  <c r="L81" i="6"/>
  <c r="M81" i="6"/>
  <c r="N81" i="6"/>
  <c r="AJ81" i="6"/>
  <c r="AK81" i="6"/>
  <c r="AL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J82" i="6"/>
  <c r="K82" i="6"/>
  <c r="L82" i="6"/>
  <c r="M82" i="6"/>
  <c r="N82" i="6"/>
  <c r="AJ82" i="6"/>
  <c r="AK82" i="6"/>
  <c r="AL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K83" i="6"/>
  <c r="L83" i="6"/>
  <c r="M83" i="6"/>
  <c r="N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G87" i="6"/>
  <c r="H87" i="6"/>
  <c r="I87" i="6"/>
  <c r="U87" i="6"/>
  <c r="V87" i="6"/>
  <c r="W87" i="6"/>
  <c r="X87" i="6"/>
  <c r="Y87" i="6"/>
  <c r="Z87" i="6"/>
  <c r="AA87" i="6"/>
  <c r="AB87" i="6"/>
  <c r="AC87" i="6"/>
  <c r="AD87" i="6"/>
  <c r="AE87" i="6"/>
  <c r="AF87" i="6"/>
  <c r="H88" i="6"/>
  <c r="I88" i="6"/>
  <c r="J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G91" i="6"/>
  <c r="H91" i="6"/>
  <c r="I91" i="6"/>
  <c r="U91" i="6"/>
  <c r="V91" i="6"/>
  <c r="W91" i="6"/>
  <c r="X91" i="6"/>
  <c r="Y91" i="6"/>
  <c r="Z91" i="6"/>
  <c r="AA91" i="6"/>
  <c r="AB91" i="6"/>
  <c r="AC91" i="6"/>
  <c r="AD91" i="6"/>
  <c r="AE91" i="6"/>
  <c r="AF91" i="6"/>
  <c r="H92" i="6"/>
  <c r="I92" i="6"/>
  <c r="J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H107" i="6"/>
  <c r="I107" i="6"/>
  <c r="J107" i="6"/>
  <c r="K107" i="6"/>
  <c r="L107" i="6"/>
  <c r="M107" i="6"/>
  <c r="N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H108" i="6"/>
  <c r="I108" i="6"/>
  <c r="J108" i="6"/>
  <c r="K108" i="6"/>
  <c r="L108" i="6"/>
  <c r="M108" i="6"/>
  <c r="N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G111" i="6"/>
  <c r="H111" i="6"/>
  <c r="I111" i="6"/>
  <c r="J111" i="6"/>
  <c r="K111" i="6"/>
  <c r="L111" i="6"/>
  <c r="M111" i="6"/>
  <c r="N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G112" i="6"/>
  <c r="H112" i="6"/>
  <c r="I112" i="6"/>
  <c r="J112" i="6"/>
  <c r="K112" i="6"/>
  <c r="L112" i="6"/>
  <c r="M112" i="6"/>
  <c r="N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L114" i="6"/>
  <c r="M114" i="6"/>
  <c r="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I115" i="6"/>
  <c r="J115" i="6"/>
  <c r="K115" i="6"/>
  <c r="L115" i="6"/>
  <c r="M115" i="6"/>
  <c r="N115" i="6"/>
  <c r="AI115" i="6"/>
  <c r="AJ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L116" i="6"/>
  <c r="M116" i="6"/>
  <c r="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I117" i="6"/>
  <c r="J117" i="6"/>
  <c r="K117" i="6"/>
  <c r="L117" i="6"/>
  <c r="M117" i="6"/>
  <c r="N117" i="6"/>
  <c r="AI117" i="6"/>
  <c r="AJ117" i="6"/>
  <c r="AL117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L118" i="6"/>
  <c r="M118" i="6"/>
  <c r="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I119" i="6"/>
  <c r="J119" i="6"/>
  <c r="K119" i="6"/>
  <c r="L119" i="6"/>
  <c r="M119" i="6"/>
  <c r="N119" i="6"/>
  <c r="AI119" i="6"/>
  <c r="AJ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L120" i="6"/>
  <c r="M120" i="6"/>
  <c r="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I121" i="6"/>
  <c r="J121" i="6"/>
  <c r="K121" i="6"/>
  <c r="L121" i="6"/>
  <c r="M121" i="6"/>
  <c r="N121" i="6"/>
  <c r="AI121" i="6"/>
  <c r="AJ121" i="6"/>
  <c r="AL121" i="6"/>
  <c r="AM121" i="6"/>
  <c r="AN121" i="6"/>
  <c r="I123" i="6"/>
  <c r="J123" i="6"/>
  <c r="K123" i="6"/>
  <c r="L123" i="6"/>
  <c r="M123" i="6"/>
  <c r="N123" i="6"/>
  <c r="AI123" i="6"/>
  <c r="AJ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L126" i="6"/>
  <c r="M126" i="6"/>
  <c r="N126" i="6"/>
  <c r="AP126" i="6"/>
  <c r="AQ126" i="6"/>
  <c r="AR126" i="6"/>
  <c r="AS126" i="6"/>
  <c r="AT126" i="6"/>
  <c r="AU126" i="6"/>
  <c r="AV126" i="6"/>
  <c r="AW126" i="6"/>
  <c r="AX126" i="6"/>
  <c r="AY126" i="6"/>
  <c r="AZ126" i="6"/>
  <c r="I127" i="6"/>
  <c r="J127" i="6"/>
  <c r="K127" i="6"/>
  <c r="L127" i="6"/>
  <c r="M127" i="6"/>
  <c r="N127" i="6"/>
  <c r="AI127" i="6"/>
  <c r="AJ127" i="6"/>
  <c r="AL127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L128" i="6"/>
  <c r="M128" i="6"/>
  <c r="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I129" i="6"/>
  <c r="J129" i="6"/>
  <c r="K129" i="6"/>
  <c r="L129" i="6"/>
  <c r="M129" i="6"/>
  <c r="N129" i="6"/>
  <c r="AI129" i="6"/>
  <c r="AJ129" i="6"/>
  <c r="AL129" i="6"/>
  <c r="AM129" i="6"/>
  <c r="AN129" i="6"/>
  <c r="AP129" i="6"/>
  <c r="AQ129" i="6"/>
  <c r="AR129" i="6"/>
  <c r="AT129" i="6"/>
  <c r="AU129" i="6"/>
  <c r="AV129" i="6"/>
  <c r="AX129" i="6"/>
  <c r="AY129" i="6"/>
  <c r="AZ129" i="6"/>
  <c r="L130" i="6"/>
  <c r="M130" i="6"/>
  <c r="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I131" i="6"/>
  <c r="J131" i="6"/>
  <c r="K131" i="6"/>
  <c r="L131" i="6"/>
  <c r="M131" i="6"/>
  <c r="N131" i="6"/>
  <c r="AI131" i="6"/>
  <c r="AJ131" i="6"/>
  <c r="AL131" i="6"/>
  <c r="AM131" i="6"/>
  <c r="AN131" i="6"/>
  <c r="K132" i="6"/>
  <c r="L132" i="6"/>
  <c r="M132" i="6"/>
  <c r="N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I133" i="6"/>
  <c r="J133" i="6"/>
  <c r="K133" i="6"/>
  <c r="L133" i="6"/>
  <c r="M133" i="6"/>
  <c r="N133" i="6"/>
  <c r="AI133" i="6"/>
  <c r="AJ133" i="6"/>
  <c r="AK133" i="6"/>
  <c r="AL133" i="6"/>
  <c r="AM133" i="6"/>
  <c r="AN133" i="6"/>
  <c r="K134" i="6"/>
  <c r="L134" i="6"/>
  <c r="M134" i="6"/>
  <c r="N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I135" i="6"/>
  <c r="J135" i="6"/>
  <c r="K135" i="6"/>
  <c r="L135" i="6"/>
  <c r="M135" i="6"/>
  <c r="N135" i="6"/>
  <c r="AI135" i="6"/>
  <c r="AJ135" i="6"/>
  <c r="AK135" i="6"/>
  <c r="AL135" i="6"/>
  <c r="AM135" i="6"/>
  <c r="AN135" i="6"/>
  <c r="L136" i="6"/>
  <c r="M136" i="6"/>
  <c r="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I137" i="6"/>
  <c r="J137" i="6"/>
  <c r="K137" i="6"/>
  <c r="L137" i="6"/>
  <c r="M137" i="6"/>
  <c r="N137" i="6"/>
  <c r="AI137" i="6"/>
  <c r="AJ137" i="6"/>
  <c r="AL137" i="6"/>
  <c r="AM137" i="6"/>
  <c r="AN137" i="6"/>
  <c r="L139" i="6"/>
  <c r="M139" i="6"/>
  <c r="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L140" i="6"/>
  <c r="M140" i="6"/>
  <c r="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L141" i="6"/>
  <c r="M141" i="6"/>
  <c r="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L142" i="6"/>
  <c r="M142" i="6"/>
  <c r="N142" i="6"/>
  <c r="L143" i="6"/>
  <c r="M143" i="6"/>
  <c r="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L144" i="6"/>
  <c r="M144" i="6"/>
  <c r="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L145" i="6"/>
  <c r="M145" i="6"/>
  <c r="N145" i="6"/>
  <c r="L146" i="6"/>
  <c r="M146" i="6"/>
  <c r="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AO240" i="6"/>
  <c r="AP240" i="6"/>
  <c r="AQ240" i="6"/>
  <c r="AR240" i="6"/>
  <c r="AS240" i="6"/>
  <c r="AT240" i="6"/>
  <c r="AU240" i="6"/>
  <c r="AV240" i="6"/>
  <c r="AW240" i="6"/>
  <c r="AX240" i="6"/>
  <c r="AY240" i="6"/>
  <c r="AZ240" i="6"/>
  <c r="K249" i="6"/>
  <c r="AK249" i="6"/>
  <c r="AL249" i="6"/>
  <c r="AM249" i="6"/>
  <c r="AN249" i="6"/>
  <c r="K250" i="6"/>
  <c r="AK250" i="6"/>
  <c r="AL250" i="6"/>
  <c r="AM250" i="6"/>
  <c r="AN250" i="6"/>
  <c r="K251" i="6"/>
  <c r="L251" i="6"/>
  <c r="M251" i="6"/>
  <c r="N251" i="6"/>
  <c r="AK251" i="6"/>
  <c r="AL251" i="6"/>
  <c r="AM251" i="6"/>
  <c r="AN251" i="6"/>
  <c r="AO251" i="6"/>
  <c r="AP251" i="6"/>
  <c r="AQ251" i="6"/>
  <c r="AR251" i="6"/>
  <c r="AS251" i="6"/>
  <c r="AT251" i="6"/>
  <c r="AU251" i="6"/>
  <c r="AV251" i="6"/>
  <c r="AW251" i="6"/>
  <c r="AX251" i="6"/>
  <c r="AY251" i="6"/>
  <c r="AZ251" i="6"/>
  <c r="K252" i="6"/>
  <c r="L252" i="6"/>
  <c r="M252" i="6"/>
  <c r="N252" i="6"/>
  <c r="AK252" i="6"/>
  <c r="AL252" i="6"/>
  <c r="AM252" i="6"/>
  <c r="AN252" i="6"/>
  <c r="AO252" i="6"/>
  <c r="AP252" i="6"/>
  <c r="AQ252" i="6"/>
  <c r="AR252" i="6"/>
  <c r="AS252" i="6"/>
  <c r="AT252" i="6"/>
  <c r="AU252" i="6"/>
  <c r="AV252" i="6"/>
  <c r="AW252" i="6"/>
  <c r="AX252" i="6"/>
  <c r="AY252" i="6"/>
  <c r="AZ252" i="6"/>
  <c r="AO256" i="6"/>
  <c r="AP256" i="6"/>
  <c r="AQ256" i="6"/>
  <c r="AR256" i="6"/>
  <c r="AS256" i="6"/>
  <c r="AT256" i="6"/>
  <c r="AU256" i="6"/>
  <c r="AV256" i="6"/>
  <c r="AW256" i="6"/>
  <c r="AX256" i="6"/>
  <c r="AY256" i="6"/>
  <c r="AZ256" i="6"/>
  <c r="L265" i="6"/>
  <c r="M265" i="6"/>
  <c r="N265" i="6"/>
  <c r="AO265" i="6"/>
  <c r="AP265" i="6"/>
  <c r="AQ265" i="6"/>
  <c r="AR265" i="6"/>
  <c r="AS265" i="6"/>
  <c r="AT265" i="6"/>
  <c r="AU265" i="6"/>
  <c r="AV265" i="6"/>
  <c r="AW265" i="6"/>
  <c r="AX265" i="6"/>
  <c r="AY265" i="6"/>
  <c r="AZ265" i="6"/>
  <c r="L266" i="6"/>
  <c r="M266" i="6"/>
  <c r="N266" i="6"/>
  <c r="AO266" i="6"/>
  <c r="AP266" i="6"/>
  <c r="AQ266" i="6"/>
  <c r="AR266" i="6"/>
  <c r="AS266" i="6"/>
  <c r="AT266" i="6"/>
  <c r="AU266" i="6"/>
  <c r="AV266" i="6"/>
  <c r="AW266" i="6"/>
  <c r="AX266" i="6"/>
  <c r="AY266" i="6"/>
  <c r="AZ266" i="6"/>
  <c r="L267" i="6"/>
  <c r="M267" i="6"/>
  <c r="N267" i="6"/>
  <c r="AO267" i="6"/>
  <c r="AP267" i="6"/>
  <c r="AQ267" i="6"/>
  <c r="AR267" i="6"/>
  <c r="AS267" i="6"/>
  <c r="AT267" i="6"/>
  <c r="AU267" i="6"/>
  <c r="AV267" i="6"/>
  <c r="AW267" i="6"/>
  <c r="AX267" i="6"/>
  <c r="AY267" i="6"/>
  <c r="AZ267" i="6"/>
  <c r="AO268" i="6"/>
  <c r="AP268" i="6"/>
  <c r="AQ268" i="6"/>
  <c r="AR268" i="6"/>
  <c r="AS268" i="6"/>
  <c r="AT268" i="6"/>
  <c r="AU268" i="6"/>
  <c r="AV268" i="6"/>
  <c r="AW268" i="6"/>
  <c r="AX268" i="6"/>
  <c r="AY268" i="6"/>
  <c r="AZ268" i="6"/>
  <c r="L269" i="6"/>
  <c r="M269" i="6"/>
  <c r="N269" i="6"/>
  <c r="AO269" i="6"/>
  <c r="AP269" i="6"/>
  <c r="AQ269" i="6"/>
  <c r="AR269" i="6"/>
  <c r="AS269" i="6"/>
  <c r="AT269" i="6"/>
  <c r="AU269" i="6"/>
  <c r="AV269" i="6"/>
  <c r="AW269" i="6"/>
  <c r="AX269" i="6"/>
  <c r="AY269" i="6"/>
  <c r="AZ269" i="6"/>
  <c r="L270" i="6"/>
  <c r="M270" i="6"/>
  <c r="N270" i="6"/>
  <c r="AO270" i="6"/>
  <c r="AP270" i="6"/>
  <c r="AQ270" i="6"/>
  <c r="AR270" i="6"/>
  <c r="AS270" i="6"/>
  <c r="AT270" i="6"/>
  <c r="AU270" i="6"/>
  <c r="AV270" i="6"/>
  <c r="AW270" i="6"/>
  <c r="AX270" i="6"/>
  <c r="AY270" i="6"/>
  <c r="AZ270" i="6"/>
  <c r="L271" i="6"/>
  <c r="M271" i="6"/>
  <c r="N271" i="6"/>
  <c r="AO271" i="6"/>
  <c r="AP271" i="6"/>
  <c r="AQ271" i="6"/>
  <c r="AR271" i="6"/>
  <c r="AS271" i="6"/>
  <c r="AT271" i="6"/>
  <c r="AU271" i="6"/>
  <c r="AV271" i="6"/>
  <c r="AW271" i="6"/>
  <c r="AX271" i="6"/>
  <c r="AY271" i="6"/>
  <c r="AZ271" i="6"/>
  <c r="L272" i="6"/>
  <c r="M272" i="6"/>
  <c r="N272" i="6"/>
  <c r="U272" i="6"/>
  <c r="V272" i="6"/>
  <c r="W272" i="6"/>
  <c r="X272" i="6"/>
  <c r="Y272" i="6"/>
  <c r="Z272" i="6"/>
  <c r="AA272" i="6"/>
  <c r="AB272" i="6"/>
  <c r="AC272" i="6"/>
  <c r="AD272" i="6"/>
  <c r="AE272" i="6"/>
  <c r="AF272" i="6"/>
  <c r="AH272" i="6"/>
  <c r="AI272" i="6"/>
  <c r="AJ272" i="6"/>
  <c r="AO272" i="6"/>
  <c r="AP272" i="6"/>
  <c r="AQ272" i="6"/>
  <c r="AR272" i="6"/>
  <c r="AS272" i="6"/>
  <c r="AT272" i="6"/>
  <c r="AU272" i="6"/>
  <c r="AV272" i="6"/>
  <c r="AW272" i="6"/>
  <c r="AX272" i="6"/>
  <c r="AY272" i="6"/>
  <c r="AZ272" i="6"/>
  <c r="L274" i="6"/>
  <c r="M274" i="6"/>
  <c r="N274" i="6"/>
  <c r="AO274" i="6"/>
  <c r="AP274" i="6"/>
  <c r="AQ274" i="6"/>
  <c r="AR274" i="6"/>
  <c r="AS274" i="6"/>
  <c r="AT274" i="6"/>
  <c r="AU274" i="6"/>
  <c r="AV274" i="6"/>
  <c r="AW274" i="6"/>
  <c r="AX274" i="6"/>
  <c r="AY274" i="6"/>
  <c r="AZ274" i="6"/>
  <c r="L275" i="6"/>
  <c r="M275" i="6"/>
  <c r="N275" i="6"/>
  <c r="AP275" i="6"/>
  <c r="AQ275" i="6"/>
  <c r="AR275" i="6"/>
  <c r="AS275" i="6"/>
  <c r="AT275" i="6"/>
  <c r="AU275" i="6"/>
  <c r="AV275" i="6"/>
  <c r="AW275" i="6"/>
  <c r="AX275" i="6"/>
  <c r="AY275" i="6"/>
  <c r="AZ275" i="6"/>
  <c r="L276" i="6"/>
  <c r="M276" i="6"/>
  <c r="N276" i="6"/>
  <c r="AO276" i="6"/>
  <c r="AP276" i="6"/>
  <c r="AQ276" i="6"/>
  <c r="AR276" i="6"/>
  <c r="AS276" i="6"/>
  <c r="AT276" i="6"/>
  <c r="AU276" i="6"/>
  <c r="AV276" i="6"/>
  <c r="AW276" i="6"/>
  <c r="AX276" i="6"/>
  <c r="AY276" i="6"/>
  <c r="AZ276" i="6"/>
  <c r="L277" i="6"/>
  <c r="M277" i="6"/>
  <c r="N277" i="6"/>
  <c r="AO277" i="6"/>
  <c r="AP277" i="6"/>
  <c r="AQ277" i="6"/>
  <c r="AR277" i="6"/>
  <c r="AS277" i="6"/>
  <c r="AT277" i="6"/>
  <c r="AU277" i="6"/>
  <c r="AV277" i="6"/>
  <c r="AW277" i="6"/>
  <c r="AX277" i="6"/>
  <c r="AY277" i="6"/>
  <c r="AZ277" i="6"/>
  <c r="L278" i="6"/>
  <c r="M278" i="6"/>
  <c r="N278" i="6"/>
  <c r="AO278" i="6"/>
  <c r="AP278" i="6"/>
  <c r="AQ278" i="6"/>
  <c r="AR278" i="6"/>
  <c r="AS278" i="6"/>
  <c r="AT278" i="6"/>
  <c r="AU278" i="6"/>
  <c r="AV278" i="6"/>
  <c r="AW278" i="6"/>
  <c r="AX278" i="6"/>
  <c r="AY278" i="6"/>
  <c r="AZ278" i="6"/>
  <c r="L279" i="6"/>
  <c r="M279" i="6"/>
  <c r="N279" i="6"/>
  <c r="AO279" i="6"/>
  <c r="AP279" i="6"/>
  <c r="AQ279" i="6"/>
  <c r="AR279" i="6"/>
  <c r="AS279" i="6"/>
  <c r="AT279" i="6"/>
  <c r="AU279" i="6"/>
  <c r="AV279" i="6"/>
  <c r="AW279" i="6"/>
  <c r="AX279" i="6"/>
  <c r="AY279" i="6"/>
  <c r="AZ279" i="6"/>
  <c r="L280" i="6"/>
  <c r="M280" i="6"/>
  <c r="N280" i="6"/>
  <c r="AO280" i="6"/>
  <c r="AP280" i="6"/>
  <c r="AQ280" i="6"/>
  <c r="AR280" i="6"/>
  <c r="AS280" i="6"/>
  <c r="AT280" i="6"/>
  <c r="AU280" i="6"/>
  <c r="AV280" i="6"/>
  <c r="AW280" i="6"/>
  <c r="AX280" i="6"/>
  <c r="AY280" i="6"/>
  <c r="AZ280" i="6"/>
  <c r="K281" i="6"/>
  <c r="L281" i="6"/>
  <c r="M281" i="6"/>
  <c r="N281" i="6"/>
  <c r="AK281" i="6"/>
  <c r="AL281" i="6"/>
  <c r="AM281" i="6"/>
  <c r="AN281" i="6"/>
  <c r="AO281" i="6"/>
  <c r="AP281" i="6"/>
  <c r="AQ281" i="6"/>
  <c r="AR281" i="6"/>
  <c r="AS281" i="6"/>
  <c r="AT281" i="6"/>
  <c r="AU281" i="6"/>
  <c r="AV281" i="6"/>
  <c r="AW281" i="6"/>
  <c r="AX281" i="6"/>
  <c r="AY281" i="6"/>
  <c r="AZ281" i="6"/>
  <c r="K282" i="6"/>
  <c r="L282" i="6"/>
  <c r="M282" i="6"/>
  <c r="N282" i="6"/>
  <c r="AK282" i="6"/>
  <c r="AL282" i="6"/>
  <c r="AM282" i="6"/>
  <c r="AN282" i="6"/>
  <c r="AO282" i="6"/>
  <c r="AP282" i="6"/>
  <c r="AQ282" i="6"/>
  <c r="AR282" i="6"/>
  <c r="AS282" i="6"/>
  <c r="AT282" i="6"/>
  <c r="AU282" i="6"/>
  <c r="AV282" i="6"/>
  <c r="AW282" i="6"/>
  <c r="AX282" i="6"/>
  <c r="AY282" i="6"/>
  <c r="AZ282" i="6"/>
  <c r="K283" i="6"/>
  <c r="L283" i="6"/>
  <c r="M283" i="6"/>
  <c r="N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K283" i="6"/>
  <c r="AL283" i="6"/>
  <c r="AM283" i="6"/>
  <c r="AN283" i="6"/>
  <c r="AO283" i="6"/>
  <c r="AP283" i="6"/>
  <c r="AQ283" i="6"/>
  <c r="AR283" i="6"/>
  <c r="AS283" i="6"/>
  <c r="AT283" i="6"/>
  <c r="AU283" i="6"/>
  <c r="AV283" i="6"/>
  <c r="AW283" i="6"/>
  <c r="AX283" i="6"/>
  <c r="AY283" i="6"/>
  <c r="AZ283" i="6"/>
  <c r="K284" i="6"/>
  <c r="L284" i="6"/>
  <c r="M284" i="6"/>
  <c r="N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K284" i="6"/>
  <c r="AL284" i="6"/>
  <c r="AM284" i="6"/>
  <c r="AN284" i="6"/>
  <c r="AO284" i="6"/>
  <c r="AP284" i="6"/>
  <c r="AQ284" i="6"/>
  <c r="AR284" i="6"/>
  <c r="AS284" i="6"/>
  <c r="AT284" i="6"/>
  <c r="AU284" i="6"/>
  <c r="AV284" i="6"/>
  <c r="AW284" i="6"/>
  <c r="AX284" i="6"/>
  <c r="AY284" i="6"/>
  <c r="AZ284" i="6"/>
  <c r="L285" i="6"/>
  <c r="M285" i="6"/>
  <c r="N285" i="6"/>
  <c r="AO285" i="6"/>
  <c r="AP285" i="6"/>
  <c r="AQ285" i="6"/>
  <c r="AR285" i="6"/>
  <c r="AS285" i="6"/>
  <c r="AT285" i="6"/>
  <c r="AU285" i="6"/>
  <c r="AV285" i="6"/>
  <c r="AW285" i="6"/>
  <c r="AX285" i="6"/>
  <c r="AY285" i="6"/>
  <c r="AZ285" i="6"/>
  <c r="L286" i="6"/>
  <c r="M286" i="6"/>
  <c r="N286" i="6"/>
  <c r="AO286" i="6"/>
  <c r="AP286" i="6"/>
  <c r="AQ286" i="6"/>
  <c r="AR286" i="6"/>
  <c r="AS286" i="6"/>
  <c r="AT286" i="6"/>
  <c r="AU286" i="6"/>
  <c r="AV286" i="6"/>
  <c r="AW286" i="6"/>
  <c r="AX286" i="6"/>
  <c r="AY286" i="6"/>
  <c r="AZ286" i="6"/>
  <c r="K307" i="6"/>
  <c r="K308" i="6"/>
  <c r="K313" i="6"/>
  <c r="K314" i="6"/>
  <c r="AF9" i="8"/>
  <c r="AG9" i="8"/>
  <c r="AH9" i="8"/>
  <c r="AI9" i="8"/>
  <c r="AJ9" i="8"/>
  <c r="AK9" i="8"/>
  <c r="AL9" i="8"/>
  <c r="AM9" i="8"/>
  <c r="T10" i="8"/>
  <c r="U10" i="8"/>
  <c r="V10" i="8"/>
  <c r="W10" i="8"/>
  <c r="X10" i="8"/>
  <c r="Y10" i="8"/>
  <c r="Z10" i="8"/>
  <c r="AA10" i="8"/>
  <c r="AI10" i="8"/>
  <c r="AK10" i="8"/>
  <c r="AF21" i="8"/>
  <c r="AG21" i="8"/>
  <c r="AH21" i="8"/>
  <c r="AI21" i="8"/>
  <c r="AJ21" i="8"/>
  <c r="AK21" i="8"/>
  <c r="AL21" i="8"/>
  <c r="AM21" i="8"/>
  <c r="T22" i="8"/>
  <c r="U22" i="8"/>
  <c r="V22" i="8"/>
  <c r="W22" i="8"/>
  <c r="X22" i="8"/>
  <c r="Y22" i="8"/>
  <c r="Z22" i="8"/>
  <c r="AA22" i="8"/>
  <c r="AI22" i="8"/>
  <c r="AK22" i="8"/>
  <c r="AF33" i="8"/>
  <c r="AG33" i="8"/>
  <c r="AH33" i="8"/>
  <c r="AI33" i="8"/>
  <c r="AJ33" i="8"/>
  <c r="AK33" i="8"/>
  <c r="AL33" i="8"/>
  <c r="AM33" i="8"/>
  <c r="T34" i="8"/>
  <c r="U34" i="8"/>
  <c r="V34" i="8"/>
  <c r="W34" i="8"/>
  <c r="X34" i="8"/>
  <c r="Y34" i="8"/>
  <c r="Z34" i="8"/>
  <c r="AA34" i="8"/>
  <c r="AI34" i="8"/>
  <c r="AK34" i="8"/>
  <c r="D6" i="3"/>
  <c r="E6" i="3"/>
  <c r="F6" i="3"/>
  <c r="E7" i="3"/>
  <c r="E8" i="3"/>
  <c r="D9" i="3"/>
  <c r="E9" i="3"/>
  <c r="E10" i="3"/>
  <c r="D11" i="3"/>
  <c r="E11" i="3"/>
  <c r="D13" i="3"/>
  <c r="E13" i="3"/>
  <c r="G13" i="3"/>
  <c r="H13" i="3"/>
  <c r="I13" i="3"/>
  <c r="E16" i="3"/>
  <c r="E17" i="3"/>
  <c r="E18" i="3"/>
  <c r="E19" i="3"/>
  <c r="E20" i="3"/>
  <c r="E21" i="3"/>
  <c r="E23" i="3"/>
  <c r="G23" i="3"/>
  <c r="I23" i="3"/>
  <c r="E26" i="3"/>
  <c r="E27" i="3"/>
  <c r="E28" i="3"/>
  <c r="E29" i="3"/>
  <c r="E30" i="3"/>
  <c r="E31" i="3"/>
  <c r="E33" i="3"/>
  <c r="G33" i="3"/>
  <c r="I33" i="3"/>
</calcChain>
</file>

<file path=xl/comments1.xml><?xml version="1.0" encoding="utf-8"?>
<comments xmlns="http://schemas.openxmlformats.org/spreadsheetml/2006/main">
  <authors>
    <author>Wang, Alan (IBD)</author>
    <author>Alan Wang</author>
  </authors>
  <commentList>
    <comment ref="B146" authorId="0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Adjusted for SBC and other one-off items</t>
        </r>
      </text>
    </comment>
    <comment ref="B175" authorId="0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Adjusted for SBC and other one-off items</t>
        </r>
      </text>
    </comment>
    <comment ref="B206" authorId="0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Adjusted for SBC and other one-off items</t>
        </r>
      </text>
    </comment>
    <comment ref="K282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Marketing &amp; promotion at Rmb4.6bn, Staff costs and expenses at Rmb4.4bn, SBC at Rmb 973mn</t>
        </r>
      </text>
    </comment>
    <comment ref="AM365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Delivery Business
</t>
        </r>
      </text>
    </comment>
    <comment ref="J405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Restate from 82.9% o 83.7%</t>
        </r>
      </text>
    </comment>
    <comment ref="J406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Restate from 58.7% to 60.6%</t>
        </r>
      </text>
    </comment>
    <comment ref="J407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Restate from 121.7% to 104.1%</t>
        </r>
      </text>
    </comment>
    <comment ref="J408" authorId="1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Restate from 49% to 50.1%</t>
        </r>
      </text>
    </comment>
  </commentList>
</comments>
</file>

<file path=xl/comments2.xml><?xml version="1.0" encoding="utf-8"?>
<comments xmlns="http://schemas.openxmlformats.org/spreadsheetml/2006/main">
  <authors>
    <author>Alan Wang</author>
    <author>Wang, Alan (IBD)</author>
  </authors>
  <commentList>
    <comment ref="AN12" authorId="0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Now reported as other assets</t>
        </r>
      </text>
    </comment>
    <comment ref="C143" authorId="1">
      <text>
        <r>
          <rPr>
            <b/>
            <sz val="9"/>
            <color indexed="81"/>
            <rFont val="Tahoma"/>
            <family val="2"/>
          </rPr>
          <t>Wang, Alan:</t>
        </r>
        <r>
          <rPr>
            <sz val="9"/>
            <color indexed="81"/>
            <rFont val="Tahoma"/>
            <family val="2"/>
          </rPr>
          <t xml:space="preserve">
Assume 5.5% per last short-term loan in 2017</t>
        </r>
      </text>
    </comment>
    <comment ref="C171" authorId="1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Assume full year</t>
        </r>
      </text>
    </comment>
  </commentList>
</comments>
</file>

<file path=xl/comments3.xml><?xml version="1.0" encoding="utf-8"?>
<comments xmlns="http://schemas.openxmlformats.org/spreadsheetml/2006/main">
  <authors>
    <author>Wang, Alan (IBD)</author>
  </authors>
  <commentList>
    <comment ref="B137" authorId="0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Adjusted for SBC and other one-off items</t>
        </r>
      </text>
    </comment>
  </commentList>
</comments>
</file>

<file path=xl/comments4.xml><?xml version="1.0" encoding="utf-8"?>
<comments xmlns="http://schemas.openxmlformats.org/spreadsheetml/2006/main">
  <authors>
    <author>Alan Wang</author>
    <author>Wang, Alan (IBD)</author>
  </authors>
  <commentList>
    <comment ref="AN12" authorId="0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Now reported as other assets</t>
        </r>
      </text>
    </comment>
    <comment ref="C143" authorId="1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Assume full year</t>
        </r>
      </text>
    </comment>
  </commentList>
</comments>
</file>

<file path=xl/comments5.xml><?xml version="1.0" encoding="utf-8"?>
<comments xmlns="http://schemas.openxmlformats.org/spreadsheetml/2006/main">
  <authors>
    <author>Alan Wang</author>
    <author>Wang, Alan (IBD)</author>
  </authors>
  <commentList>
    <comment ref="K8" authorId="0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Top 5 categories = 50% of online marketing revenues
1. Retail &amp; Ecommerce
2. Network Services
3. Healthcare
4. Franchise Investment
5. Financial Services
6. Education
7. Online Games
8. Transportation
9. Construction &amp; Decoration
10.Business Services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Wind down a O2O business, 直通车, that accounts for 1% of revenue and has 10k customers. This used to be a Nuomi.</t>
        </r>
      </text>
    </comment>
    <comment ref="AN81" authorId="0">
      <text>
        <r>
          <rPr>
            <b/>
            <sz val="9"/>
            <color indexed="81"/>
            <rFont val="Tahoma"/>
            <family val="2"/>
          </rPr>
          <t>Alan Wang:</t>
        </r>
        <r>
          <rPr>
            <sz val="9"/>
            <color indexed="81"/>
            <rFont val="Tahoma"/>
            <family val="2"/>
          </rPr>
          <t xml:space="preserve">
1. daily content distributed increased 20% QoQ
2. Video content contribution at 40% up from 14% in 4Q16
3. Baijiahao content creator increase from 200k in 1/1/2017 to 1mn at the end of 12/31/2017</t>
        </r>
      </text>
    </comment>
    <comment ref="B196" authorId="1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Subscription fee at:
$3.99 / month (exp: 1 month)
$3.33 / month (exp: 3 months for $9.99)
$3.17 / month (exp: 12 months for $37.99)
$2.49 per month (no expiry date)</t>
        </r>
      </text>
    </comment>
    <comment ref="B202" authorId="1">
      <text>
        <r>
          <rPr>
            <b/>
            <sz val="9"/>
            <color indexed="81"/>
            <rFont val="Tahoma"/>
            <family val="2"/>
          </rPr>
          <t>Wang, Alan (IBD):</t>
        </r>
        <r>
          <rPr>
            <sz val="9"/>
            <color indexed="81"/>
            <rFont val="Tahoma"/>
            <family val="2"/>
          </rPr>
          <t xml:space="preserve">
Factored in Monthly Churn</t>
        </r>
      </text>
    </comment>
  </commentList>
</comments>
</file>

<file path=xl/sharedStrings.xml><?xml version="1.0" encoding="utf-8"?>
<sst xmlns="http://schemas.openxmlformats.org/spreadsheetml/2006/main" count="2106" uniqueCount="1120">
  <si>
    <t>Time-Spent</t>
  </si>
  <si>
    <t>DAU / MAU</t>
  </si>
  <si>
    <t>MM</t>
  </si>
  <si>
    <t>iQiyi</t>
  </si>
  <si>
    <t>Source</t>
  </si>
  <si>
    <t>Unit</t>
  </si>
  <si>
    <t>Current Share Price (Formula)</t>
  </si>
  <si>
    <t>FX (CNY / USD) (Formula)</t>
  </si>
  <si>
    <t>FX (CNY / USD) (Hardcode)</t>
  </si>
  <si>
    <t>Cases (Bull = 1, Base = 2, Bear = 3)</t>
  </si>
  <si>
    <t>Circulation (0 = Off, 1 = On)</t>
  </si>
  <si>
    <t>Model Control</t>
  </si>
  <si>
    <t>Hold Co. Discount</t>
  </si>
  <si>
    <t>Equity Value</t>
  </si>
  <si>
    <t>Enterprise Value</t>
  </si>
  <si>
    <t>Apollo</t>
  </si>
  <si>
    <t>105MM ADS at Current Share Price</t>
  </si>
  <si>
    <t>Ctrip</t>
  </si>
  <si>
    <t>Search</t>
  </si>
  <si>
    <t>Metric</t>
  </si>
  <si>
    <t>Value / ADS ($)</t>
  </si>
  <si>
    <t>Value ($mn)</t>
  </si>
  <si>
    <t>Methodology</t>
  </si>
  <si>
    <t>Bear Case</t>
  </si>
  <si>
    <t>Bull Case</t>
  </si>
  <si>
    <t>Base Case</t>
  </si>
  <si>
    <t>Baidu SOTP Valuation</t>
  </si>
  <si>
    <t>Transaction Services</t>
  </si>
  <si>
    <t>Bandwidth Costs</t>
  </si>
  <si>
    <t xml:space="preserve">Selling &amp; Marketing </t>
  </si>
  <si>
    <t>Content Costs</t>
  </si>
  <si>
    <t>Traffic Acquisition Costs</t>
  </si>
  <si>
    <t>Breakdown</t>
  </si>
  <si>
    <t>Research &amp; Development</t>
  </si>
  <si>
    <t xml:space="preserve">General &amp; Administrative </t>
  </si>
  <si>
    <t>Operational Costs</t>
  </si>
  <si>
    <t>Depreciation of servers and other equipment</t>
  </si>
  <si>
    <t xml:space="preserve">Bandwidth Costs </t>
  </si>
  <si>
    <t>Sales Tax and Surcharges</t>
  </si>
  <si>
    <t>Group Growth</t>
  </si>
  <si>
    <t>Sales &amp; marketing</t>
  </si>
  <si>
    <t>Staff Costs</t>
  </si>
  <si>
    <t>Business tax and surcharges</t>
  </si>
  <si>
    <t>Delivery Costs</t>
  </si>
  <si>
    <t>Marketing &amp; Promotional</t>
  </si>
  <si>
    <t>Bandwidth</t>
  </si>
  <si>
    <t>TAC</t>
  </si>
  <si>
    <t>Business tax and surcharge</t>
  </si>
  <si>
    <t>Promotion Expenses</t>
  </si>
  <si>
    <t>Staff costs</t>
  </si>
  <si>
    <t>Bad Debt Provision</t>
  </si>
  <si>
    <t>Palatform Payment Charges</t>
  </si>
  <si>
    <t>Depreciation of Servers</t>
  </si>
  <si>
    <t>OPC</t>
  </si>
  <si>
    <t>Paid Clicks Growth</t>
  </si>
  <si>
    <t>20-F Disclosure</t>
  </si>
  <si>
    <t>Inter-segment</t>
  </si>
  <si>
    <t>Qunar Advertising Only</t>
  </si>
  <si>
    <t>Qunar Total</t>
  </si>
  <si>
    <t>Transaction Services (excl. Qunar)</t>
  </si>
  <si>
    <t>iQiyi - Advertising</t>
  </si>
  <si>
    <t>Feed</t>
  </si>
  <si>
    <t>Search (ex-feed)</t>
  </si>
  <si>
    <t>Rev Growth QoQ %</t>
  </si>
  <si>
    <t>Rev Growth YoY %</t>
  </si>
  <si>
    <t>Core Businesses Revenues (ex iQiyi, Disposed Businesses)</t>
  </si>
  <si>
    <t>Core Businesses (ex iQiyi, Disposed Businesses)</t>
  </si>
  <si>
    <t>Revenue Breakdown</t>
  </si>
  <si>
    <t>Total OP Delta</t>
  </si>
  <si>
    <t>Total Revenue Delta</t>
  </si>
  <si>
    <t>Total Revenue</t>
  </si>
  <si>
    <t>Working</t>
  </si>
  <si>
    <t>Search + Transaction Services Margin</t>
  </si>
  <si>
    <t>Inter-Segment</t>
  </si>
  <si>
    <t>Margin Drag</t>
  </si>
  <si>
    <t>Search Margin</t>
  </si>
  <si>
    <t>% Margin</t>
  </si>
  <si>
    <t>Group Consolidated Operating Profit</t>
  </si>
  <si>
    <t>SBC (Unallocated)</t>
  </si>
  <si>
    <t>Group Consolidated Non-GAAP Operating Profit</t>
  </si>
  <si>
    <t>OPM %</t>
  </si>
  <si>
    <t>Operating Profit</t>
  </si>
  <si>
    <t>Revenue</t>
  </si>
  <si>
    <t>Segmental Financials</t>
  </si>
  <si>
    <t xml:space="preserve">Total GAAP R&amp;D </t>
  </si>
  <si>
    <t>As a % of gross revenue</t>
  </si>
  <si>
    <t>As a % of total</t>
  </si>
  <si>
    <t>Total</t>
  </si>
  <si>
    <t>RMB MM</t>
  </si>
  <si>
    <t>Total GAAP SG&amp;A Breakdown</t>
  </si>
  <si>
    <t>GAAP Metrics</t>
  </si>
  <si>
    <t>Amortization of intangible assets</t>
  </si>
  <si>
    <t>Depreciation (Expenses)</t>
  </si>
  <si>
    <t>Depreciation (COGS)</t>
  </si>
  <si>
    <t>Depreciation &amp; Amrotization</t>
  </si>
  <si>
    <t>As a % of Non-GAAP Net Income</t>
  </si>
  <si>
    <t>As a % of Net Revenue</t>
  </si>
  <si>
    <t>Selling, General, and Adminstrative</t>
  </si>
  <si>
    <t>Cost of revenues</t>
  </si>
  <si>
    <t>SBC</t>
  </si>
  <si>
    <t>% Dilution</t>
  </si>
  <si>
    <t>Basic ADS, % QoQ Growth</t>
  </si>
  <si>
    <t>Basic ADS, % YoY Growth</t>
  </si>
  <si>
    <t>Diluted ADS, weighted avg (mn)</t>
  </si>
  <si>
    <t>Basic ADS, weighted avg (mn)</t>
  </si>
  <si>
    <t>Non-GAAP Diluted EPADS</t>
  </si>
  <si>
    <t>Non-GAAP Basic EPADS</t>
  </si>
  <si>
    <t>GAAP Diluted EPADS</t>
  </si>
  <si>
    <t>GAAP Basic EPADS</t>
  </si>
  <si>
    <t>EPADS</t>
  </si>
  <si>
    <t>% Margin (on Gross Revenue)</t>
  </si>
  <si>
    <t>% Margin (on Net Revenue)</t>
  </si>
  <si>
    <t>Net Income</t>
  </si>
  <si>
    <t>EBIT</t>
  </si>
  <si>
    <t>EBITDA</t>
  </si>
  <si>
    <t>Gross Profit</t>
  </si>
  <si>
    <t>Non-GAAP Metrics</t>
  </si>
  <si>
    <t xml:space="preserve">Net Income Attributable to Baidu </t>
  </si>
  <si>
    <t>Less Net Loss Attributable to NCI</t>
  </si>
  <si>
    <t xml:space="preserve">% Tax rate </t>
  </si>
  <si>
    <t>Tax Expenses</t>
  </si>
  <si>
    <t>Profit Before Tax</t>
  </si>
  <si>
    <t>Income / (loss) from equity method investments</t>
  </si>
  <si>
    <t>Other Income, net, including exchange gains or losses</t>
  </si>
  <si>
    <t>Interest Expense</t>
  </si>
  <si>
    <t>Interest Income</t>
  </si>
  <si>
    <t>Operating Expenses</t>
  </si>
  <si>
    <t>Cost of Revenue</t>
  </si>
  <si>
    <t>% Growth</t>
  </si>
  <si>
    <t>Net Revenue</t>
  </si>
  <si>
    <t>Total Gross Revenue</t>
  </si>
  <si>
    <t>Inter-Segment Revenue</t>
  </si>
  <si>
    <t>By Segment</t>
  </si>
  <si>
    <t>Other Revenues</t>
  </si>
  <si>
    <t>Online Marketing Revenues</t>
  </si>
  <si>
    <t>By Services</t>
  </si>
  <si>
    <t>Gross Revenue</t>
  </si>
  <si>
    <t xml:space="preserve">Financial </t>
  </si>
  <si>
    <t>Position</t>
  </si>
  <si>
    <t>Baidu Income Statement</t>
  </si>
  <si>
    <t>Accumulative</t>
  </si>
  <si>
    <t>Deferred revenue as a % of gross revenue</t>
  </si>
  <si>
    <t>Deposit as a % of gross revenue</t>
  </si>
  <si>
    <t>Average payables as a % of cash COGS &amp; Expenses</t>
  </si>
  <si>
    <t>Other assets as a % of gross revenues</t>
  </si>
  <si>
    <t>Loans and interest receivable, non-current as a % of other revenues (ex-iQiyi Subscription)</t>
  </si>
  <si>
    <t>Loans and interest receivable, current as a % of other revenues (ex-iQiyi Subscription)</t>
  </si>
  <si>
    <t>Prepaid expenses as a % of cash expenses</t>
  </si>
  <si>
    <t>Average receivables as a % of gross revenue</t>
  </si>
  <si>
    <t>Change in working Capital</t>
  </si>
  <si>
    <t>Liabilities</t>
  </si>
  <si>
    <t>Loans and interest receivable, non-current</t>
  </si>
  <si>
    <t>Loans and interest receivable, current</t>
  </si>
  <si>
    <t>Assets</t>
  </si>
  <si>
    <t>Working Capital</t>
  </si>
  <si>
    <t>Total Depreciation &amp; Amortization</t>
  </si>
  <si>
    <t>Purchase of intangible asset as a % of Content Costs</t>
  </si>
  <si>
    <t>Purchase of intangible asset as a % of Revenue</t>
  </si>
  <si>
    <t xml:space="preserve">Amortization of Intangible Assets as a % of Opening Balance </t>
  </si>
  <si>
    <t>Amortization of Licensed Copyrights as a % of (Opening Balance + New Purchases)</t>
  </si>
  <si>
    <t>Ending Balance</t>
  </si>
  <si>
    <t>Other Adjustment</t>
  </si>
  <si>
    <t xml:space="preserve">Purchase of Intangible Assets </t>
  </si>
  <si>
    <t>Amortization of Licensed Copyrights</t>
  </si>
  <si>
    <t>Amortization of Intangible Assets</t>
  </si>
  <si>
    <t>Opening Balance</t>
  </si>
  <si>
    <t>Intangible Assets</t>
  </si>
  <si>
    <t>Depreciation recognized in G&amp;A</t>
  </si>
  <si>
    <t>Depreciation recognized in COGS</t>
  </si>
  <si>
    <t>Depciation as a % of Opening PP&amp;E</t>
  </si>
  <si>
    <t>Capex as a % of Revenue</t>
  </si>
  <si>
    <t>Disposal / Writeoffs / Others</t>
  </si>
  <si>
    <t>Capex</t>
  </si>
  <si>
    <t xml:space="preserve">Total Depreciation </t>
  </si>
  <si>
    <t>Fixed Assets</t>
  </si>
  <si>
    <t>PP&amp;E &amp; Intangible Calculation</t>
  </si>
  <si>
    <t>Total Interest Payment</t>
  </si>
  <si>
    <t>Note Payable ($600MM due Jun 26, 2027)</t>
  </si>
  <si>
    <t>Note Payable ($900MM due Jun 26, 2022)</t>
  </si>
  <si>
    <t>Note Payable ($500MM due Jun 30, 2025)</t>
  </si>
  <si>
    <t>Note Payable ($750MM due Jun 30, 2020)</t>
  </si>
  <si>
    <t>Note Payable ($1Bn due Jun 9, 2019)</t>
  </si>
  <si>
    <t>Note Payable ($1Bn due Aug 6, 2018)</t>
  </si>
  <si>
    <t>Note Payable ($750MM due Nov 28, 2022)</t>
  </si>
  <si>
    <t>Note Payable ($750MM due Nov 28, 2017)</t>
  </si>
  <si>
    <t>Notes Payable</t>
  </si>
  <si>
    <t>iQiyi Convertible Notes Payable ($1.53Bn due Jan 25, 2018)</t>
  </si>
  <si>
    <t>Notes</t>
  </si>
  <si>
    <t>Long-term loans ($250MM due Nov 30, 2021)</t>
  </si>
  <si>
    <t>Long-term loans ($500MM due Jun 8, 2021)</t>
  </si>
  <si>
    <t>Long-term loans ($1Bn due Jun 8, 2021)</t>
  </si>
  <si>
    <t>Long-term</t>
  </si>
  <si>
    <t>Short-term loans</t>
  </si>
  <si>
    <t>Short-term &amp; Current Portion of Long-term</t>
  </si>
  <si>
    <t>Loans</t>
  </si>
  <si>
    <t>Date / Due Date</t>
  </si>
  <si>
    <t>Interest Payment</t>
  </si>
  <si>
    <t>Total Notes Payable</t>
  </si>
  <si>
    <t>Interest Rate</t>
  </si>
  <si>
    <t>Instruments</t>
  </si>
  <si>
    <t>Debt Schedule</t>
  </si>
  <si>
    <t>% Interest rate on Cash</t>
  </si>
  <si>
    <t>Total Interest Income Generating Cash Instruments</t>
  </si>
  <si>
    <t>Cash and cash equivalents at end of period</t>
  </si>
  <si>
    <t>Cash and cash equivalents at beginning of period</t>
  </si>
  <si>
    <t>Net increase in cash and cash equivalents</t>
  </si>
  <si>
    <t>Net cash provided by financing activities</t>
  </si>
  <si>
    <t>Change in debt</t>
  </si>
  <si>
    <t>Cash flows from financing activities</t>
  </si>
  <si>
    <t>Net cash used in investing activities</t>
  </si>
  <si>
    <t>Acquisition of intangible assets</t>
  </si>
  <si>
    <t>Acquisition of fixed assets</t>
  </si>
  <si>
    <t>Cash flows from investing activities</t>
  </si>
  <si>
    <t>Net cash (used in) generated from operating activities</t>
  </si>
  <si>
    <t>Change in operating assets and liabilities:</t>
  </si>
  <si>
    <t>Stock-based compensation</t>
  </si>
  <si>
    <t>Depreciation of fixed assets</t>
  </si>
  <si>
    <t>Net (loss) income</t>
  </si>
  <si>
    <t>Cash flow from operating activities</t>
  </si>
  <si>
    <t>Cash Flow Statement</t>
  </si>
  <si>
    <t>Check</t>
  </si>
  <si>
    <t>Total liabilities and equity</t>
  </si>
  <si>
    <t>Total equity</t>
  </si>
  <si>
    <t>Noncontrolling interests</t>
  </si>
  <si>
    <t>Shareholders equity</t>
  </si>
  <si>
    <t>Other comprehensive income (losses)</t>
  </si>
  <si>
    <t>Retained earnings</t>
  </si>
  <si>
    <t>Additional paid-in capital</t>
  </si>
  <si>
    <t>Ordinary shares</t>
  </si>
  <si>
    <t>Redeemable noncontrolling interests</t>
  </si>
  <si>
    <t>Total liabilities</t>
  </si>
  <si>
    <t>Total non-current liabilities</t>
  </si>
  <si>
    <t>Capital lease obligation, non-current</t>
  </si>
  <si>
    <t>Other Non Current Liabilities</t>
  </si>
  <si>
    <t>Deferred tax liability, non-current</t>
  </si>
  <si>
    <t>Due to related parties, non-current</t>
  </si>
  <si>
    <t>Deferred income</t>
  </si>
  <si>
    <t>Notes payable</t>
  </si>
  <si>
    <t xml:space="preserve">Long-term loans </t>
  </si>
  <si>
    <t>Total current liabilities</t>
  </si>
  <si>
    <t>Notes payable, current portion</t>
  </si>
  <si>
    <t>Deferred revenue and income</t>
  </si>
  <si>
    <t>Customers' deposits</t>
  </si>
  <si>
    <t>Due to related parties</t>
  </si>
  <si>
    <t>Accounts payable and accrued liabilities</t>
  </si>
  <si>
    <t>Capital lease obligation, current</t>
  </si>
  <si>
    <t>Long-term loans, current portion</t>
  </si>
  <si>
    <t>Convertible notes payable, current portion</t>
  </si>
  <si>
    <t>Liability &amp; Equity</t>
  </si>
  <si>
    <t>Total assets</t>
  </si>
  <si>
    <t>Total non-current assets</t>
  </si>
  <si>
    <t>Loans and interest receivable, net</t>
  </si>
  <si>
    <t>Other assets</t>
  </si>
  <si>
    <t>Due from related parties, non-current</t>
  </si>
  <si>
    <t>Deferred tax assets</t>
  </si>
  <si>
    <t>Long-term investments, net</t>
  </si>
  <si>
    <t>Goodwill</t>
  </si>
  <si>
    <t>Intangible assets, net</t>
  </si>
  <si>
    <t>Fixed assets, net</t>
  </si>
  <si>
    <t>Total current assets</t>
  </si>
  <si>
    <t>Other invested securities</t>
  </si>
  <si>
    <t>Deferred tax asset</t>
  </si>
  <si>
    <t>Prepaid expenses and other current assets</t>
  </si>
  <si>
    <t>Due from related parties, current</t>
  </si>
  <si>
    <t>Accounts receivable, net</t>
  </si>
  <si>
    <t>Short-term investment</t>
  </si>
  <si>
    <t>Restricted cash</t>
  </si>
  <si>
    <t>Cash and cash equivalents</t>
  </si>
  <si>
    <t>Balance Sheet</t>
  </si>
  <si>
    <t>Baidu Balance Sheet and Cash Flow Statement</t>
  </si>
  <si>
    <t xml:space="preserve">% YoY Growth </t>
  </si>
  <si>
    <t>% of Revenue</t>
  </si>
  <si>
    <t>SBC (Expenses)</t>
  </si>
  <si>
    <t>SBC (COGS)</t>
  </si>
  <si>
    <t>In '000</t>
  </si>
  <si>
    <t>Non-GAAP Costs per Generial &amp; Administrative Employee</t>
  </si>
  <si>
    <t>Non-GAAP Costs per Operating Services Employee</t>
  </si>
  <si>
    <t>Non-GAAP Costs per Sales &amp; Marketing Employee</t>
  </si>
  <si>
    <t>Revenue per Sales &amp; Marketing Employee</t>
  </si>
  <si>
    <t>Research &amp; development</t>
  </si>
  <si>
    <t>General &amp; administrative</t>
  </si>
  <si>
    <t>Operating &amp; service</t>
  </si>
  <si>
    <t>Total employees</t>
  </si>
  <si>
    <t>Employee Metrics</t>
  </si>
  <si>
    <t>% of Gross Revenues</t>
  </si>
  <si>
    <t xml:space="preserve">Cash General &amp; Administrative </t>
  </si>
  <si>
    <t>% of Search + Transaction Services Revenues</t>
  </si>
  <si>
    <t>% of Core + Transaction Services</t>
  </si>
  <si>
    <t>Autonomous Driving</t>
  </si>
  <si>
    <t xml:space="preserve">Other services </t>
  </si>
  <si>
    <t>Advertising Revenue</t>
  </si>
  <si>
    <t>Qunar</t>
  </si>
  <si>
    <t>Consolidated</t>
  </si>
  <si>
    <t>Advertising</t>
  </si>
  <si>
    <t>Financials</t>
  </si>
  <si>
    <t>1-Month Churn Rate</t>
  </si>
  <si>
    <t>Automatic Renewal (per Year)</t>
  </si>
  <si>
    <t>Automatic Renewal (per Half Year)</t>
  </si>
  <si>
    <t>Automatic Renewal (per Quarter)</t>
  </si>
  <si>
    <t>Automatic Renewal (per Month)</t>
  </si>
  <si>
    <t>Diamond Member</t>
  </si>
  <si>
    <t>12-Month Only</t>
  </si>
  <si>
    <t>3-Month Only</t>
  </si>
  <si>
    <t>1-Month Only</t>
  </si>
  <si>
    <t>Gold Member</t>
  </si>
  <si>
    <t>% YoY Growth</t>
  </si>
  <si>
    <t>Monthly APRU</t>
  </si>
  <si>
    <t>% QoQ Growth</t>
  </si>
  <si>
    <t>Advertising Revenue per Non-Subscribing MAU</t>
  </si>
  <si>
    <t>Implied CPM</t>
  </si>
  <si>
    <t>Estimated Number of Impressions</t>
  </si>
  <si>
    <t>Average Ads per Hour</t>
  </si>
  <si>
    <t>Discount of the Non-Subscibers / Total Time Spent Ratio to Non-Subscribers / Total MAU Ratio</t>
  </si>
  <si>
    <t>Time-Spent By Non-Subscribing Users</t>
  </si>
  <si>
    <t>MM Hours</t>
  </si>
  <si>
    <t>Non-Subscribing MAU</t>
  </si>
  <si>
    <t>Operating Metrics</t>
  </si>
  <si>
    <t>% of Total</t>
  </si>
  <si>
    <t>PC Search</t>
  </si>
  <si>
    <t>Filings</t>
  </si>
  <si>
    <t>Mobile Search</t>
  </si>
  <si>
    <t>Mobile Search Clicks per Mobile Baidu MAU</t>
  </si>
  <si>
    <t>Mobile / PC Clicks</t>
  </si>
  <si>
    <t>PC Clicks</t>
  </si>
  <si>
    <t>% of Total Mobile Clicks</t>
  </si>
  <si>
    <t>Feed Clicks</t>
  </si>
  <si>
    <t>Search Clicks</t>
  </si>
  <si>
    <t>Mobile Clicks</t>
  </si>
  <si>
    <t>Estimated Paid Clicks</t>
  </si>
  <si>
    <t>Feed Clicks / 1,000 Hours Time-Spent</t>
  </si>
  <si>
    <t>Feed Revenue / Time-Spent</t>
  </si>
  <si>
    <t>Hours</t>
  </si>
  <si>
    <t>Monthly Time-Spent / MAU</t>
  </si>
  <si>
    <t>MM Minutes</t>
  </si>
  <si>
    <t>Mobile Baidu DAU</t>
  </si>
  <si>
    <t>Mobile Baidu MAU</t>
  </si>
  <si>
    <t>Feed DAU / Mobile Baidu DAU</t>
  </si>
  <si>
    <t>Transcript</t>
  </si>
  <si>
    <t>Feed DAU</t>
  </si>
  <si>
    <t>Wallet Activated Account</t>
  </si>
  <si>
    <t>Mobile Search MAU</t>
  </si>
  <si>
    <t>User Metrics</t>
  </si>
  <si>
    <t>Deviation (Structural) due to AI Technology</t>
  </si>
  <si>
    <t>N.A.</t>
  </si>
  <si>
    <t>Intercept for CPC / Active Customers Regression</t>
  </si>
  <si>
    <t>Assumed Mobile CPC / PC CPC</t>
  </si>
  <si>
    <t>PC CPC</t>
  </si>
  <si>
    <t>Delta</t>
  </si>
  <si>
    <t>Mobile CPC</t>
  </si>
  <si>
    <t>RMB</t>
  </si>
  <si>
    <t>Estimated Blended CPC</t>
  </si>
  <si>
    <t>Average Revenue / Customers</t>
  </si>
  <si>
    <t>% of Qunar</t>
  </si>
  <si>
    <t>Excluding Qunar</t>
  </si>
  <si>
    <t>Average Quarterly Active Customer / Annual Active Customer</t>
  </si>
  <si>
    <t xml:space="preserve">% QoQ Growth </t>
  </si>
  <si>
    <t>'000</t>
  </si>
  <si>
    <t>Online Marketing Customers</t>
  </si>
  <si>
    <t>Intercept</t>
  </si>
  <si>
    <t>M(Merchants)</t>
  </si>
  <si>
    <t>M(Clicks)</t>
  </si>
  <si>
    <t>Merchant Metrics</t>
  </si>
  <si>
    <t>Regression</t>
  </si>
  <si>
    <t>Clicks</t>
  </si>
  <si>
    <t>Merchants</t>
  </si>
  <si>
    <t>Core Search Business</t>
  </si>
  <si>
    <t>Operating Model</t>
  </si>
  <si>
    <t>Depreciation</t>
  </si>
  <si>
    <t>Baidu Inc.</t>
  </si>
  <si>
    <t>Monthly APRU (YoY Growth)</t>
  </si>
  <si>
    <t>Subscribers (QoQ Growth)</t>
  </si>
  <si>
    <t>Time Spent / MAU (YoY Growth)</t>
  </si>
  <si>
    <t>Implied CPM (YoY Growth)</t>
  </si>
  <si>
    <t>Mobile Search Clicks per Mobile Baidu MAU (YoY Growth)</t>
  </si>
  <si>
    <t>CPC Upside</t>
  </si>
  <si>
    <t>Online Marketing Customers (YoY Growth)</t>
  </si>
  <si>
    <t>Impact</t>
  </si>
  <si>
    <t>Change in investments</t>
  </si>
  <si>
    <t>Effect of exchange rate changes on cash</t>
  </si>
  <si>
    <t>Recurring Net Income</t>
  </si>
  <si>
    <t>Non-GAAP Basic Recurring EPADS</t>
  </si>
  <si>
    <t>Non-GAAP Diluted Recurring EPADS</t>
  </si>
  <si>
    <t>Net Profit</t>
  </si>
  <si>
    <t>Gain associated with the dilution of equity method of investees (Other non-GAAP item)</t>
  </si>
  <si>
    <t>Feed Revenue / Mobile Baidu DAU</t>
  </si>
  <si>
    <t>12x 2019E EV / EBIT</t>
  </si>
  <si>
    <t>Implied Market Value by 2018E Year End</t>
  </si>
  <si>
    <t>Summary</t>
  </si>
  <si>
    <t>Mix %</t>
  </si>
  <si>
    <t>YoY %</t>
  </si>
  <si>
    <t>QoQ %</t>
  </si>
  <si>
    <t>Non-GAAP Operating Profit Margin %</t>
  </si>
  <si>
    <t>Period end basic shares outstnading (mn)</t>
  </si>
  <si>
    <t>Current diluted shares outstanding (mn)</t>
  </si>
  <si>
    <t>Current basic shares outstanding (mn)</t>
  </si>
  <si>
    <t>Value-Added Tax</t>
  </si>
  <si>
    <t>Surcharges</t>
  </si>
  <si>
    <t>VAT</t>
  </si>
  <si>
    <t>Current Share Price (February 24, 2018)</t>
  </si>
  <si>
    <t>AwABTAVMT0NBTAFI/////wFQAwAAAB9DSVEuQklEVS5JUV9MQVNUU0FMRVBSSUNFLjQzMTU2AQAAAEWKBgACAAAABjI1MC43NABQpeJ76XvVCIuL5Xvpe9UIH0NJUS5DVFJQLklRX0xBU1RTQUxFUFJJQ0UuNDMxNTYBAAAA84sKAAIAAAAFNDcuNDUAzRhklUZ81QikhCXIR3zVCCJDSVEuJFVTRENOWS5JUV9MQVNUU0FMRVBSSUNFLjQzMTU2AQAAAALtWgACAAAACzAuMTU3ODk1NTY4AHZ9kIrpe9UIsWOTiul71Qg=</t>
  </si>
  <si>
    <t>iQiyi Income Statement</t>
  </si>
  <si>
    <t>Baidu Core</t>
  </si>
  <si>
    <t>Baidu Delivery Costs</t>
  </si>
  <si>
    <t>Content (Feed)</t>
  </si>
  <si>
    <t>IFC (Rmb500MM due Dec 28, 2018)</t>
  </si>
  <si>
    <t>Note Payable ($1Bn due Sep 29, 2023)</t>
  </si>
  <si>
    <t>Note Payable ($500MM due March 29, 2028)</t>
  </si>
  <si>
    <t>Membership Services</t>
  </si>
  <si>
    <t>Online advertising Services</t>
  </si>
  <si>
    <t>Content Distribution</t>
  </si>
  <si>
    <t>Others</t>
  </si>
  <si>
    <t>Net Income Attributable to iQiyi</t>
  </si>
  <si>
    <t>Advertising Expenses</t>
  </si>
  <si>
    <t>Sales &amp; Marketing Personnel Compensation Expenses</t>
  </si>
  <si>
    <t>iQiyi Employee Metrics</t>
  </si>
  <si>
    <t>Sales &amp; Marketing</t>
  </si>
  <si>
    <t>Profesional Service Fees</t>
  </si>
  <si>
    <t>General &amp; Administrative</t>
  </si>
  <si>
    <t>General &amp; Administrative Personnel Compensation Expenses</t>
  </si>
  <si>
    <t>Research &amp; Development Personnel Compensation Expenses</t>
  </si>
  <si>
    <t>China Minsheng Bank (Rmb131.5MM due Nov 30, 2018)</t>
  </si>
  <si>
    <t>China Minsheng Bank (Rmb62.2MM due Nov 30, 2018)</t>
  </si>
  <si>
    <t>F-1 Disclosure</t>
  </si>
  <si>
    <t>Online Entertainment</t>
  </si>
  <si>
    <t>RMB Bn</t>
  </si>
  <si>
    <t>iResearch</t>
  </si>
  <si>
    <t>Internet Users</t>
  </si>
  <si>
    <t>Mobile Internet Users</t>
  </si>
  <si>
    <t>Entertainment</t>
  </si>
  <si>
    <t>Minutes</t>
  </si>
  <si>
    <t>Average Daily Time-Spent on TV</t>
  </si>
  <si>
    <t>Average Daily Time-Spent on Mobile Internet Videos</t>
  </si>
  <si>
    <t>Big Picture Market Size</t>
  </si>
  <si>
    <t>China Internet Video Users</t>
  </si>
  <si>
    <t>Internet Video Membership Services</t>
  </si>
  <si>
    <t>Membership Paying Ratio</t>
  </si>
  <si>
    <t>%</t>
  </si>
  <si>
    <t>Netflix Analogy</t>
  </si>
  <si>
    <t>Paying Ratio</t>
  </si>
  <si>
    <t>ARPPU</t>
  </si>
  <si>
    <t>$</t>
  </si>
  <si>
    <t>U.S. Box Office</t>
  </si>
  <si>
    <t>Netflix Domestic Streaming Membership Services Revenues</t>
  </si>
  <si>
    <t>$Bn</t>
  </si>
  <si>
    <t>China Box Office</t>
  </si>
  <si>
    <t>China Streaming Membership Services Revenues</t>
  </si>
  <si>
    <t>Online Advertising</t>
  </si>
  <si>
    <t>In-Feed Online Advertising</t>
  </si>
  <si>
    <t>TV Advertising</t>
  </si>
  <si>
    <t>Internet Video Advertising</t>
  </si>
  <si>
    <t>Content Production and Operation</t>
  </si>
  <si>
    <t>iQiyi Cap Table</t>
  </si>
  <si>
    <t>Baidu</t>
  </si>
  <si>
    <t>Xiaomi</t>
  </si>
  <si>
    <t>Hillhouse</t>
  </si>
  <si>
    <t>Yu Gong - CEO</t>
  </si>
  <si>
    <t>Other Management</t>
  </si>
  <si>
    <t>Class A</t>
  </si>
  <si>
    <t>Class B</t>
  </si>
  <si>
    <t>Voting</t>
  </si>
  <si>
    <t>Total (Pre-Deal)</t>
  </si>
  <si>
    <t>Total (Post-Deal)</t>
  </si>
  <si>
    <t>Total (Post-Deal and Shoe)</t>
  </si>
  <si>
    <t>PreShoe</t>
  </si>
  <si>
    <t>PostShoe</t>
  </si>
  <si>
    <t>iQiyi Cap Table (Real with Class B shares issued to Baidu) - Placement at IPO</t>
  </si>
  <si>
    <t>Economic</t>
  </si>
  <si>
    <t>Licensed Copyrights, net</t>
  </si>
  <si>
    <t>Produced Content, net</t>
  </si>
  <si>
    <t>Customer advances and deferred revenue</t>
  </si>
  <si>
    <t>Accured expenses and other liabilities</t>
  </si>
  <si>
    <t>Accounts payable</t>
  </si>
  <si>
    <t>Other non-current liabilities</t>
  </si>
  <si>
    <t>Total mezzanine equity</t>
  </si>
  <si>
    <t>Accretion of redeemable convertible preferred shares</t>
  </si>
  <si>
    <t>Extinguishment and reissuance of Series B preferred shares</t>
  </si>
  <si>
    <t>Net Income Attributable to Ordinary Shareholders</t>
  </si>
  <si>
    <t>Amortization of licensed copyrights</t>
  </si>
  <si>
    <t>Amortization and impairment of produced content</t>
  </si>
  <si>
    <t>Impairment of licensed copyrights</t>
  </si>
  <si>
    <t>Impairment of long-term investments</t>
  </si>
  <si>
    <t>Provision / (reversal) for other assets</t>
  </si>
  <si>
    <t>Unrealized foreign exchange loss / (gain)</t>
  </si>
  <si>
    <t>(Gain) / Loss on disposal of fixed assets</t>
  </si>
  <si>
    <t>Loss on disposal of intangible assets</t>
  </si>
  <si>
    <t>Interest expense on convertible notes</t>
  </si>
  <si>
    <t>Barter transaction revenue</t>
  </si>
  <si>
    <t>Provision for doubtful accounts</t>
  </si>
  <si>
    <t>Loss on equity method investments</t>
  </si>
  <si>
    <t>Deferred income tax expenses / (benefit)</t>
  </si>
  <si>
    <t>Acquisition of licensed copyrights</t>
  </si>
  <si>
    <t>Purchase of long-term investments</t>
  </si>
  <si>
    <t>Film investment as passive investor</t>
  </si>
  <si>
    <t>Proceeds from film investments as passive investor</t>
  </si>
  <si>
    <t>Loans provided to related parties and third parties</t>
  </si>
  <si>
    <t>Repayment of loans provided to related parties</t>
  </si>
  <si>
    <t>Purchases of HTM investments</t>
  </si>
  <si>
    <t>Maturities of HTM investments</t>
  </si>
  <si>
    <t>Purchases of AFS debt securities</t>
  </si>
  <si>
    <t>Maturities of AFS debt securities</t>
  </si>
  <si>
    <t>Change in loans from related parties</t>
  </si>
  <si>
    <t>Proceeds from issurance of a subsidiary's equity to NCI holders</t>
  </si>
  <si>
    <t xml:space="preserve">Proceeds from shares issurance </t>
  </si>
  <si>
    <t>Proceeds from issurance of convertible notes payable to related parties</t>
  </si>
  <si>
    <t>Proceeds from issurance of convertible notes payable</t>
  </si>
  <si>
    <t>Commissions to third-part advertising agencies (reduction of revenues)</t>
  </si>
  <si>
    <t>Gross Carrying Value</t>
  </si>
  <si>
    <t>Broadcasting rights</t>
  </si>
  <si>
    <t>Sublicensing rights</t>
  </si>
  <si>
    <t>Current Licensed Copyrights</t>
  </si>
  <si>
    <t>Accumulated Amortization</t>
  </si>
  <si>
    <t>Net Carrying Value</t>
  </si>
  <si>
    <t>Incremental Amortization</t>
  </si>
  <si>
    <t>Non-Current Licensed Copyrights</t>
  </si>
  <si>
    <t>Impariment Charges</t>
  </si>
  <si>
    <t>Cotent Purchased and Amortized within a year</t>
  </si>
  <si>
    <t>Total Licensed Copyrights</t>
  </si>
  <si>
    <t>Addition</t>
  </si>
  <si>
    <t>Estimated amortization expenses relating to existing licensed copyrights</t>
  </si>
  <si>
    <t>Average content lifespan (in years)</t>
  </si>
  <si>
    <t>Estimation of amortization based on existing  assets</t>
  </si>
  <si>
    <t>Licensed Copyrights and Produced Content</t>
  </si>
  <si>
    <t>Produced Content</t>
  </si>
  <si>
    <t>Released, less amortization</t>
  </si>
  <si>
    <t>In production</t>
  </si>
  <si>
    <t>In development</t>
  </si>
  <si>
    <t>Amortization</t>
  </si>
  <si>
    <t>Amortization &amp; Impairment</t>
  </si>
  <si>
    <t>Impairment</t>
  </si>
  <si>
    <t>Net carrying value</t>
  </si>
  <si>
    <t>China Minsheng Bank (Rmb105.7MM due Sep 1, 2018)</t>
  </si>
  <si>
    <t>Bank of China (Rmb5MM due Apr 30, 2018)</t>
  </si>
  <si>
    <t>Bank of China (Rmb5MM due Oct 30, 2018)</t>
  </si>
  <si>
    <t>Bank of China (Rmb5MM due Apr 30, 2019)</t>
  </si>
  <si>
    <t>Bank of China (Rmb5MM due Oct 30, 2019)</t>
  </si>
  <si>
    <t>Bank of China (Rmb274MM due Apr 30, 2020)</t>
  </si>
  <si>
    <t>Other Advertising</t>
  </si>
  <si>
    <t>Other Revenues ex-disposed businesses</t>
  </si>
  <si>
    <t xml:space="preserve">Disposed businesses </t>
  </si>
  <si>
    <t>Company Average Mobile MAU</t>
  </si>
  <si>
    <t>Company Average Mobile DAU</t>
  </si>
  <si>
    <t>Company Average PC MAU</t>
  </si>
  <si>
    <t>Company Average PC DAU</t>
  </si>
  <si>
    <t>iQiyi Paopao Mobile DAU</t>
  </si>
  <si>
    <t>Subscribers (Total)</t>
  </si>
  <si>
    <t>Subscribers (Paying, excl. Trial)</t>
  </si>
  <si>
    <t>Questmobile Average Mobile MAU</t>
  </si>
  <si>
    <t>% of Total Time-Spent</t>
  </si>
  <si>
    <t>Mobile Time-Spent</t>
  </si>
  <si>
    <t>Total Time-Spent</t>
  </si>
  <si>
    <t>% of QM Mobile MAU</t>
  </si>
  <si>
    <t>Mobile Time Spent / MAU</t>
  </si>
  <si>
    <t>Other Operational Costs</t>
  </si>
  <si>
    <t>Per MAU</t>
  </si>
  <si>
    <t xml:space="preserve">% Growth </t>
  </si>
  <si>
    <t>iQiyi - Subscriptions and Others</t>
  </si>
  <si>
    <t>iQiyi - Membership Services</t>
  </si>
  <si>
    <t>iQiyi - Content Distribution</t>
  </si>
  <si>
    <t>iQiyi - Others</t>
  </si>
  <si>
    <t xml:space="preserve">Depreciation </t>
  </si>
  <si>
    <t>% Mix</t>
  </si>
  <si>
    <t>Capex (Booked in OCF as Change in Working Capital)</t>
  </si>
  <si>
    <t>Total Content Capex</t>
  </si>
  <si>
    <t>Licensed Copyrights Capex Booked</t>
  </si>
  <si>
    <t>Acquisition of licensed copyrights included in account payable</t>
  </si>
  <si>
    <t>Supplmentary Disclosure of Cash Flow Information</t>
  </si>
  <si>
    <t>Cash paid for interest</t>
  </si>
  <si>
    <t>Cash paid for income taxes</t>
  </si>
  <si>
    <t>Acquisition of fixed assets included in account payable</t>
  </si>
  <si>
    <t>Acquisition of copyrights included in account payable</t>
  </si>
  <si>
    <t>Acquisition of copyrights from nonmonetary content exchanges</t>
  </si>
  <si>
    <t>Barter content exchange, net</t>
  </si>
  <si>
    <t>Content Costs Booked as Amortization</t>
  </si>
  <si>
    <t>Other Content Costs</t>
  </si>
  <si>
    <t>Total Content Costs</t>
  </si>
  <si>
    <t>Non-cancelable agreements for acquisition of licensed copyrights</t>
  </si>
  <si>
    <t>Original Content Capex</t>
  </si>
  <si>
    <t>Barter Exchange, net</t>
  </si>
  <si>
    <t>Amortization related to new capex</t>
  </si>
  <si>
    <t>iQiyi Balance Sheet and Cash Flow Statement</t>
  </si>
  <si>
    <t>Amortization of existing produced content</t>
  </si>
  <si>
    <t>Amortization of incremental produced content</t>
  </si>
  <si>
    <t>Barter Revenues</t>
  </si>
  <si>
    <t>Cash Revenues</t>
  </si>
  <si>
    <t>% of Content Distribution Revenues</t>
  </si>
  <si>
    <t>Total amortization on Licensed Copyrights</t>
  </si>
  <si>
    <t>Amortization related to Barter Revenues</t>
  </si>
  <si>
    <t>Short-term Prepaid expenses and other current assets</t>
  </si>
  <si>
    <t>Long-term Prepaid expenses and other current assets</t>
  </si>
  <si>
    <t>Short-term Prepaid expenses as a % of licensed copyright capex</t>
  </si>
  <si>
    <t>Long-term Prepaid expenses as a % of licensed copyright capex</t>
  </si>
  <si>
    <t>Accounts payable on licensed copyrights</t>
  </si>
  <si>
    <t xml:space="preserve">Other accounts payable </t>
  </si>
  <si>
    <t>Total Licensed Copyrights Additions</t>
  </si>
  <si>
    <t>Licensed copyrights converted from account payable</t>
  </si>
  <si>
    <t>Accounts Payable related to Licensed Copyrights</t>
  </si>
  <si>
    <t>Conversion to Licensed Copyrights</t>
  </si>
  <si>
    <t>Conversion as a % of Opening Balance</t>
  </si>
  <si>
    <t>Customer advances and deferred revenue as a % of Membership revenues</t>
  </si>
  <si>
    <t>Accured expenses and other liabilities as a % of revenues</t>
  </si>
  <si>
    <t>Licensed Copyrights Cash Outflow</t>
  </si>
  <si>
    <t>Ex-Search Baidu Core / Previously Transaction Services</t>
  </si>
  <si>
    <t>Profitability</t>
  </si>
  <si>
    <t>Non-GAAP Gross Profit</t>
  </si>
  <si>
    <t>Non-GAAP EBITDA</t>
  </si>
  <si>
    <t>Non-GAAP EBIT</t>
  </si>
  <si>
    <t>Non-GAAP Net Profit</t>
  </si>
  <si>
    <t>Margin %</t>
  </si>
  <si>
    <t>Consolidated Costs &amp; SG&amp;A Forecasts</t>
  </si>
  <si>
    <t>Baidu SBC</t>
  </si>
  <si>
    <t>Advertising Gross Revenues including Rebates</t>
  </si>
  <si>
    <t>% Rebates</t>
  </si>
  <si>
    <t xml:space="preserve">Baidu Search </t>
  </si>
  <si>
    <t>Other Baidu Core / Previously Transaction Services</t>
  </si>
  <si>
    <t>Average payables as a % of gross revenues</t>
  </si>
  <si>
    <t>Gain on disposal of fixed assets</t>
  </si>
  <si>
    <t>Deferred income tax, net</t>
  </si>
  <si>
    <t>Investment income</t>
  </si>
  <si>
    <t>Asset impairment</t>
  </si>
  <si>
    <t>(Income) / loss from equity method investments</t>
  </si>
  <si>
    <t>Gain on disposal of subsidiaries</t>
  </si>
  <si>
    <t>Other non-cash expenses (income)</t>
  </si>
  <si>
    <t>Disposal of fixed assets</t>
  </si>
  <si>
    <t xml:space="preserve">Acquisition of businesses, net of cash acquired </t>
  </si>
  <si>
    <t>Capitalization of software costs</t>
  </si>
  <si>
    <t>Purchases of AFS investments</t>
  </si>
  <si>
    <t>Sales of AFS investments</t>
  </si>
  <si>
    <t>Purchases of other long-term investments</t>
  </si>
  <si>
    <t>Sales of other long-term investments</t>
  </si>
  <si>
    <t>Cash distribution from long-term investments</t>
  </si>
  <si>
    <t>(Payment in) proceeds from disposal of subsidiaries' shares</t>
  </si>
  <si>
    <t>Micro loan orgination and disbursement</t>
  </si>
  <si>
    <t>Principal payments received on micro loans</t>
  </si>
  <si>
    <t>Purchase of other invested securities</t>
  </si>
  <si>
    <t>Sales and maturities of other invested securities</t>
  </si>
  <si>
    <t>Restricted cash released as collateral for borrowings</t>
  </si>
  <si>
    <t>Repayment of short-term loans</t>
  </si>
  <si>
    <t>Proceeds from short-term loans</t>
  </si>
  <si>
    <t>Repayment of long-term loans</t>
  </si>
  <si>
    <t>Proceeds from long-term loans</t>
  </si>
  <si>
    <t>Payments of capital lease obligation</t>
  </si>
  <si>
    <t>Proceeds from debt issuance</t>
  </si>
  <si>
    <t>Payment of debt issuance costs</t>
  </si>
  <si>
    <t>Repayment of long-term notes</t>
  </si>
  <si>
    <t>Proceeds from issuance of convertible notes</t>
  </si>
  <si>
    <t>Repurchase of ordinary shares</t>
  </si>
  <si>
    <t>Proceeds from exercise of share options</t>
  </si>
  <si>
    <t>Proceeds from third-party investors for sale of financial products</t>
  </si>
  <si>
    <t>Repayment to third-party investors for sale of financial products</t>
  </si>
  <si>
    <t>Proceeds from secured borrowings from third-party financial institutions</t>
  </si>
  <si>
    <t>Repayment of secured borrowings from third-party financial institutions</t>
  </si>
  <si>
    <t>Payment of dividends by subsidiary to noncontrolling interests</t>
  </si>
  <si>
    <t>3x 2019E EV / Revenue, 58.8% Post-IPO</t>
  </si>
  <si>
    <t>13x 2019E EV / EBIT</t>
  </si>
  <si>
    <t>11x 2019E EV / EBIT</t>
  </si>
  <si>
    <t>Barter transaction revenues</t>
  </si>
  <si>
    <t>Proceeds from share issuance from minorities</t>
  </si>
  <si>
    <t>USD</t>
  </si>
  <si>
    <t>Unrecorded Goodwill</t>
  </si>
  <si>
    <t>ND</t>
  </si>
  <si>
    <t>Value Added Tax</t>
  </si>
  <si>
    <t>Shareholders Equity Schedule</t>
  </si>
  <si>
    <t>Issuance of shares</t>
  </si>
  <si>
    <t>Dividends</t>
  </si>
  <si>
    <t>AOCI</t>
  </si>
  <si>
    <t>Closing Balance</t>
  </si>
  <si>
    <t>Currency</t>
  </si>
  <si>
    <t>Current Stock Price</t>
  </si>
  <si>
    <t>Count</t>
  </si>
  <si>
    <t>BIDU.OQ,mscalc:closePriceCurrencyCalc</t>
  </si>
  <si>
    <t>BIDU.OQ,mscalc:sedolCodeCalc</t>
  </si>
  <si>
    <t>BIDU.OQ,mscalc:targetPrice,,,,USD</t>
  </si>
  <si>
    <t>NA</t>
  </si>
  <si>
    <t>B0FXT17</t>
  </si>
  <si>
    <t>Net Income Attributable to Baidu</t>
  </si>
  <si>
    <t>Recurring Net Income Attributable to Baidu</t>
  </si>
  <si>
    <t>3.5x 2019E EV / Revenue, 58.8% Post-IPO</t>
  </si>
  <si>
    <t>2.5x 2019E EV / Revenue, 58.8% Post-IPO</t>
  </si>
  <si>
    <t>Revenue - Search + News Feed</t>
  </si>
  <si>
    <t>Non-GAAP Operating Profit</t>
  </si>
  <si>
    <t xml:space="preserve">     Core Search</t>
  </si>
  <si>
    <t xml:space="preserve">     News Feed</t>
  </si>
  <si>
    <t>OPEX</t>
  </si>
  <si>
    <t>Total Cost of Revenue</t>
  </si>
  <si>
    <t>Gross Profits</t>
  </si>
  <si>
    <t>Operating Profits</t>
  </si>
  <si>
    <t>Net profits</t>
  </si>
  <si>
    <t>% of Net revenue - GAAP</t>
  </si>
  <si>
    <t>YoY % -  GAAP</t>
  </si>
  <si>
    <t>Recurrent Net Income</t>
  </si>
  <si>
    <t>Net Income Attribable to Baidu</t>
  </si>
  <si>
    <t>Recurrent Net Income Attributable to Baidu</t>
  </si>
  <si>
    <t>% of Net Income - Non GAAP</t>
  </si>
  <si>
    <t>YoY % - Non - GAAP</t>
  </si>
  <si>
    <t>BIDU.O</t>
  </si>
  <si>
    <t>Baidu Inc</t>
  </si>
  <si>
    <t>BIDU.O,mscalc:targetPrice,,,,USD</t>
  </si>
  <si>
    <t>BIDU.O,mscalc:sedolCodeCalc</t>
  </si>
  <si>
    <t>BIDU.O,mscalc:closePriceCurrencyCalc</t>
  </si>
  <si>
    <t>$L$2</t>
  </si>
  <si>
    <t>280</t>
  </si>
  <si>
    <t>Current Net Cash Attributable to Baidu Adjusted for iQiyi IPO Proceeds</t>
  </si>
  <si>
    <t>Rev_Net</t>
  </si>
  <si>
    <t>GP</t>
  </si>
  <si>
    <t>COS</t>
  </si>
  <si>
    <t>Exp_SM</t>
  </si>
  <si>
    <t>Exp_GA</t>
  </si>
  <si>
    <t>Exp_RD</t>
  </si>
  <si>
    <t>OP</t>
  </si>
  <si>
    <t>NP</t>
  </si>
  <si>
    <t>GP_NONGP</t>
  </si>
  <si>
    <t>EBITDA_NONGP</t>
  </si>
  <si>
    <t>OP_NONGP</t>
  </si>
  <si>
    <t>NP_NONGP</t>
  </si>
  <si>
    <t>OPM_NONGP</t>
  </si>
  <si>
    <t>EBITDAM_NONGP</t>
  </si>
  <si>
    <t>NPM_NONGP</t>
  </si>
  <si>
    <t>NPM</t>
  </si>
  <si>
    <t>OPM</t>
  </si>
  <si>
    <t>GPM</t>
  </si>
  <si>
    <t>FY12</t>
  </si>
  <si>
    <t>FY13</t>
  </si>
  <si>
    <t>FY14</t>
  </si>
  <si>
    <t>FY15</t>
  </si>
  <si>
    <t>FY16</t>
  </si>
  <si>
    <t>FY17</t>
  </si>
  <si>
    <t>FY18E</t>
  </si>
  <si>
    <t>FY19E</t>
  </si>
  <si>
    <t>FY20E</t>
  </si>
  <si>
    <t>For vlookup in industry database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</si>
  <si>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</si>
  <si>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</si>
  <si>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</si>
  <si>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</si>
  <si>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 Austin Road West</t>
  </si>
  <si>
    <t>Kowloon</t>
  </si>
  <si>
    <t>Hong Kong</t>
  </si>
  <si>
    <t>Tel: +852 2848 5200</t>
  </si>
  <si>
    <t>Authors: Grace Chen, Alan Wang</t>
  </si>
  <si>
    <t>Date: 24 Apr 2018</t>
  </si>
  <si>
    <t>Ticker: BIDU.O</t>
  </si>
  <si>
    <t>Stock Rating: Overweight</t>
  </si>
  <si>
    <t>Industry: China Internet and Other Services</t>
  </si>
  <si>
    <t>Industry View: In-Line</t>
  </si>
  <si>
    <t>Price as of 24 Apr 2018: 231.42</t>
  </si>
  <si>
    <t>Target Price: 280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</si>
  <si>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</si>
  <si>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</si>
  <si>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</si>
  <si>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</si>
  <si>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Baidu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</si>
  <si>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</si>
  <si>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</si>
  <si>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</si>
  <si>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</si>
  <si>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</si>
  <si>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</si>
  <si>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</si>
  <si>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</si>
  <si>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</si>
  <si>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</si>
  <si>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</si>
  <si>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</si>
  <si>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</si>
  <si>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</si>
  <si>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</si>
  <si>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</si>
  <si>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</si>
  <si>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</si>
  <si>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</si>
  <si>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</si>
  <si>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</si>
  <si>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</si>
  <si>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</si>
  <si>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</si>
  <si>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</si>
  <si>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</si>
  <si>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</si>
  <si>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</si>
  <si>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</si>
  <si>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</si>
  <si>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</si>
  <si>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</si>
  <si>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</si>
  <si>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</si>
  <si>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</si>
  <si>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</si>
  <si>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</si>
  <si>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</si>
  <si>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</si>
  <si>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</si>
  <si>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</si>
  <si>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</si>
  <si>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</si>
  <si>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</si>
  <si>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</si>
  <si>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</si>
  <si>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</si>
  <si>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</si>
  <si>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</si>
  <si>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</si>
  <si>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</si>
  <si>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</si>
  <si>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</si>
  <si>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</si>
  <si>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</si>
  <si>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</si>
  <si>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</si>
  <si>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</si>
  <si>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</si>
  <si>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</si>
  <si>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</si>
  <si>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</si>
  <si>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</si>
  <si>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</si>
  <si>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</si>
  <si>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</si>
  <si>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</si>
  <si>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</si>
  <si>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</si>
  <si>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</si>
  <si>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</si>
  <si>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</si>
  <si>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</si>
  <si>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</si>
  <si>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</si>
  <si>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</si>
  <si>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</si>
  <si>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</si>
  <si>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</si>
  <si>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</si>
  <si>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</si>
  <si>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</si>
  <si>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</si>
  <si>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</si>
  <si>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Certain information in Morgan Stanley Research was sourced by employees of the Shanghai Representative</t>
  </si>
  <si>
    <t>Office of Morgan Stanley Asia Limited for the use of Morgan Stanley Asia Limited.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</si>
  <si>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</si>
  <si>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</si>
  <si>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</si>
  <si>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</si>
  <si>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</si>
  <si>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</si>
  <si>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</si>
  <si>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</si>
  <si>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</si>
  <si>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</si>
  <si>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</si>
  <si>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</si>
  <si>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</si>
  <si>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</si>
  <si>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</si>
  <si>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</si>
  <si>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</si>
  <si>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</si>
  <si>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</si>
  <si>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</si>
  <si>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</si>
  <si>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</si>
  <si>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</si>
  <si>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</si>
  <si>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</si>
  <si>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</si>
  <si>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</si>
  <si>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</si>
  <si>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</si>
  <si>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</si>
  <si>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</si>
  <si>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</si>
  <si>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</si>
  <si>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</si>
  <si>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</si>
  <si>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</si>
  <si>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</si>
  <si>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</si>
  <si>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</si>
  <si>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</si>
  <si>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</si>
  <si>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</si>
  <si>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</si>
  <si>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</si>
  <si>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</si>
  <si>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</si>
  <si>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</si>
  <si>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</si>
  <si>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</si>
  <si>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</si>
  <si>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</si>
  <si>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</si>
  <si>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</si>
  <si>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</si>
  <si>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</si>
  <si>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</si>
  <si>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</si>
  <si>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</si>
  <si>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</si>
  <si>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</si>
  <si>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</si>
  <si>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</si>
  <si>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</si>
  <si>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</si>
  <si>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</si>
  <si>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</si>
  <si>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</si>
  <si>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</si>
  <si>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</si>
  <si>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</si>
  <si>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</si>
  <si>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</si>
  <si>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</si>
  <si>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</si>
  <si>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</si>
  <si>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</si>
  <si>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</si>
  <si>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</si>
  <si>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</si>
  <si>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</si>
  <si>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</si>
  <si>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</si>
  <si>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</si>
  <si>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</si>
  <si>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</si>
  <si>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</si>
  <si>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</si>
  <si>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</si>
  <si>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</si>
  <si>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</si>
  <si>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</si>
  <si>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Baidu Inc.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</si>
  <si>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</si>
  <si>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</si>
  <si>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</si>
  <si>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</si>
  <si>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</si>
  <si>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</si>
  <si>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</si>
  <si>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</si>
  <si>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</si>
  <si>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</si>
  <si>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</si>
  <si>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</si>
  <si>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</si>
  <si>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</si>
  <si>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</si>
  <si>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</si>
  <si>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</si>
  <si>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</si>
  <si>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</si>
  <si>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</si>
  <si>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</si>
  <si>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</si>
  <si>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</si>
  <si>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</si>
  <si>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</si>
  <si>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</si>
  <si>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</si>
  <si>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</si>
  <si>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</si>
  <si>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</si>
  <si>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</si>
  <si>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</si>
  <si>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</si>
  <si>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</si>
  <si>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</si>
  <si>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</si>
  <si>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</si>
  <si>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</si>
  <si>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</si>
  <si>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</si>
  <si>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</si>
  <si>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</si>
  <si>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</si>
  <si>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</si>
  <si>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</si>
  <si>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</si>
  <si>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</si>
  <si>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</si>
  <si>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</si>
  <si>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</si>
  <si>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</si>
  <si>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</si>
  <si>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</si>
  <si>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</si>
  <si>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</si>
  <si>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</si>
  <si>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</si>
  <si>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</si>
  <si>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</si>
  <si>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</si>
  <si>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</si>
  <si>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</si>
  <si>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</si>
  <si>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</si>
  <si>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</si>
  <si>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</si>
  <si>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</si>
  <si>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</si>
  <si>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Baidu Inc.</t>
  </si>
  <si>
    <t>Within the last 12 months, Morgan Stanley has provided or is providing investment banking services to,</t>
  </si>
  <si>
    <t>or has an investment banking client relationship with, the following company: Baidu Inc.</t>
  </si>
  <si>
    <t>Within the last 12 months, Morgan Stanley has received compensation for products and services other than</t>
  </si>
  <si>
    <t>investment banking services from Baidu Inc.</t>
  </si>
  <si>
    <t>In the next 3 months, Morgan Stanley expects to receive or intends to seek compensation for investment</t>
  </si>
  <si>
    <t>banking services from Baidu Inc.</t>
  </si>
  <si>
    <t>Within the last 12 months, Morgan Stanley has received compensation for investment banking services from</t>
  </si>
  <si>
    <t>Within the last 12 months, Morgan Stanley managed or co-managed a public offering (or 144A offering) of</t>
  </si>
  <si>
    <t>securities of Baidu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</si>
  <si>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</si>
  <si>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</si>
  <si>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</si>
  <si>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</si>
  <si>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</si>
  <si>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Grace Chen.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</si>
  <si>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</si>
  <si>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</si>
  <si>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</si>
  <si>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</si>
  <si>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</si>
  <si>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</si>
  <si>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</si>
  <si>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</si>
  <si>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</si>
  <si>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</si>
  <si>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</si>
  <si>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</si>
  <si>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</si>
  <si>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</si>
  <si>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</si>
  <si>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</si>
  <si>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</si>
  <si>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</si>
  <si>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</si>
  <si>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</si>
  <si>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Limited, regulated by the Securities and Exchange Board of India</t>
  </si>
  <si>
    <t>(“SEBI”) and holder of licenses as a Research Analyst (SEBI Registration No. INH000001105); Stock Broker</t>
  </si>
  <si>
    <t>(BSE Registration No. INB011054237 and NSE Registration No. INB/INF231054231), Merchant Banker (SEBI</t>
  </si>
  <si>
    <t>Registration No. INM000011203), and depository participant with National Securities Depository Limited</t>
  </si>
  <si>
    <t>(SEBI Registration No. IN-DP-NSDL-372-2014) which accepts the responsibility for its contents and should</t>
  </si>
  <si>
    <t>be contacted with respect to any matters arising from, or in connection with, Morgan Stanley Research,</t>
  </si>
  <si>
    <t>and/or PT. Morgan Stanley Sekuritas Indonesia and their affiliates (collectively, "Morgan Stanley").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</si>
  <si>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</si>
  <si>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</si>
  <si>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</si>
  <si>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</si>
  <si>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</si>
  <si>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</si>
  <si>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</si>
  <si>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</si>
  <si>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</si>
  <si>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</si>
  <si>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</si>
  <si>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</si>
  <si>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</si>
  <si>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</si>
  <si>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</si>
  <si>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</si>
  <si>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</si>
  <si>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</si>
  <si>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</si>
  <si>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</si>
  <si>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</si>
  <si>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</si>
  <si>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</si>
  <si>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</si>
  <si>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</si>
  <si>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</si>
  <si>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</si>
  <si>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</si>
  <si>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</si>
  <si>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</si>
  <si>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</si>
  <si>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</si>
  <si>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</si>
  <si>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</si>
  <si>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</si>
  <si>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</si>
  <si>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</si>
  <si>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</si>
  <si>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</si>
  <si>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</si>
  <si>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</si>
  <si>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</si>
  <si>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</si>
  <si>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</si>
  <si>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</si>
  <si>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</si>
  <si>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</si>
  <si>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</si>
  <si>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</si>
  <si>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</si>
  <si>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</si>
  <si>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</si>
  <si>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</si>
  <si>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</si>
  <si>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</si>
  <si>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</si>
  <si>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AsiaPacific</t>
  </si>
  <si>
    <t>wangalan</t>
  </si>
  <si>
    <t>MSA12330, MSA77HCJ</t>
  </si>
  <si>
    <t>L:\China Internet\1. Company\BIDU\Model\Baidu Model_20180423.xlsm</t>
  </si>
  <si>
    <t>[BRO MSA]</t>
  </si>
  <si>
    <t>[PRODUCT MODEL]</t>
  </si>
  <si>
    <t>[EMAIL_ALERT YES]</t>
  </si>
  <si>
    <t>[DISCIPLINE Company]</t>
  </si>
  <si>
    <t>[SUPPRESSED NO]</t>
  </si>
  <si>
    <t>[DOCDAT 2018-04-23]</t>
  </si>
  <si>
    <t>[DOCTIME 23:23]</t>
  </si>
  <si>
    <t>[PSYM BIDU.O(Reuters) (None)]</t>
  </si>
  <si>
    <t>[COU 40]</t>
  </si>
  <si>
    <t>[ANA MSA77HCJ]</t>
  </si>
  <si>
    <t>[HL BIDU.O Model]</t>
  </si>
  <si>
    <t>[IND ]</t>
  </si>
  <si>
    <t>[PANA MSA12330]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</si>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</sst>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#,##0.0_);\(#,##0\);&quot;-&quot;"/>
    <numFmt numFmtId="167" formatCode="0.0%_);\(0.0%\);&quot;-&quot;_)"/>
    <numFmt numFmtId="168" formatCode="#,##0.0"/>
    <numFmt numFmtId="169" formatCode="&quot;3Q'&quot;00&quot;A&quot;"/>
    <numFmt numFmtId="170" formatCode="&quot;2Q'&quot;00&quot;A&quot;"/>
    <numFmt numFmtId="171" formatCode="&quot;1Q'&quot;00&quot;A&quot;"/>
    <numFmt numFmtId="172" formatCode="&quot;4Q'&quot;00&quot;A&quot;"/>
    <numFmt numFmtId="173" formatCode="0.0\x_)"/>
    <numFmt numFmtId="174" formatCode="#,##0.0_);\(#,##0.0\)"/>
    <numFmt numFmtId="175" formatCode="0.0%;\(0.0%\)"/>
    <numFmt numFmtId="176" formatCode="0%_)"/>
    <numFmt numFmtId="177" formatCode="0.0%"/>
    <numFmt numFmtId="178" formatCode="&quot;4Q'&quot;00&quot;E&quot;"/>
    <numFmt numFmtId="179" formatCode="&quot;3Q'&quot;00&quot;E&quot;"/>
    <numFmt numFmtId="180" formatCode="&quot;2Q'&quot;00&quot;E&quot;"/>
    <numFmt numFmtId="181" formatCode="&quot;1Q'&quot;00&quot;E&quot;"/>
    <numFmt numFmtId="182" formatCode="0000&quot;E&quot;"/>
    <numFmt numFmtId="183" formatCode="0000&quot;A&quot;"/>
    <numFmt numFmtId="184" formatCode="#,##0.0_);\(#,##0.0\);&quot;-&quot;_)"/>
    <numFmt numFmtId="185" formatCode="#,##0.0_);\(#,##0.0\);&quot;-&quot;"/>
    <numFmt numFmtId="186" formatCode="0.0%_);\(0.0%\);&quot;-&quot;"/>
    <numFmt numFmtId="187" formatCode="0.0;\-0.0;&quot;-&quot;"/>
    <numFmt numFmtId="188" formatCode="#,##0.00_);\(#,##0.0\);&quot;-&quot;"/>
    <numFmt numFmtId="189" formatCode="0.0\x"/>
    <numFmt numFmtId="190" formatCode="0.0000"/>
    <numFmt numFmtId="191" formatCode="0.0000000"/>
    <numFmt numFmtId="192" formatCode="#,##0.000_);\(#,##0.000\)"/>
    <numFmt numFmtId="193" formatCode="#,##0_);\(#,##0\);&quot;-&quot;"/>
    <numFmt numFmtId="194" formatCode="0.0%&quot; per quarter in first quarter&quot;"/>
    <numFmt numFmtId="195" formatCode="0.0%&quot; per quarter in second quarter&quot;"/>
    <numFmt numFmtId="196" formatCode="0.0%&quot; per quarter in the second half of first year&quot;"/>
    <numFmt numFmtId="197" formatCode="0.0%&quot; per quarter in second year&quot;"/>
    <numFmt numFmtId="198" formatCode="0.0%&quot; per quarter in third year for two quarters&quot;"/>
    <numFmt numFmtId="199" formatCode="0.00000%"/>
    <numFmt numFmtId="200" formatCode="0.0"/>
    <numFmt numFmtId="201" formatCode="#,##0.000"/>
    <numFmt numFmtId="202" formatCode="_-* #,##0_-;\-* #,##0_-;_-* &quot;-&quot;??_-;_-@_-"/>
    <numFmt numFmtId="203" formatCode="mm/dd/yy\ hh:mm"/>
  </numFmts>
  <fonts count="48">
    <font>
      <sz val="8"/>
      <color theme="1"/>
      <name val="Calibri"/>
      <family val="2"/>
      <scheme val="minor"/>
    </font>
    <font>
      <sz val="8"/>
      <color indexed="2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22"/>
      <name val="Arial"/>
      <family val="2"/>
    </font>
    <font>
      <sz val="8"/>
      <color theme="0" tint="-0.14999847407452621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sz val="8"/>
      <color rgb="FFC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8"/>
      <name val="Arial"/>
      <family val="2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b/>
      <sz val="8"/>
      <color indexed="1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name val="Helvetica"/>
      <family val="2"/>
    </font>
    <font>
      <sz val="10"/>
      <name val="Helv"/>
      <family val="2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¹ÙÅÁÃ¼"/>
      <family val="1"/>
      <charset val="129"/>
    </font>
    <font>
      <sz val="12"/>
      <name val="바탕체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0"/>
      <name val="±¼¸²Ã¼"/>
      <family val="3"/>
      <charset val="129"/>
    </font>
    <font>
      <b/>
      <sz val="8"/>
      <color indexed="10"/>
      <name val="Helvetica"/>
      <family val="2"/>
    </font>
    <font>
      <b/>
      <sz val="8"/>
      <color indexed="12"/>
      <name val="FrankfurtGothicHeavy"/>
      <family val="2"/>
    </font>
    <font>
      <sz val="12"/>
      <name val="뼻뮝"/>
      <family val="1"/>
      <charset val="129"/>
    </font>
    <font>
      <i/>
      <sz val="8"/>
      <name val="Arial"/>
      <family val="2"/>
    </font>
    <font>
      <sz val="8"/>
      <color theme="0" tint="-0.34998626667073579"/>
      <name val="Arial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BED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D5C9"/>
        <bgColor indexed="64"/>
      </patternFill>
    </fill>
    <fill>
      <patternFill patternType="solid">
        <fgColor rgb="FFD1F7B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6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/>
      <bottom style="thin">
        <color indexed="8"/>
      </bottom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 style="thin">
        <color indexed="64"/>
      </top>
      <bottom style="thin">
        <color indexed="64"/>
      </bottom>
      <diagonal/>
    </border>
    <border>
      <left/>
      <right style="dashDot">
        <color auto="1"/>
      </right>
      <top style="thin">
        <color indexed="64"/>
      </top>
      <bottom/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Dot">
        <color auto="1"/>
      </right>
      <top style="dashed">
        <color auto="1"/>
      </top>
      <bottom style="dashed">
        <color auto="1"/>
      </bottom>
      <diagonal/>
    </border>
    <border>
      <left/>
      <right style="dashDot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7" fillId="0" borderId="0"/>
    <xf numFmtId="0" fontId="21" fillId="0" borderId="0"/>
    <xf numFmtId="0" fontId="21" fillId="0" borderId="0"/>
    <xf numFmtId="0" fontId="22" fillId="0" borderId="0"/>
    <xf numFmtId="0" fontId="23" fillId="0" borderId="0">
      <alignment vertical="center"/>
    </xf>
    <xf numFmtId="0" fontId="24" fillId="0" borderId="0"/>
    <xf numFmtId="0" fontId="24" fillId="0" borderId="5">
      <alignment horizontal="centerContinuous"/>
    </xf>
    <xf numFmtId="0" fontId="25" fillId="0" borderId="5"/>
    <xf numFmtId="0" fontId="7" fillId="8" borderId="0" applyNumberFormat="0" applyFont="0" applyBorder="0" applyAlignment="0" applyProtection="0"/>
    <xf numFmtId="0" fontId="27" fillId="0" borderId="0"/>
    <xf numFmtId="0" fontId="26" fillId="0" borderId="0"/>
    <xf numFmtId="164" fontId="7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/>
    <xf numFmtId="0" fontId="33" fillId="0" borderId="0"/>
    <xf numFmtId="0" fontId="32" fillId="0" borderId="0"/>
    <xf numFmtId="0" fontId="32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34" fillId="0" borderId="0"/>
    <xf numFmtId="0" fontId="35" fillId="9" borderId="0">
      <alignment horizontal="left"/>
    </xf>
    <xf numFmtId="200" fontId="7" fillId="0" borderId="0"/>
    <xf numFmtId="1" fontId="36" fillId="0" borderId="0" applyFont="0">
      <alignment horizontal="right"/>
    </xf>
    <xf numFmtId="0" fontId="37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40" fillId="0" borderId="0"/>
  </cellStyleXfs>
  <cellXfs count="331">
    <xf numFmtId="0" fontId="0" fillId="0" borderId="0" xfId="0"/>
    <xf numFmtId="0" fontId="2" fillId="2" borderId="0" xfId="1" applyFont="1" applyFill="1" applyBorder="1" applyProtection="1"/>
    <xf numFmtId="166" fontId="2" fillId="2" borderId="0" xfId="1" applyNumberFormat="1" applyFont="1" applyFill="1" applyBorder="1" applyProtection="1"/>
    <xf numFmtId="0" fontId="2" fillId="2" borderId="0" xfId="1" applyFont="1" applyFill="1" applyBorder="1" applyAlignment="1" applyProtection="1">
      <alignment horizontal="left" indent="1"/>
    </xf>
    <xf numFmtId="167" fontId="2" fillId="2" borderId="0" xfId="2" applyNumberFormat="1" applyFont="1" applyFill="1" applyBorder="1" applyProtection="1"/>
    <xf numFmtId="0" fontId="2" fillId="3" borderId="1" xfId="1" applyFont="1" applyFill="1" applyBorder="1" applyProtection="1"/>
    <xf numFmtId="0" fontId="3" fillId="3" borderId="1" xfId="1" applyFont="1" applyFill="1" applyBorder="1" applyProtection="1"/>
    <xf numFmtId="0" fontId="4" fillId="2" borderId="0" xfId="1" applyFont="1" applyFill="1" applyProtection="1"/>
    <xf numFmtId="0" fontId="3" fillId="2" borderId="0" xfId="1" applyFont="1" applyFill="1" applyBorder="1" applyProtection="1"/>
    <xf numFmtId="0" fontId="3" fillId="2" borderId="0" xfId="1" applyFont="1" applyFill="1" applyBorder="1" applyAlignment="1" applyProtection="1">
      <alignment horizontal="left" indent="1"/>
    </xf>
    <xf numFmtId="168" fontId="2" fillId="2" borderId="0" xfId="1" applyNumberFormat="1" applyFont="1" applyFill="1" applyBorder="1" applyProtection="1"/>
    <xf numFmtId="0" fontId="2" fillId="2" borderId="0" xfId="1" applyFont="1" applyFill="1" applyBorder="1" applyAlignment="1" applyProtection="1">
      <alignment horizontal="left"/>
    </xf>
    <xf numFmtId="166" fontId="2" fillId="2" borderId="0" xfId="2" applyNumberFormat="1" applyFont="1" applyFill="1" applyBorder="1" applyProtection="1"/>
    <xf numFmtId="168" fontId="2" fillId="3" borderId="1" xfId="1" applyNumberFormat="1" applyFont="1" applyFill="1" applyBorder="1" applyProtection="1"/>
    <xf numFmtId="169" fontId="3" fillId="2" borderId="0" xfId="1" applyNumberFormat="1" applyFont="1" applyFill="1" applyBorder="1" applyProtection="1"/>
    <xf numFmtId="170" fontId="3" fillId="2" borderId="0" xfId="1" applyNumberFormat="1" applyFont="1" applyFill="1" applyBorder="1" applyProtection="1"/>
    <xf numFmtId="171" fontId="3" fillId="2" borderId="0" xfId="1" applyNumberFormat="1" applyFont="1" applyFill="1" applyBorder="1" applyProtection="1"/>
    <xf numFmtId="172" fontId="3" fillId="2" borderId="0" xfId="1" applyNumberFormat="1" applyFont="1" applyFill="1" applyBorder="1" applyProtection="1"/>
    <xf numFmtId="0" fontId="2" fillId="2" borderId="0" xfId="1" applyFont="1" applyFill="1" applyBorder="1" applyAlignment="1" applyProtection="1">
      <alignment vertical="center"/>
    </xf>
    <xf numFmtId="0" fontId="3" fillId="2" borderId="0" xfId="1" applyFont="1" applyFill="1" applyBorder="1" applyAlignment="1" applyProtection="1">
      <alignment vertical="center"/>
    </xf>
    <xf numFmtId="0" fontId="1" fillId="2" borderId="0" xfId="1" applyFill="1" applyProtection="1"/>
    <xf numFmtId="0" fontId="1" fillId="2" borderId="2" xfId="1" applyFill="1" applyBorder="1" applyProtection="1"/>
    <xf numFmtId="0" fontId="6" fillId="2" borderId="0" xfId="1" applyFont="1" applyFill="1" applyBorder="1" applyProtection="1"/>
    <xf numFmtId="0" fontId="1" fillId="2" borderId="0" xfId="1" applyFill="1" applyBorder="1" applyProtection="1"/>
    <xf numFmtId="0" fontId="6" fillId="2" borderId="0" xfId="1" applyFont="1" applyFill="1" applyProtection="1"/>
    <xf numFmtId="173" fontId="2" fillId="2" borderId="0" xfId="2" applyNumberFormat="1" applyFont="1" applyFill="1" applyBorder="1" applyProtection="1"/>
    <xf numFmtId="174" fontId="3" fillId="2" borderId="0" xfId="1" applyNumberFormat="1" applyFont="1" applyFill="1" applyBorder="1" applyProtection="1"/>
    <xf numFmtId="175" fontId="2" fillId="2" borderId="0" xfId="2" applyNumberFormat="1" applyFont="1" applyFill="1" applyBorder="1" applyProtection="1"/>
    <xf numFmtId="174" fontId="3" fillId="2" borderId="2" xfId="1" applyNumberFormat="1" applyFont="1" applyFill="1" applyBorder="1" applyProtection="1"/>
    <xf numFmtId="37" fontId="3" fillId="2" borderId="2" xfId="1" applyNumberFormat="1" applyFont="1" applyFill="1" applyBorder="1" applyProtection="1"/>
    <xf numFmtId="0" fontId="3" fillId="2" borderId="2" xfId="1" applyFont="1" applyFill="1" applyBorder="1" applyProtection="1"/>
    <xf numFmtId="176" fontId="8" fillId="4" borderId="0" xfId="3" applyNumberFormat="1" applyFont="1" applyFill="1" applyBorder="1"/>
    <xf numFmtId="174" fontId="2" fillId="2" borderId="0" xfId="1" applyNumberFormat="1" applyFont="1" applyFill="1" applyBorder="1" applyProtection="1"/>
    <xf numFmtId="37" fontId="2" fillId="2" borderId="0" xfId="1" applyNumberFormat="1" applyFont="1" applyFill="1" applyBorder="1" applyProtection="1"/>
    <xf numFmtId="174" fontId="2" fillId="2" borderId="3" xfId="1" applyNumberFormat="1" applyFont="1" applyFill="1" applyBorder="1" applyProtection="1"/>
    <xf numFmtId="37" fontId="2" fillId="2" borderId="3" xfId="1" applyNumberFormat="1" applyFont="1" applyFill="1" applyBorder="1" applyProtection="1"/>
    <xf numFmtId="0" fontId="2" fillId="2" borderId="3" xfId="1" applyFont="1" applyFill="1" applyBorder="1" applyProtection="1"/>
    <xf numFmtId="9" fontId="2" fillId="2" borderId="0" xfId="2" applyNumberFormat="1" applyFont="1" applyFill="1" applyBorder="1" applyProtection="1"/>
    <xf numFmtId="9" fontId="2" fillId="2" borderId="0" xfId="2" applyFont="1" applyFill="1" applyBorder="1" applyProtection="1"/>
    <xf numFmtId="0" fontId="3" fillId="3" borderId="1" xfId="1" applyFont="1" applyFill="1" applyBorder="1" applyAlignment="1" applyProtection="1">
      <alignment horizontal="right"/>
    </xf>
    <xf numFmtId="177" fontId="2" fillId="2" borderId="0" xfId="2" applyNumberFormat="1" applyFont="1" applyFill="1" applyBorder="1" applyProtection="1"/>
    <xf numFmtId="178" fontId="3" fillId="2" borderId="0" xfId="1" applyNumberFormat="1" applyFont="1" applyFill="1" applyBorder="1" applyProtection="1"/>
    <xf numFmtId="179" fontId="3" fillId="2" borderId="0" xfId="1" applyNumberFormat="1" applyFont="1" applyFill="1" applyBorder="1" applyProtection="1"/>
    <xf numFmtId="180" fontId="3" fillId="2" borderId="0" xfId="1" applyNumberFormat="1" applyFont="1" applyFill="1" applyBorder="1" applyProtection="1"/>
    <xf numFmtId="181" fontId="3" fillId="2" borderId="0" xfId="1" applyNumberFormat="1" applyFont="1" applyFill="1" applyBorder="1" applyProtection="1"/>
    <xf numFmtId="182" fontId="3" fillId="2" borderId="0" xfId="1" applyNumberFormat="1" applyFont="1" applyFill="1" applyBorder="1" applyProtection="1"/>
    <xf numFmtId="183" fontId="3" fillId="2" borderId="0" xfId="1" applyNumberFormat="1" applyFont="1" applyFill="1" applyBorder="1" applyProtection="1"/>
    <xf numFmtId="0" fontId="1" fillId="2" borderId="0" xfId="1" applyFont="1" applyFill="1" applyBorder="1" applyProtection="1"/>
    <xf numFmtId="184" fontId="5" fillId="2" borderId="0" xfId="1" applyNumberFormat="1" applyFont="1" applyFill="1" applyBorder="1" applyProtection="1"/>
    <xf numFmtId="174" fontId="5" fillId="2" borderId="0" xfId="1" applyNumberFormat="1" applyFont="1" applyFill="1" applyBorder="1" applyProtection="1"/>
    <xf numFmtId="10" fontId="2" fillId="2" borderId="0" xfId="1" applyNumberFormat="1" applyFont="1" applyFill="1" applyBorder="1" applyProtection="1"/>
    <xf numFmtId="10" fontId="8" fillId="2" borderId="0" xfId="1" applyNumberFormat="1" applyFont="1" applyFill="1" applyBorder="1" applyProtection="1"/>
    <xf numFmtId="0" fontId="2" fillId="2" borderId="0" xfId="1" applyFont="1" applyFill="1" applyBorder="1" applyAlignment="1" applyProtection="1">
      <alignment horizontal="left" indent="2"/>
    </xf>
    <xf numFmtId="0" fontId="8" fillId="2" borderId="0" xfId="1" applyFont="1" applyFill="1" applyBorder="1" applyProtection="1"/>
    <xf numFmtId="10" fontId="9" fillId="5" borderId="0" xfId="1" applyNumberFormat="1" applyFont="1" applyFill="1" applyBorder="1" applyProtection="1"/>
    <xf numFmtId="9" fontId="8" fillId="2" borderId="0" xfId="1" applyNumberFormat="1" applyFont="1" applyFill="1" applyBorder="1" applyProtection="1"/>
    <xf numFmtId="0" fontId="2" fillId="6" borderId="1" xfId="1" applyFont="1" applyFill="1" applyBorder="1" applyProtection="1"/>
    <xf numFmtId="0" fontId="3" fillId="6" borderId="1" xfId="1" applyFont="1" applyFill="1" applyBorder="1" applyProtection="1"/>
    <xf numFmtId="185" fontId="2" fillId="2" borderId="0" xfId="1" applyNumberFormat="1" applyFont="1" applyFill="1" applyBorder="1" applyProtection="1"/>
    <xf numFmtId="185" fontId="8" fillId="2" borderId="0" xfId="1" applyNumberFormat="1" applyFont="1" applyFill="1" applyBorder="1" applyProtection="1"/>
    <xf numFmtId="167" fontId="8" fillId="2" borderId="0" xfId="2" applyNumberFormat="1" applyFont="1" applyFill="1" applyBorder="1" applyProtection="1"/>
    <xf numFmtId="0" fontId="2" fillId="2" borderId="0" xfId="1" applyFont="1" applyFill="1" applyBorder="1" applyAlignment="1" applyProtection="1">
      <alignment horizontal="left" indent="3"/>
    </xf>
    <xf numFmtId="167" fontId="3" fillId="6" borderId="1" xfId="1" applyNumberFormat="1" applyFont="1" applyFill="1" applyBorder="1" applyProtection="1"/>
    <xf numFmtId="167" fontId="9" fillId="2" borderId="0" xfId="2" applyNumberFormat="1" applyFont="1" applyFill="1" applyBorder="1" applyProtection="1"/>
    <xf numFmtId="185" fontId="9" fillId="2" borderId="0" xfId="1" applyNumberFormat="1" applyFont="1" applyFill="1" applyBorder="1" applyProtection="1"/>
    <xf numFmtId="185" fontId="10" fillId="2" borderId="0" xfId="1" applyNumberFormat="1" applyFont="1" applyFill="1" applyBorder="1" applyProtection="1"/>
    <xf numFmtId="186" fontId="6" fillId="7" borderId="4" xfId="1" applyNumberFormat="1" applyFont="1" applyFill="1" applyBorder="1" applyProtection="1"/>
    <xf numFmtId="185" fontId="6" fillId="2" borderId="0" xfId="1" applyNumberFormat="1" applyFont="1" applyFill="1" applyBorder="1" applyProtection="1"/>
    <xf numFmtId="0" fontId="3" fillId="2" borderId="0" xfId="1" applyFont="1" applyFill="1" applyBorder="1" applyAlignment="1" applyProtection="1">
      <alignment horizontal="left"/>
    </xf>
    <xf numFmtId="167" fontId="10" fillId="2" borderId="0" xfId="2" applyNumberFormat="1" applyFont="1" applyFill="1" applyBorder="1" applyProtection="1"/>
    <xf numFmtId="187" fontId="2" fillId="2" borderId="0" xfId="1" applyNumberFormat="1" applyFont="1" applyFill="1" applyBorder="1" applyProtection="1"/>
    <xf numFmtId="167" fontId="2" fillId="2" borderId="0" xfId="1" applyNumberFormat="1" applyFont="1" applyFill="1" applyBorder="1" applyProtection="1"/>
    <xf numFmtId="185" fontId="2" fillId="2" borderId="3" xfId="1" applyNumberFormat="1" applyFont="1" applyFill="1" applyBorder="1" applyProtection="1"/>
    <xf numFmtId="185" fontId="6" fillId="2" borderId="3" xfId="1" applyNumberFormat="1" applyFont="1" applyFill="1" applyBorder="1" applyProtection="1"/>
    <xf numFmtId="0" fontId="2" fillId="2" borderId="3" xfId="1" applyFont="1" applyFill="1" applyBorder="1" applyAlignment="1" applyProtection="1">
      <alignment horizontal="left" indent="1"/>
    </xf>
    <xf numFmtId="187" fontId="3" fillId="6" borderId="1" xfId="1" applyNumberFormat="1" applyFont="1" applyFill="1" applyBorder="1" applyProtection="1"/>
    <xf numFmtId="168" fontId="3" fillId="6" borderId="1" xfId="1" applyNumberFormat="1" applyFont="1" applyFill="1" applyBorder="1" applyProtection="1"/>
    <xf numFmtId="166" fontId="3" fillId="6" borderId="1" xfId="1" applyNumberFormat="1" applyFont="1" applyFill="1" applyBorder="1" applyProtection="1"/>
    <xf numFmtId="185" fontId="3" fillId="6" borderId="1" xfId="1" applyNumberFormat="1" applyFont="1" applyFill="1" applyBorder="1" applyProtection="1"/>
    <xf numFmtId="0" fontId="3" fillId="6" borderId="1" xfId="1" applyFont="1" applyFill="1" applyBorder="1" applyAlignment="1" applyProtection="1">
      <alignment horizontal="left"/>
    </xf>
    <xf numFmtId="166" fontId="6" fillId="2" borderId="0" xfId="1" applyNumberFormat="1" applyFont="1" applyFill="1" applyBorder="1" applyProtection="1"/>
    <xf numFmtId="168" fontId="3" fillId="2" borderId="0" xfId="1" applyNumberFormat="1" applyFont="1" applyFill="1" applyBorder="1" applyProtection="1"/>
    <xf numFmtId="185" fontId="3" fillId="2" borderId="0" xfId="1" applyNumberFormat="1" applyFont="1" applyFill="1" applyBorder="1" applyProtection="1"/>
    <xf numFmtId="166" fontId="6" fillId="6" borderId="1" xfId="1" applyNumberFormat="1" applyFont="1" applyFill="1" applyBorder="1" applyProtection="1"/>
    <xf numFmtId="166" fontId="2" fillId="6" borderId="1" xfId="1" applyNumberFormat="1" applyFont="1" applyFill="1" applyBorder="1" applyProtection="1"/>
    <xf numFmtId="9" fontId="3" fillId="2" borderId="0" xfId="2" applyFont="1" applyFill="1" applyBorder="1" applyProtection="1"/>
    <xf numFmtId="0" fontId="3" fillId="2" borderId="0" xfId="1" applyFont="1" applyFill="1" applyBorder="1" applyAlignment="1" applyProtection="1">
      <alignment horizontal="left" indent="2"/>
    </xf>
    <xf numFmtId="9" fontId="2" fillId="6" borderId="1" xfId="2" applyFont="1" applyFill="1" applyBorder="1" applyProtection="1"/>
    <xf numFmtId="168" fontId="2" fillId="6" borderId="1" xfId="1" applyNumberFormat="1" applyFont="1" applyFill="1" applyBorder="1" applyProtection="1"/>
    <xf numFmtId="185" fontId="6" fillId="7" borderId="4" xfId="1" applyNumberFormat="1" applyFont="1" applyFill="1" applyBorder="1" applyProtection="1"/>
    <xf numFmtId="168" fontId="2" fillId="2" borderId="3" xfId="1" applyNumberFormat="1" applyFont="1" applyFill="1" applyBorder="1" applyProtection="1"/>
    <xf numFmtId="185" fontId="3" fillId="2" borderId="3" xfId="1" applyNumberFormat="1" applyFont="1" applyFill="1" applyBorder="1" applyProtection="1"/>
    <xf numFmtId="168" fontId="3" fillId="2" borderId="3" xfId="1" applyNumberFormat="1" applyFont="1" applyFill="1" applyBorder="1" applyProtection="1"/>
    <xf numFmtId="0" fontId="3" fillId="2" borderId="3" xfId="1" applyFont="1" applyFill="1" applyBorder="1" applyProtection="1"/>
    <xf numFmtId="0" fontId="3" fillId="2" borderId="3" xfId="1" applyFont="1" applyFill="1" applyBorder="1" applyAlignment="1" applyProtection="1">
      <alignment horizontal="left" indent="1"/>
    </xf>
    <xf numFmtId="185" fontId="2" fillId="2" borderId="0" xfId="2" applyNumberFormat="1" applyFont="1" applyFill="1" applyBorder="1" applyProtection="1"/>
    <xf numFmtId="178" fontId="3" fillId="3" borderId="1" xfId="1" applyNumberFormat="1" applyFont="1" applyFill="1" applyBorder="1" applyProtection="1"/>
    <xf numFmtId="179" fontId="3" fillId="3" borderId="1" xfId="1" applyNumberFormat="1" applyFont="1" applyFill="1" applyBorder="1" applyProtection="1"/>
    <xf numFmtId="180" fontId="3" fillId="3" borderId="1" xfId="1" applyNumberFormat="1" applyFont="1" applyFill="1" applyBorder="1" applyProtection="1"/>
    <xf numFmtId="181" fontId="3" fillId="3" borderId="1" xfId="1" applyNumberFormat="1" applyFont="1" applyFill="1" applyBorder="1" applyProtection="1"/>
    <xf numFmtId="172" fontId="3" fillId="3" borderId="1" xfId="1" applyNumberFormat="1" applyFont="1" applyFill="1" applyBorder="1" applyProtection="1"/>
    <xf numFmtId="169" fontId="3" fillId="3" borderId="1" xfId="1" applyNumberFormat="1" applyFont="1" applyFill="1" applyBorder="1" applyProtection="1"/>
    <xf numFmtId="170" fontId="3" fillId="3" borderId="1" xfId="1" applyNumberFormat="1" applyFont="1" applyFill="1" applyBorder="1" applyProtection="1"/>
    <xf numFmtId="171" fontId="3" fillId="3" borderId="1" xfId="1" applyNumberFormat="1" applyFont="1" applyFill="1" applyBorder="1" applyProtection="1"/>
    <xf numFmtId="182" fontId="3" fillId="3" borderId="1" xfId="1" applyNumberFormat="1" applyFont="1" applyFill="1" applyBorder="1" applyProtection="1"/>
    <xf numFmtId="183" fontId="3" fillId="3" borderId="1" xfId="1" applyNumberFormat="1" applyFont="1" applyFill="1" applyBorder="1" applyProtection="1"/>
    <xf numFmtId="183" fontId="2" fillId="2" borderId="0" xfId="1" applyNumberFormat="1" applyFont="1" applyFill="1" applyBorder="1" applyProtection="1"/>
    <xf numFmtId="166" fontId="3" fillId="2" borderId="0" xfId="1" applyNumberFormat="1" applyFont="1" applyFill="1" applyBorder="1" applyProtection="1"/>
    <xf numFmtId="0" fontId="13" fillId="2" borderId="0" xfId="1" applyFont="1" applyFill="1" applyBorder="1" applyAlignment="1" applyProtection="1">
      <alignment horizontal="left" indent="1"/>
    </xf>
    <xf numFmtId="184" fontId="2" fillId="2" borderId="0" xfId="1" applyNumberFormat="1" applyFont="1" applyFill="1" applyBorder="1" applyProtection="1"/>
    <xf numFmtId="0" fontId="2" fillId="2" borderId="0" xfId="1" applyFont="1" applyFill="1" applyBorder="1" applyAlignment="1" applyProtection="1">
      <alignment horizontal="right"/>
    </xf>
    <xf numFmtId="14" fontId="2" fillId="2" borderId="0" xfId="1" applyNumberFormat="1" applyFont="1" applyFill="1" applyBorder="1" applyAlignment="1" applyProtection="1">
      <alignment horizontal="right"/>
    </xf>
    <xf numFmtId="14" fontId="2" fillId="2" borderId="0" xfId="1" applyNumberFormat="1" applyFont="1" applyFill="1" applyBorder="1" applyProtection="1"/>
    <xf numFmtId="0" fontId="13" fillId="2" borderId="0" xfId="1" applyFont="1" applyFill="1" applyBorder="1" applyAlignment="1" applyProtection="1">
      <alignment vertical="center"/>
    </xf>
    <xf numFmtId="0" fontId="13" fillId="2" borderId="0" xfId="1" applyFont="1" applyFill="1" applyBorder="1" applyAlignment="1" applyProtection="1">
      <alignment horizontal="left" vertical="center" indent="1"/>
    </xf>
    <xf numFmtId="184" fontId="2" fillId="2" borderId="0" xfId="2" applyNumberFormat="1" applyFont="1" applyFill="1" applyBorder="1" applyProtection="1"/>
    <xf numFmtId="15" fontId="2" fillId="2" borderId="0" xfId="2" applyNumberFormat="1" applyFont="1" applyFill="1" applyBorder="1" applyProtection="1"/>
    <xf numFmtId="184" fontId="3" fillId="2" borderId="0" xfId="1" applyNumberFormat="1" applyFont="1" applyFill="1" applyBorder="1" applyProtection="1"/>
    <xf numFmtId="184" fontId="14" fillId="2" borderId="0" xfId="1" applyNumberFormat="1" applyFont="1" applyFill="1" applyBorder="1" applyProtection="1"/>
    <xf numFmtId="10" fontId="6" fillId="2" borderId="0" xfId="1" applyNumberFormat="1" applyFont="1" applyFill="1" applyBorder="1" applyProtection="1"/>
    <xf numFmtId="184" fontId="6" fillId="2" borderId="0" xfId="1" applyNumberFormat="1" applyFont="1" applyFill="1" applyBorder="1" applyProtection="1"/>
    <xf numFmtId="185" fontId="2" fillId="3" borderId="1" xfId="1" applyNumberFormat="1" applyFont="1" applyFill="1" applyBorder="1" applyProtection="1"/>
    <xf numFmtId="0" fontId="3" fillId="3" borderId="1" xfId="1" applyFont="1" applyFill="1" applyBorder="1" applyAlignment="1" applyProtection="1">
      <alignment vertical="center"/>
    </xf>
    <xf numFmtId="187" fontId="2" fillId="3" borderId="1" xfId="1" applyNumberFormat="1" applyFont="1" applyFill="1" applyBorder="1" applyProtection="1"/>
    <xf numFmtId="185" fontId="3" fillId="2" borderId="0" xfId="2" applyNumberFormat="1" applyFont="1" applyFill="1" applyBorder="1" applyProtection="1"/>
    <xf numFmtId="184" fontId="3" fillId="2" borderId="0" xfId="2" applyNumberFormat="1" applyFont="1" applyFill="1" applyBorder="1" applyProtection="1"/>
    <xf numFmtId="178" fontId="2" fillId="2" borderId="0" xfId="1" applyNumberFormat="1" applyFont="1" applyFill="1" applyBorder="1" applyProtection="1"/>
    <xf numFmtId="179" fontId="2" fillId="2" borderId="0" xfId="1" applyNumberFormat="1" applyFont="1" applyFill="1" applyBorder="1" applyProtection="1"/>
    <xf numFmtId="180" fontId="2" fillId="2" borderId="0" xfId="1" applyNumberFormat="1" applyFont="1" applyFill="1" applyBorder="1" applyProtection="1"/>
    <xf numFmtId="181" fontId="2" fillId="2" borderId="0" xfId="1" applyNumberFormat="1" applyFont="1" applyFill="1" applyBorder="1" applyProtection="1"/>
    <xf numFmtId="172" fontId="2" fillId="2" borderId="0" xfId="1" applyNumberFormat="1" applyFont="1" applyFill="1" applyBorder="1" applyProtection="1"/>
    <xf numFmtId="169" fontId="2" fillId="2" borderId="0" xfId="1" applyNumberFormat="1" applyFont="1" applyFill="1" applyBorder="1" applyProtection="1"/>
    <xf numFmtId="170" fontId="2" fillId="2" borderId="0" xfId="1" applyNumberFormat="1" applyFont="1" applyFill="1" applyBorder="1" applyProtection="1"/>
    <xf numFmtId="171" fontId="2" fillId="2" borderId="0" xfId="1" applyNumberFormat="1" applyFont="1" applyFill="1" applyBorder="1" applyProtection="1"/>
    <xf numFmtId="182" fontId="2" fillId="2" borderId="0" xfId="1" applyNumberFormat="1" applyFont="1" applyFill="1" applyBorder="1" applyProtection="1"/>
    <xf numFmtId="178" fontId="2" fillId="3" borderId="1" xfId="1" applyNumberFormat="1" applyFont="1" applyFill="1" applyBorder="1" applyProtection="1"/>
    <xf numFmtId="179" fontId="2" fillId="3" borderId="1" xfId="1" applyNumberFormat="1" applyFont="1" applyFill="1" applyBorder="1" applyProtection="1"/>
    <xf numFmtId="180" fontId="2" fillId="3" borderId="1" xfId="1" applyNumberFormat="1" applyFont="1" applyFill="1" applyBorder="1" applyProtection="1"/>
    <xf numFmtId="181" fontId="2" fillId="3" borderId="1" xfId="1" applyNumberFormat="1" applyFont="1" applyFill="1" applyBorder="1" applyProtection="1"/>
    <xf numFmtId="172" fontId="2" fillId="3" borderId="1" xfId="1" applyNumberFormat="1" applyFont="1" applyFill="1" applyBorder="1" applyProtection="1"/>
    <xf numFmtId="169" fontId="2" fillId="3" borderId="1" xfId="1" applyNumberFormat="1" applyFont="1" applyFill="1" applyBorder="1" applyProtection="1"/>
    <xf numFmtId="170" fontId="2" fillId="3" borderId="1" xfId="1" applyNumberFormat="1" applyFont="1" applyFill="1" applyBorder="1" applyProtection="1"/>
    <xf numFmtId="171" fontId="2" fillId="3" borderId="1" xfId="1" applyNumberFormat="1" applyFont="1" applyFill="1" applyBorder="1" applyProtection="1"/>
    <xf numFmtId="182" fontId="2" fillId="3" borderId="1" xfId="1" applyNumberFormat="1" applyFont="1" applyFill="1" applyBorder="1" applyProtection="1"/>
    <xf numFmtId="183" fontId="2" fillId="3" borderId="1" xfId="1" applyNumberFormat="1" applyFont="1" applyFill="1" applyBorder="1" applyProtection="1"/>
    <xf numFmtId="167" fontId="6" fillId="2" borderId="0" xfId="2" applyNumberFormat="1" applyFont="1" applyFill="1" applyBorder="1" applyProtection="1"/>
    <xf numFmtId="168" fontId="6" fillId="2" borderId="0" xfId="1" applyNumberFormat="1" applyFont="1" applyFill="1" applyBorder="1" applyProtection="1"/>
    <xf numFmtId="177" fontId="6" fillId="2" borderId="0" xfId="1" applyNumberFormat="1" applyFont="1" applyFill="1" applyBorder="1" applyProtection="1"/>
    <xf numFmtId="9" fontId="2" fillId="2" borderId="0" xfId="1" applyNumberFormat="1" applyFont="1" applyFill="1" applyBorder="1" applyProtection="1"/>
    <xf numFmtId="9" fontId="6" fillId="2" borderId="0" xfId="2" applyFont="1" applyFill="1" applyBorder="1" applyProtection="1"/>
    <xf numFmtId="188" fontId="2" fillId="2" borderId="0" xfId="1" applyNumberFormat="1" applyFont="1" applyFill="1" applyBorder="1" applyProtection="1"/>
    <xf numFmtId="184" fontId="8" fillId="2" borderId="0" xfId="1" applyNumberFormat="1" applyFont="1" applyFill="1" applyBorder="1" applyProtection="1"/>
    <xf numFmtId="189" fontId="2" fillId="2" borderId="0" xfId="2" applyNumberFormat="1" applyFont="1" applyFill="1" applyBorder="1" applyProtection="1"/>
    <xf numFmtId="184" fontId="10" fillId="2" borderId="0" xfId="1" applyNumberFormat="1" applyFont="1" applyFill="1" applyBorder="1" applyProtection="1"/>
    <xf numFmtId="190" fontId="2" fillId="2" borderId="0" xfId="1" applyNumberFormat="1" applyFont="1" applyFill="1" applyBorder="1" applyProtection="1"/>
    <xf numFmtId="184" fontId="6" fillId="2" borderId="0" xfId="1" applyNumberFormat="1" applyFont="1" applyFill="1" applyBorder="1" applyAlignment="1" applyProtection="1">
      <alignment horizontal="right"/>
    </xf>
    <xf numFmtId="191" fontId="2" fillId="2" borderId="0" xfId="1" applyNumberFormat="1" applyFont="1" applyFill="1" applyBorder="1" applyProtection="1"/>
    <xf numFmtId="166" fontId="14" fillId="2" borderId="0" xfId="1" applyNumberFormat="1" applyFont="1" applyFill="1" applyBorder="1" applyProtection="1"/>
    <xf numFmtId="167" fontId="6" fillId="2" borderId="0" xfId="1" applyNumberFormat="1" applyFont="1" applyFill="1" applyBorder="1" applyProtection="1"/>
    <xf numFmtId="0" fontId="2" fillId="2" borderId="0" xfId="1" quotePrefix="1" applyFont="1" applyFill="1" applyBorder="1" applyProtection="1"/>
    <xf numFmtId="167" fontId="8" fillId="2" borderId="0" xfId="1" applyNumberFormat="1" applyFont="1" applyFill="1" applyBorder="1" applyProtection="1"/>
    <xf numFmtId="0" fontId="16" fillId="2" borderId="2" xfId="1" applyFont="1" applyFill="1" applyBorder="1" applyProtection="1"/>
    <xf numFmtId="0" fontId="17" fillId="2" borderId="0" xfId="1" applyFont="1" applyFill="1" applyProtection="1"/>
    <xf numFmtId="0" fontId="17" fillId="2" borderId="0" xfId="1" applyFont="1" applyFill="1" applyBorder="1" applyProtection="1"/>
    <xf numFmtId="0" fontId="17" fillId="2" borderId="2" xfId="1" applyFont="1" applyFill="1" applyBorder="1" applyProtection="1"/>
    <xf numFmtId="9" fontId="2" fillId="2" borderId="0" xfId="5" applyFont="1" applyFill="1" applyBorder="1" applyProtection="1"/>
    <xf numFmtId="192" fontId="2" fillId="2" borderId="0" xfId="1" applyNumberFormat="1" applyFont="1" applyFill="1" applyBorder="1" applyProtection="1"/>
    <xf numFmtId="177" fontId="2" fillId="2" borderId="0" xfId="5" applyNumberFormat="1" applyFont="1" applyFill="1" applyBorder="1" applyProtection="1"/>
    <xf numFmtId="167" fontId="2" fillId="2" borderId="3" xfId="2" applyNumberFormat="1" applyFont="1" applyFill="1" applyBorder="1" applyProtection="1"/>
    <xf numFmtId="185" fontId="18" fillId="2" borderId="0" xfId="1" applyNumberFormat="1" applyFont="1" applyFill="1" applyBorder="1" applyProtection="1"/>
    <xf numFmtId="37" fontId="8" fillId="4" borderId="0" xfId="3" applyNumberFormat="1" applyFont="1" applyFill="1" applyBorder="1"/>
    <xf numFmtId="185" fontId="19" fillId="2" borderId="3" xfId="1" applyNumberFormat="1" applyFont="1" applyFill="1" applyBorder="1" applyProtection="1"/>
    <xf numFmtId="185" fontId="8" fillId="2" borderId="3" xfId="1" applyNumberFormat="1" applyFont="1" applyFill="1" applyBorder="1" applyProtection="1"/>
    <xf numFmtId="193" fontId="2" fillId="2" borderId="0" xfId="1" applyNumberFormat="1" applyFont="1" applyFill="1" applyBorder="1" applyAlignment="1" applyProtection="1">
      <alignment horizontal="right"/>
    </xf>
    <xf numFmtId="193" fontId="2" fillId="2" borderId="0" xfId="1" applyNumberFormat="1" applyFont="1" applyFill="1" applyBorder="1" applyProtection="1"/>
    <xf numFmtId="0" fontId="2" fillId="2" borderId="2" xfId="1" applyFont="1" applyFill="1" applyBorder="1" applyAlignment="1" applyProtection="1">
      <alignment horizontal="centerContinuous"/>
    </xf>
    <xf numFmtId="185" fontId="20" fillId="2" borderId="0" xfId="1" applyNumberFormat="1" applyFont="1" applyFill="1" applyBorder="1" applyProtection="1"/>
    <xf numFmtId="166" fontId="9" fillId="2" borderId="0" xfId="1" applyNumberFormat="1" applyFont="1" applyFill="1" applyBorder="1" applyProtection="1"/>
    <xf numFmtId="194" fontId="2" fillId="2" borderId="0" xfId="1" applyNumberFormat="1" applyFont="1" applyFill="1" applyBorder="1" applyAlignment="1" applyProtection="1">
      <alignment horizontal="left" indent="1"/>
    </xf>
    <xf numFmtId="195" fontId="2" fillId="2" borderId="0" xfId="1" applyNumberFormat="1" applyFont="1" applyFill="1" applyBorder="1" applyAlignment="1" applyProtection="1">
      <alignment horizontal="left" indent="1"/>
    </xf>
    <xf numFmtId="196" fontId="2" fillId="2" borderId="0" xfId="1" applyNumberFormat="1" applyFont="1" applyFill="1" applyBorder="1" applyAlignment="1" applyProtection="1">
      <alignment horizontal="left" indent="1"/>
    </xf>
    <xf numFmtId="197" fontId="2" fillId="2" borderId="0" xfId="1" applyNumberFormat="1" applyFont="1" applyFill="1" applyBorder="1" applyAlignment="1" applyProtection="1">
      <alignment horizontal="left" indent="1"/>
    </xf>
    <xf numFmtId="198" fontId="2" fillId="2" borderId="0" xfId="1" applyNumberFormat="1" applyFont="1" applyFill="1" applyBorder="1" applyAlignment="1" applyProtection="1">
      <alignment horizontal="left" indent="1"/>
    </xf>
    <xf numFmtId="167" fontId="2" fillId="2" borderId="0" xfId="2" applyNumberFormat="1" applyFont="1" applyFill="1" applyBorder="1" applyAlignment="1" applyProtection="1">
      <alignment horizontal="right"/>
    </xf>
    <xf numFmtId="199" fontId="2" fillId="2" borderId="0" xfId="1" applyNumberFormat="1" applyFont="1" applyFill="1" applyBorder="1" applyProtection="1"/>
    <xf numFmtId="37" fontId="3" fillId="2" borderId="0" xfId="1" applyNumberFormat="1" applyFont="1" applyFill="1" applyBorder="1" applyProtection="1"/>
    <xf numFmtId="37" fontId="3" fillId="3" borderId="1" xfId="1" applyNumberFormat="1" applyFont="1" applyFill="1" applyBorder="1" applyAlignment="1" applyProtection="1">
      <alignment horizontal="right"/>
    </xf>
    <xf numFmtId="49" fontId="0" fillId="0" borderId="0" xfId="0" applyNumberFormat="1"/>
    <xf numFmtId="185" fontId="3" fillId="0" borderId="0" xfId="1" applyNumberFormat="1" applyFont="1" applyFill="1" applyBorder="1" applyProtection="1"/>
    <xf numFmtId="166" fontId="2" fillId="0" borderId="0" xfId="1" applyNumberFormat="1" applyFont="1" applyFill="1" applyBorder="1" applyProtection="1"/>
    <xf numFmtId="0" fontId="38" fillId="2" borderId="0" xfId="1" applyFont="1" applyFill="1" applyBorder="1" applyAlignment="1" applyProtection="1">
      <alignment horizontal="left" indent="1"/>
    </xf>
    <xf numFmtId="184" fontId="6" fillId="0" borderId="0" xfId="1" applyNumberFormat="1" applyFont="1" applyFill="1" applyBorder="1" applyProtection="1"/>
    <xf numFmtId="166" fontId="2" fillId="0" borderId="0" xfId="2" applyNumberFormat="1" applyFont="1" applyFill="1" applyBorder="1" applyProtection="1"/>
    <xf numFmtId="165" fontId="2" fillId="2" borderId="0" xfId="51" applyNumberFormat="1" applyFont="1" applyFill="1" applyBorder="1" applyProtection="1"/>
    <xf numFmtId="201" fontId="2" fillId="2" borderId="0" xfId="1" applyNumberFormat="1" applyFont="1" applyFill="1" applyBorder="1" applyProtection="1"/>
    <xf numFmtId="0" fontId="1" fillId="2" borderId="0" xfId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>
      <alignment horizontal="right"/>
    </xf>
    <xf numFmtId="185" fontId="2" fillId="2" borderId="0" xfId="1" applyNumberFormat="1" applyFont="1" applyFill="1" applyBorder="1" applyProtection="1"/>
    <xf numFmtId="185" fontId="2" fillId="2" borderId="0" xfId="1" applyNumberFormat="1" applyFont="1" applyFill="1" applyBorder="1" applyProtection="1"/>
    <xf numFmtId="0" fontId="1" fillId="2" borderId="0" xfId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184" fontId="2" fillId="2" borderId="0" xfId="1" applyNumberFormat="1" applyFont="1" applyFill="1" applyBorder="1" applyProtection="1"/>
    <xf numFmtId="168" fontId="2" fillId="2" borderId="0" xfId="1" applyNumberFormat="1" applyFont="1" applyFill="1" applyBorder="1" applyProtection="1"/>
    <xf numFmtId="185" fontId="2" fillId="0" borderId="0" xfId="1" applyNumberFormat="1" applyFont="1" applyFill="1" applyBorder="1" applyProtection="1"/>
    <xf numFmtId="184" fontId="2" fillId="0" borderId="0" xfId="1" applyNumberFormat="1" applyFont="1" applyFill="1" applyBorder="1" applyProtection="1"/>
    <xf numFmtId="0" fontId="7" fillId="0" borderId="0" xfId="3"/>
    <xf numFmtId="0" fontId="2" fillId="2" borderId="6" xfId="1" applyFont="1" applyFill="1" applyBorder="1" applyProtection="1"/>
    <xf numFmtId="172" fontId="3" fillId="2" borderId="6" xfId="1" applyNumberFormat="1" applyFont="1" applyFill="1" applyBorder="1" applyProtection="1"/>
    <xf numFmtId="172" fontId="3" fillId="3" borderId="7" xfId="1" applyNumberFormat="1" applyFont="1" applyFill="1" applyBorder="1" applyProtection="1"/>
    <xf numFmtId="185" fontId="2" fillId="2" borderId="6" xfId="1" applyNumberFormat="1" applyFont="1" applyFill="1" applyBorder="1" applyProtection="1"/>
    <xf numFmtId="185" fontId="3" fillId="2" borderId="8" xfId="1" applyNumberFormat="1" applyFont="1" applyFill="1" applyBorder="1" applyProtection="1"/>
    <xf numFmtId="182" fontId="3" fillId="2" borderId="6" xfId="1" applyNumberFormat="1" applyFont="1" applyFill="1" applyBorder="1" applyProtection="1"/>
    <xf numFmtId="167" fontId="2" fillId="2" borderId="6" xfId="2" applyNumberFormat="1" applyFont="1" applyFill="1" applyBorder="1" applyProtection="1"/>
    <xf numFmtId="167" fontId="2" fillId="2" borderId="8" xfId="2" applyNumberFormat="1" applyFont="1" applyFill="1" applyBorder="1" applyProtection="1"/>
    <xf numFmtId="185" fontId="6" fillId="2" borderId="6" xfId="1" applyNumberFormat="1" applyFont="1" applyFill="1" applyBorder="1" applyProtection="1"/>
    <xf numFmtId="9" fontId="2" fillId="2" borderId="6" xfId="2" applyFont="1" applyFill="1" applyBorder="1" applyProtection="1"/>
    <xf numFmtId="185" fontId="3" fillId="2" borderId="6" xfId="1" applyNumberFormat="1" applyFont="1" applyFill="1" applyBorder="1" applyProtection="1"/>
    <xf numFmtId="185" fontId="2" fillId="2" borderId="8" xfId="1" applyNumberFormat="1" applyFont="1" applyFill="1" applyBorder="1" applyProtection="1"/>
    <xf numFmtId="166" fontId="2" fillId="2" borderId="6" xfId="1" applyNumberFormat="1" applyFont="1" applyFill="1" applyBorder="1" applyProtection="1"/>
    <xf numFmtId="9" fontId="2" fillId="6" borderId="7" xfId="2" applyFont="1" applyFill="1" applyBorder="1" applyProtection="1"/>
    <xf numFmtId="9" fontId="3" fillId="2" borderId="6" xfId="2" applyFont="1" applyFill="1" applyBorder="1" applyProtection="1"/>
    <xf numFmtId="166" fontId="2" fillId="6" borderId="7" xfId="1" applyNumberFormat="1" applyFont="1" applyFill="1" applyBorder="1" applyProtection="1"/>
    <xf numFmtId="0" fontId="3" fillId="6" borderId="7" xfId="1" applyFont="1" applyFill="1" applyBorder="1" applyProtection="1"/>
    <xf numFmtId="166" fontId="3" fillId="6" borderId="7" xfId="1" applyNumberFormat="1" applyFont="1" applyFill="1" applyBorder="1" applyProtection="1"/>
    <xf numFmtId="185" fontId="6" fillId="2" borderId="8" xfId="1" applyNumberFormat="1" applyFont="1" applyFill="1" applyBorder="1" applyProtection="1"/>
    <xf numFmtId="167" fontId="8" fillId="2" borderId="6" xfId="2" applyNumberFormat="1" applyFont="1" applyFill="1" applyBorder="1" applyProtection="1"/>
    <xf numFmtId="185" fontId="10" fillId="5" borderId="6" xfId="1" applyNumberFormat="1" applyFont="1" applyFill="1" applyBorder="1" applyProtection="1"/>
    <xf numFmtId="185" fontId="9" fillId="2" borderId="6" xfId="1" applyNumberFormat="1" applyFont="1" applyFill="1" applyBorder="1" applyProtection="1"/>
    <xf numFmtId="185" fontId="10" fillId="2" borderId="6" xfId="1" applyNumberFormat="1" applyFont="1" applyFill="1" applyBorder="1" applyProtection="1"/>
    <xf numFmtId="0" fontId="2" fillId="6" borderId="7" xfId="1" applyFont="1" applyFill="1" applyBorder="1" applyProtection="1"/>
    <xf numFmtId="185" fontId="6" fillId="7" borderId="9" xfId="1" applyNumberFormat="1" applyFont="1" applyFill="1" applyBorder="1" applyProtection="1"/>
    <xf numFmtId="186" fontId="6" fillId="7" borderId="9" xfId="1" applyNumberFormat="1" applyFont="1" applyFill="1" applyBorder="1" applyProtection="1"/>
    <xf numFmtId="178" fontId="3" fillId="3" borderId="7" xfId="1" applyNumberFormat="1" applyFont="1" applyFill="1" applyBorder="1" applyProtection="1"/>
    <xf numFmtId="187" fontId="2" fillId="2" borderId="6" xfId="1" applyNumberFormat="1" applyFont="1" applyFill="1" applyBorder="1" applyProtection="1"/>
    <xf numFmtId="177" fontId="2" fillId="2" borderId="6" xfId="5" applyNumberFormat="1" applyFont="1" applyFill="1" applyBorder="1" applyProtection="1"/>
    <xf numFmtId="166" fontId="6" fillId="6" borderId="7" xfId="1" applyNumberFormat="1" applyFont="1" applyFill="1" applyBorder="1" applyProtection="1"/>
    <xf numFmtId="166" fontId="6" fillId="2" borderId="6" xfId="1" applyNumberFormat="1" applyFont="1" applyFill="1" applyBorder="1" applyProtection="1"/>
    <xf numFmtId="187" fontId="3" fillId="6" borderId="7" xfId="1" applyNumberFormat="1" applyFont="1" applyFill="1" applyBorder="1" applyProtection="1"/>
    <xf numFmtId="167" fontId="2" fillId="2" borderId="6" xfId="1" applyNumberFormat="1" applyFont="1" applyFill="1" applyBorder="1" applyProtection="1"/>
    <xf numFmtId="167" fontId="10" fillId="2" borderId="6" xfId="2" applyNumberFormat="1" applyFont="1" applyFill="1" applyBorder="1" applyProtection="1"/>
    <xf numFmtId="178" fontId="3" fillId="2" borderId="6" xfId="1" applyNumberFormat="1" applyFont="1" applyFill="1" applyBorder="1" applyProtection="1"/>
    <xf numFmtId="185" fontId="18" fillId="2" borderId="6" xfId="1" applyNumberFormat="1" applyFont="1" applyFill="1" applyBorder="1" applyProtection="1"/>
    <xf numFmtId="185" fontId="6" fillId="7" borderId="10" xfId="1" applyNumberFormat="1" applyFont="1" applyFill="1" applyBorder="1" applyProtection="1"/>
    <xf numFmtId="186" fontId="6" fillId="7" borderId="10" xfId="1" applyNumberFormat="1" applyFont="1" applyFill="1" applyBorder="1" applyProtection="1"/>
    <xf numFmtId="0" fontId="2" fillId="3" borderId="7" xfId="1" applyFont="1" applyFill="1" applyBorder="1" applyProtection="1"/>
    <xf numFmtId="184" fontId="6" fillId="2" borderId="6" xfId="1" applyNumberFormat="1" applyFont="1" applyFill="1" applyBorder="1" applyProtection="1"/>
    <xf numFmtId="184" fontId="2" fillId="2" borderId="6" xfId="1" applyNumberFormat="1" applyFont="1" applyFill="1" applyBorder="1" applyProtection="1"/>
    <xf numFmtId="188" fontId="2" fillId="2" borderId="6" xfId="1" applyNumberFormat="1" applyFont="1" applyFill="1" applyBorder="1" applyProtection="1"/>
    <xf numFmtId="167" fontId="6" fillId="2" borderId="6" xfId="2" applyNumberFormat="1" applyFont="1" applyFill="1" applyBorder="1" applyProtection="1"/>
    <xf numFmtId="189" fontId="2" fillId="2" borderId="6" xfId="2" applyNumberFormat="1" applyFont="1" applyFill="1" applyBorder="1" applyProtection="1"/>
    <xf numFmtId="184" fontId="8" fillId="2" borderId="6" xfId="1" applyNumberFormat="1" applyFont="1" applyFill="1" applyBorder="1" applyProtection="1"/>
    <xf numFmtId="0" fontId="3" fillId="3" borderId="7" xfId="1" applyFont="1" applyFill="1" applyBorder="1" applyProtection="1"/>
    <xf numFmtId="168" fontId="2" fillId="2" borderId="6" xfId="1" applyNumberFormat="1" applyFont="1" applyFill="1" applyBorder="1" applyProtection="1"/>
    <xf numFmtId="166" fontId="8" fillId="2" borderId="6" xfId="1" applyNumberFormat="1" applyFont="1" applyFill="1" applyBorder="1" applyProtection="1"/>
    <xf numFmtId="167" fontId="8" fillId="2" borderId="6" xfId="1" applyNumberFormat="1" applyFont="1" applyFill="1" applyBorder="1" applyProtection="1"/>
    <xf numFmtId="9" fontId="6" fillId="2" borderId="6" xfId="2" applyFont="1" applyFill="1" applyBorder="1" applyProtection="1"/>
    <xf numFmtId="9" fontId="2" fillId="2" borderId="6" xfId="1" applyNumberFormat="1" applyFont="1" applyFill="1" applyBorder="1" applyProtection="1"/>
    <xf numFmtId="166" fontId="14" fillId="2" borderId="6" xfId="1" applyNumberFormat="1" applyFont="1" applyFill="1" applyBorder="1" applyProtection="1"/>
    <xf numFmtId="184" fontId="10" fillId="2" borderId="6" xfId="1" applyNumberFormat="1" applyFont="1" applyFill="1" applyBorder="1" applyProtection="1"/>
    <xf numFmtId="202" fontId="3" fillId="2" borderId="0" xfId="51" applyNumberFormat="1" applyFont="1" applyFill="1" applyBorder="1" applyProtection="1"/>
    <xf numFmtId="9" fontId="3" fillId="2" borderId="0" xfId="5" applyFont="1" applyFill="1" applyBorder="1" applyProtection="1"/>
    <xf numFmtId="0" fontId="3" fillId="10" borderId="0" xfId="1" applyFont="1" applyFill="1" applyBorder="1" applyProtection="1"/>
    <xf numFmtId="202" fontId="2" fillId="2" borderId="0" xfId="51" applyNumberFormat="1" applyFont="1" applyFill="1" applyBorder="1" applyProtection="1"/>
    <xf numFmtId="202" fontId="3" fillId="2" borderId="3" xfId="51" applyNumberFormat="1" applyFont="1" applyFill="1" applyBorder="1" applyProtection="1"/>
    <xf numFmtId="202" fontId="2" fillId="2" borderId="0" xfId="51" applyNumberFormat="1" applyFont="1" applyFill="1" applyBorder="1" applyAlignment="1" applyProtection="1">
      <alignment horizontal="left" indent="1"/>
    </xf>
    <xf numFmtId="202" fontId="2" fillId="2" borderId="6" xfId="51" applyNumberFormat="1" applyFont="1" applyFill="1" applyBorder="1" applyProtection="1"/>
    <xf numFmtId="202" fontId="3" fillId="2" borderId="3" xfId="51" applyNumberFormat="1" applyFont="1" applyFill="1" applyBorder="1" applyAlignment="1" applyProtection="1">
      <alignment horizontal="left" indent="1"/>
    </xf>
    <xf numFmtId="202" fontId="3" fillId="2" borderId="8" xfId="51" applyNumberFormat="1" applyFont="1" applyFill="1" applyBorder="1" applyProtection="1"/>
    <xf numFmtId="202" fontId="2" fillId="2" borderId="0" xfId="1" applyNumberFormat="1" applyFont="1" applyFill="1" applyBorder="1" applyAlignment="1" applyProtection="1">
      <alignment horizontal="left" indent="1"/>
    </xf>
    <xf numFmtId="167" fontId="2" fillId="2" borderId="2" xfId="2" applyNumberFormat="1" applyFont="1" applyFill="1" applyBorder="1" applyProtection="1"/>
    <xf numFmtId="167" fontId="2" fillId="2" borderId="11" xfId="2" applyNumberFormat="1" applyFont="1" applyFill="1" applyBorder="1" applyProtection="1"/>
    <xf numFmtId="185" fontId="8" fillId="2" borderId="6" xfId="1" applyNumberFormat="1" applyFont="1" applyFill="1" applyBorder="1" applyProtection="1"/>
    <xf numFmtId="167" fontId="9" fillId="2" borderId="6" xfId="2" applyNumberFormat="1" applyFont="1" applyFill="1" applyBorder="1" applyProtection="1"/>
    <xf numFmtId="167" fontId="2" fillId="10" borderId="0" xfId="2" applyNumberFormat="1" applyFont="1" applyFill="1" applyBorder="1" applyProtection="1"/>
    <xf numFmtId="167" fontId="2" fillId="10" borderId="6" xfId="2" applyNumberFormat="1" applyFont="1" applyFill="1" applyBorder="1" applyProtection="1"/>
    <xf numFmtId="43" fontId="3" fillId="2" borderId="0" xfId="51" applyNumberFormat="1" applyFont="1" applyFill="1" applyBorder="1" applyProtection="1"/>
    <xf numFmtId="0" fontId="2" fillId="4" borderId="0" xfId="1" applyFont="1" applyFill="1" applyBorder="1" applyProtection="1"/>
    <xf numFmtId="0" fontId="3" fillId="4" borderId="0" xfId="1" applyFont="1" applyFill="1" applyBorder="1" applyProtection="1"/>
    <xf numFmtId="185" fontId="3" fillId="4" borderId="0" xfId="1" applyNumberFormat="1" applyFont="1" applyFill="1" applyBorder="1" applyProtection="1"/>
    <xf numFmtId="0" fontId="3" fillId="4" borderId="0" xfId="1" applyFont="1" applyFill="1" applyBorder="1" applyAlignment="1" applyProtection="1">
      <alignment horizontal="left"/>
    </xf>
    <xf numFmtId="168" fontId="2" fillId="4" borderId="0" xfId="1" applyNumberFormat="1" applyFont="1" applyFill="1" applyBorder="1" applyProtection="1"/>
    <xf numFmtId="9" fontId="2" fillId="4" borderId="0" xfId="2" applyFont="1" applyFill="1" applyBorder="1" applyProtection="1"/>
    <xf numFmtId="9" fontId="2" fillId="4" borderId="6" xfId="2" applyFont="1" applyFill="1" applyBorder="1" applyProtection="1"/>
    <xf numFmtId="0" fontId="3" fillId="10" borderId="1" xfId="1" applyFont="1" applyFill="1" applyBorder="1" applyAlignment="1" applyProtection="1">
      <alignment horizontal="left"/>
    </xf>
    <xf numFmtId="168" fontId="3" fillId="4" borderId="0" xfId="1" applyNumberFormat="1" applyFont="1" applyFill="1" applyBorder="1" applyProtection="1"/>
    <xf numFmtId="9" fontId="3" fillId="4" borderId="0" xfId="2" applyFont="1" applyFill="1" applyBorder="1" applyProtection="1"/>
    <xf numFmtId="9" fontId="3" fillId="4" borderId="6" xfId="2" applyFont="1" applyFill="1" applyBorder="1" applyProtection="1"/>
    <xf numFmtId="9" fontId="2" fillId="10" borderId="0" xfId="2" applyFont="1" applyFill="1" applyBorder="1" applyProtection="1"/>
    <xf numFmtId="177" fontId="3" fillId="2" borderId="0" xfId="2" applyNumberFormat="1" applyFont="1" applyFill="1" applyBorder="1" applyProtection="1"/>
    <xf numFmtId="177" fontId="3" fillId="2" borderId="0" xfId="5" applyNumberFormat="1" applyFont="1" applyFill="1" applyBorder="1" applyProtection="1"/>
    <xf numFmtId="177" fontId="2" fillId="10" borderId="0" xfId="5" applyNumberFormat="1" applyFont="1" applyFill="1" applyBorder="1" applyProtection="1"/>
    <xf numFmtId="177" fontId="2" fillId="4" borderId="0" xfId="5" applyNumberFormat="1" applyFont="1" applyFill="1" applyBorder="1" applyProtection="1"/>
    <xf numFmtId="9" fontId="2" fillId="4" borderId="0" xfId="2" applyNumberFormat="1" applyFont="1" applyFill="1" applyBorder="1" applyProtection="1"/>
    <xf numFmtId="0" fontId="39" fillId="2" borderId="0" xfId="1" applyFont="1" applyFill="1" applyBorder="1" applyProtection="1"/>
    <xf numFmtId="185" fontId="6" fillId="7" borderId="0" xfId="1" applyNumberFormat="1" applyFont="1" applyFill="1" applyBorder="1" applyProtection="1"/>
    <xf numFmtId="185" fontId="6" fillId="7" borderId="6" xfId="1" applyNumberFormat="1" applyFont="1" applyFill="1" applyBorder="1" applyProtection="1"/>
    <xf numFmtId="188" fontId="2" fillId="4" borderId="0" xfId="1" applyNumberFormat="1" applyFont="1" applyFill="1" applyBorder="1" applyProtection="1"/>
    <xf numFmtId="9" fontId="1" fillId="2" borderId="0" xfId="1" applyNumberFormat="1" applyFill="1" applyProtection="1"/>
    <xf numFmtId="0" fontId="7" fillId="11" borderId="0" xfId="52" applyFont="1" applyFill="1" applyAlignment="1">
      <alignment vertical="top"/>
    </xf>
    <xf numFmtId="0" fontId="7" fillId="11" borderId="0" xfId="3" applyFill="1" applyAlignment="1">
      <alignment vertical="top"/>
    </xf>
    <xf numFmtId="0" fontId="7" fillId="11" borderId="0" xfId="3" applyFill="1"/>
    <xf numFmtId="0" fontId="41" fillId="11" borderId="0" xfId="52" applyFont="1" applyFill="1" applyAlignment="1">
      <alignment horizontal="left" vertical="top"/>
    </xf>
    <xf numFmtId="0" fontId="7" fillId="11" borderId="0" xfId="3" applyFont="1" applyFill="1" applyAlignment="1">
      <alignment vertical="top"/>
    </xf>
    <xf numFmtId="0" fontId="42" fillId="11" borderId="0" xfId="52" applyFont="1" applyFill="1" applyAlignment="1">
      <alignment vertical="top"/>
    </xf>
    <xf numFmtId="0" fontId="0" fillId="11" borderId="0" xfId="0" applyFill="1" applyAlignment="1">
      <alignment vertical="top"/>
    </xf>
    <xf numFmtId="0" fontId="43" fillId="11" borderId="0" xfId="0" applyFont="1" applyFill="1" applyAlignment="1">
      <alignment vertical="top"/>
    </xf>
    <xf numFmtId="0" fontId="44" fillId="11" borderId="0" xfId="0" applyFont="1" applyFill="1" applyAlignment="1">
      <alignment vertical="top"/>
    </xf>
    <xf numFmtId="0" fontId="43" fillId="11" borderId="12" xfId="0" applyFont="1" applyFill="1" applyBorder="1" applyAlignment="1">
      <alignment vertical="top"/>
    </xf>
    <xf numFmtId="9" fontId="43" fillId="11" borderId="12" xfId="0" applyNumberFormat="1" applyFont="1" applyFill="1" applyBorder="1" applyAlignment="1">
      <alignment vertical="top"/>
    </xf>
    <xf numFmtId="3" fontId="43" fillId="11" borderId="12" xfId="0" applyNumberFormat="1" applyFont="1" applyFill="1" applyBorder="1" applyAlignment="1">
      <alignment vertical="top"/>
    </xf>
    <xf numFmtId="2" fontId="7" fillId="0" borderId="0" xfId="3" applyNumberFormat="1" applyAlignment="1">
      <alignment horizontal="left"/>
    </xf>
    <xf numFmtId="0" fontId="7" fillId="0" borderId="0" xfId="3" applyNumberFormat="1" applyAlignment="1">
      <alignment horizontal="left"/>
    </xf>
    <xf numFmtId="1" fontId="7" fillId="0" borderId="0" xfId="3" applyNumberFormat="1" applyAlignment="1">
      <alignment horizontal="left"/>
    </xf>
    <xf numFmtId="0" fontId="7" fillId="0" borderId="0" xfId="3" applyFont="1"/>
    <xf numFmtId="203" fontId="7" fillId="0" borderId="0" xfId="3" applyNumberFormat="1" applyAlignment="1">
      <alignment horizontal="left"/>
    </xf>
    <xf numFmtId="49" fontId="7" fillId="0" borderId="0" xfId="3" applyNumberFormat="1"/>
    <xf numFmtId="0" fontId="45" fillId="0" borderId="0" xfId="3" applyFont="1" applyAlignment="1">
      <alignment wrapText="1"/>
    </xf>
    <xf numFmtId="0" fontId="45" fillId="0" borderId="0" xfId="3" applyFont="1" applyAlignment="1">
      <alignment horizontal="left" wrapText="1" indent="3"/>
    </xf>
    <xf numFmtId="0" fontId="45" fillId="0" borderId="0" xfId="3" applyFont="1" applyAlignment="1">
      <alignment horizontal="left" wrapText="1" indent="1"/>
    </xf>
    <xf numFmtId="0" fontId="47" fillId="0" borderId="0" xfId="3" applyFont="1" applyAlignment="1">
      <alignment wrapText="1"/>
    </xf>
    <xf numFmtId="0" fontId="0" fillId="11" borderId="17" xfId="0" applyFill="1" applyBorder="1" applyAlignment="1">
      <alignment vertical="top"/>
    </xf>
    <xf numFmtId="0" fontId="43" fillId="11" borderId="0" xfId="0" applyFont="1" applyFill="1" applyAlignment="1">
      <alignment vertical="top"/>
    </xf>
    <xf numFmtId="0" fontId="43" fillId="11" borderId="13" xfId="0" applyFont="1" applyFill="1" applyBorder="1" applyAlignment="1">
      <alignment vertical="top"/>
    </xf>
    <xf numFmtId="0" fontId="43" fillId="11" borderId="14" xfId="0" applyFont="1" applyFill="1" applyBorder="1" applyAlignment="1">
      <alignment vertical="top"/>
    </xf>
    <xf numFmtId="0" fontId="43" fillId="11" borderId="15" xfId="0" applyFont="1" applyFill="1" applyBorder="1" applyAlignment="1">
      <alignment vertical="top"/>
    </xf>
    <xf numFmtId="0" fontId="44" fillId="11" borderId="0" xfId="0" applyFont="1" applyFill="1" applyAlignment="1">
      <alignment vertical="top"/>
    </xf>
    <xf numFmtId="0" fontId="0" fillId="11" borderId="0" xfId="0" applyFill="1" applyAlignment="1">
      <alignment vertical="top"/>
    </xf>
    <xf numFmtId="0" fontId="0" fillId="11" borderId="16" xfId="0" applyFill="1" applyBorder="1" applyAlignment="1">
      <alignment vertical="top"/>
    </xf>
  </cellXfs>
  <cellStyles count="53">
    <cellStyle name="_2006年第一季台灣行動電話產業產銷動態瞭望 " xfId="15"/>
    <cellStyle name="—_GS_Cash " xfId="16"/>
    <cellStyle name="_SUMMARY " xfId="6"/>
    <cellStyle name="0_Capex &amp; Depreciation " xfId="7"/>
    <cellStyle name="0_Valuing BP " xfId="8"/>
    <cellStyle name="A¨­￠￢￠O [0]_¨oCAuCoEⓒ÷ " xfId="18"/>
    <cellStyle name="A¨­￠￢￠O_¨oCAuCoEⓒ÷ " xfId="19"/>
    <cellStyle name="AeE­ [0]_¼oAa½CAu " xfId="20"/>
    <cellStyle name="ÅëÈ­ [0]_INQUIRY ¿µ¾÷ÃßÁø " xfId="21"/>
    <cellStyle name="AeE­ [0]_INQUIRY ¿μ¾÷AßAø " xfId="22"/>
    <cellStyle name="AeE­_¼oAa½CAu " xfId="23"/>
    <cellStyle name="ÅëÈ­_INQUIRY ¿µ¾÷ÃßÁø " xfId="24"/>
    <cellStyle name="AeE­_INQUIRY ¿μ¾÷AßAø " xfId="25"/>
    <cellStyle name="AeE¡ⓒ [0]_¨oCAuCoEⓒ÷ " xfId="26"/>
    <cellStyle name="AeE¡ⓒ_¨oCAuCoEⓒ÷ " xfId="27"/>
    <cellStyle name="AÞ¸¶ [0]_¼oAa½CAu " xfId="28"/>
    <cellStyle name="ÄÞ¸¶ [0]_INQUIRY ¿µ¾÷ÃßÁø " xfId="29"/>
    <cellStyle name="AÞ¸¶ [0]_INQUIRY ¿μ¾÷AßAø " xfId="30"/>
    <cellStyle name="AÞ¸¶_¼oAa½CAu " xfId="31"/>
    <cellStyle name="ÄÞ¸¶_INQUIRY ¿µ¾÷ÃßÁø " xfId="32"/>
    <cellStyle name="AÞ¸¶_INQUIRY ¿μ¾÷AßAø " xfId="33"/>
    <cellStyle name="c_HardInc " xfId="9"/>
    <cellStyle name="C¡IA¨ª_¡ic¨u¡A¨￢I¨￢¡Æ AN¡Æe " xfId="34"/>
    <cellStyle name="C￥AØ_  FAB AIA¤  " xfId="35"/>
    <cellStyle name="Ç¥ÁØ_»ç¾÷ºÎº° ÃÑ°è " xfId="36"/>
    <cellStyle name="C￥AØ_≫c¾÷ºIº° AN°e " xfId="37"/>
    <cellStyle name="Ç¥ÁØ_0N-HANDLING " xfId="38"/>
    <cellStyle name="C￥AØ_¼±AoAc°i_1_³≫ºI°eE¹´e AßA¤A÷AI " xfId="39"/>
    <cellStyle name="Ç¥ÁØ_5-1±¤°í " xfId="40"/>
    <cellStyle name="C￥AØ_5-1±¤°i _6RCB1 " xfId="41"/>
    <cellStyle name="Ç¥ÁØ_Áý°èÇ¥(2¿ù) " xfId="42"/>
    <cellStyle name="C￥AØ_CoAo¹yAI °A¾×¿ⓒ½A " xfId="43"/>
    <cellStyle name="Ç¥ÁØ_Sheet1_¿µ¾÷ÇöÈ² " xfId="44"/>
    <cellStyle name="Comma" xfId="51" builtinId="3"/>
    <cellStyle name="Currency 2" xfId="17"/>
    <cellStyle name="Header_FT Valuation " xfId="45"/>
    <cellStyle name="Normal" xfId="0" builtinId="0"/>
    <cellStyle name="Normal 2" xfId="1"/>
    <cellStyle name="Normal 2 2" xfId="3"/>
    <cellStyle name="Normal_DisclaimerSheet Samples" xfId="52"/>
    <cellStyle name="Onedec_FT Valuation " xfId="46"/>
    <cellStyle name="p " xfId="10"/>
    <cellStyle name="Percent" xfId="5" builtinId="5"/>
    <cellStyle name="Percent 10" xfId="4"/>
    <cellStyle name="Percent 2" xfId="2"/>
    <cellStyle name="RRSInstruction" xfId="14"/>
    <cellStyle name="s_HardInc " xfId="11"/>
    <cellStyle name="s_Valuation " xfId="12"/>
    <cellStyle name="ssp " xfId="13"/>
    <cellStyle name="Year_FT Valuation " xfId="47"/>
    <cellStyle name="뷭?_BOOKSHIP_실적현황 " xfId="48"/>
    <cellStyle name="콤마 [0]_   " xfId="49"/>
    <cellStyle name="콤마_   " xfId="50"/>
  </cellStyles>
  <dxfs count="0"/>
  <tableStyles count="0" defaultTableStyle="TableStyleMedium2" defaultPivotStyle="PivotStyleLight16"/>
  <colors>
    <mruColors>
      <color rgb="FFFF99CC"/>
      <color rgb="FFFF99FF"/>
      <color rgb="FFFF0066"/>
      <color rgb="FFFFCCCC"/>
      <color rgb="FFFFCCFF"/>
      <color rgb="FFF8D479"/>
      <color rgb="FF77D9E8"/>
      <color rgb="FF0083C3"/>
      <color rgb="FF0000FF"/>
      <color rgb="FF137CB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>...</v>
        <stp/>
        <stp>0db39a09-e4cf-4249-99de-1e2ae4432d48</stp>
        <tr r="C8" s="2"/>
      </tp>
      <tp>
        <v>0.15862693</v>
        <stp/>
        <stp>23e03c45-f347-49c7-b81b-a2bea7b148aa</stp>
        <tr r="C6" s="2"/>
      </tp>
      <tp>
        <v>42.9</v>
        <stp/>
        <stp>70d65a99-0b1a-4e4d-bf04-ced524bde064</stp>
        <tr r="G7" s="3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externalLinks/externalLink1.xml" Type="http://schemas.openxmlformats.org/officeDocument/2006/relationships/externalLink"/>
<Relationship Id="rId16" Target="theme/theme1.xml" Type="http://schemas.openxmlformats.org/officeDocument/2006/relationships/theme"/>
<Relationship Id="rId17" Target="styles.xml" Type="http://schemas.openxmlformats.org/officeDocument/2006/relationships/styles"/>
<Relationship Id="rId18" Target="sharedStrings.xml" Type="http://schemas.openxmlformats.org/officeDocument/2006/relationships/sharedStrings"/>
<Relationship Id="rId19" Target="calcChain.xml" Type="http://schemas.openxmlformats.org/officeDocument/2006/relationships/calcChain"/>
<Relationship Id="rId2" Target="worksheets/sheet2.xml" Type="http://schemas.openxmlformats.org/officeDocument/2006/relationships/worksheet"/>
<Relationship Id="rId20" Target="volatileDependencies.xml" Type="http://schemas.openxmlformats.org/officeDocument/2006/relationships/volatileDependencies"/>
<Relationship Id="rId21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192</xdr:row>
      <xdr:rowOff>0</xdr:rowOff>
    </xdr:from>
    <xdr:to>
      <xdr:col>9</xdr:col>
      <xdr:colOff>114300</xdr:colOff>
      <xdr:row>215</xdr:row>
      <xdr:rowOff>104775</xdr:rowOff>
    </xdr:to>
    <xdr:pic>
      <xdr:nvPicPr>
        <xdr:cNvPr id="46081" name="Picture 1" descr="C:\Users\wangalan\AppData\Local\Temp\MercuryPriceRatingHistoryChart\BIDU.O_2018_04_23_18_48_5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8799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/Users/alan/Downloads/BBG%20Comps%20Sheet_v20171215.xlsm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"/>
      <sheetName val="BBG_Formula"/>
      <sheetName val="BBG_Output"/>
      <sheetName val="Corporate Tax Rate"/>
      <sheetName val="GMV_Comps"/>
      <sheetName val="Galaxy Output"/>
      <sheetName val="Entertainment Output"/>
      <sheetName val="Summary"/>
      <sheetName val="Output_Hardcode"/>
      <sheetName val="Paper_Portfolio"/>
    </sheetNames>
    <sheetDataSet>
      <sheetData sheetId="0"/>
      <sheetData sheetId="1">
        <row r="4">
          <cell r="B4">
            <v>43083</v>
          </cell>
        </row>
      </sheetData>
      <sheetData sheetId="2">
        <row r="6">
          <cell r="B6">
            <v>100</v>
          </cell>
        </row>
        <row r="7">
          <cell r="B7">
            <v>100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12"/>
  <sheetViews>
    <sheetView showGridLines="0" tabSelected="1" workbookViewId="0"/>
  </sheetViews>
  <sheetFormatPr defaultRowHeight="12.75"/>
  <cols>
    <col min="1" max="1" width="25.83203125" style="303" customWidth="1"/>
    <col min="2" max="5" width="9.33203125" style="303"/>
    <col min="6" max="6" width="18.83203125" style="303" customWidth="1"/>
    <col min="7" max="256" width="9.33203125" style="303"/>
    <col min="257" max="257" width="117.5" style="303" customWidth="1"/>
    <col min="258" max="512" width="9.33203125" style="303"/>
    <col min="513" max="513" width="117.5" style="303" customWidth="1"/>
    <col min="514" max="768" width="9.33203125" style="303"/>
    <col min="769" max="769" width="117.5" style="303" customWidth="1"/>
    <col min="770" max="1024" width="9.33203125" style="303"/>
    <col min="1025" max="1025" width="117.5" style="303" customWidth="1"/>
    <col min="1026" max="1280" width="9.33203125" style="303"/>
    <col min="1281" max="1281" width="117.5" style="303" customWidth="1"/>
    <col min="1282" max="1536" width="9.33203125" style="303"/>
    <col min="1537" max="1537" width="117.5" style="303" customWidth="1"/>
    <col min="1538" max="1792" width="9.33203125" style="303"/>
    <col min="1793" max="1793" width="117.5" style="303" customWidth="1"/>
    <col min="1794" max="2048" width="9.33203125" style="303"/>
    <col min="2049" max="2049" width="117.5" style="303" customWidth="1"/>
    <col min="2050" max="2304" width="9.33203125" style="303"/>
    <col min="2305" max="2305" width="117.5" style="303" customWidth="1"/>
    <col min="2306" max="2560" width="9.33203125" style="303"/>
    <col min="2561" max="2561" width="117.5" style="303" customWidth="1"/>
    <col min="2562" max="2816" width="9.33203125" style="303"/>
    <col min="2817" max="2817" width="117.5" style="303" customWidth="1"/>
    <col min="2818" max="3072" width="9.33203125" style="303"/>
    <col min="3073" max="3073" width="117.5" style="303" customWidth="1"/>
    <col min="3074" max="3328" width="9.33203125" style="303"/>
    <col min="3329" max="3329" width="117.5" style="303" customWidth="1"/>
    <col min="3330" max="3584" width="9.33203125" style="303"/>
    <col min="3585" max="3585" width="117.5" style="303" customWidth="1"/>
    <col min="3586" max="3840" width="9.33203125" style="303"/>
    <col min="3841" max="3841" width="117.5" style="303" customWidth="1"/>
    <col min="3842" max="4096" width="9.33203125" style="303"/>
    <col min="4097" max="4097" width="117.5" style="303" customWidth="1"/>
    <col min="4098" max="4352" width="9.33203125" style="303"/>
    <col min="4353" max="4353" width="117.5" style="303" customWidth="1"/>
    <col min="4354" max="4608" width="9.33203125" style="303"/>
    <col min="4609" max="4609" width="117.5" style="303" customWidth="1"/>
    <col min="4610" max="4864" width="9.33203125" style="303"/>
    <col min="4865" max="4865" width="117.5" style="303" customWidth="1"/>
    <col min="4866" max="5120" width="9.33203125" style="303"/>
    <col min="5121" max="5121" width="117.5" style="303" customWidth="1"/>
    <col min="5122" max="5376" width="9.33203125" style="303"/>
    <col min="5377" max="5377" width="117.5" style="303" customWidth="1"/>
    <col min="5378" max="5632" width="9.33203125" style="303"/>
    <col min="5633" max="5633" width="117.5" style="303" customWidth="1"/>
    <col min="5634" max="5888" width="9.33203125" style="303"/>
    <col min="5889" max="5889" width="117.5" style="303" customWidth="1"/>
    <col min="5890" max="6144" width="9.33203125" style="303"/>
    <col min="6145" max="6145" width="117.5" style="303" customWidth="1"/>
    <col min="6146" max="6400" width="9.33203125" style="303"/>
    <col min="6401" max="6401" width="117.5" style="303" customWidth="1"/>
    <col min="6402" max="6656" width="9.33203125" style="303"/>
    <col min="6657" max="6657" width="117.5" style="303" customWidth="1"/>
    <col min="6658" max="6912" width="9.33203125" style="303"/>
    <col min="6913" max="6913" width="117.5" style="303" customWidth="1"/>
    <col min="6914" max="7168" width="9.33203125" style="303"/>
    <col min="7169" max="7169" width="117.5" style="303" customWidth="1"/>
    <col min="7170" max="7424" width="9.33203125" style="303"/>
    <col min="7425" max="7425" width="117.5" style="303" customWidth="1"/>
    <col min="7426" max="7680" width="9.33203125" style="303"/>
    <col min="7681" max="7681" width="117.5" style="303" customWidth="1"/>
    <col min="7682" max="7936" width="9.33203125" style="303"/>
    <col min="7937" max="7937" width="117.5" style="303" customWidth="1"/>
    <col min="7938" max="8192" width="9.33203125" style="303"/>
    <col min="8193" max="8193" width="117.5" style="303" customWidth="1"/>
    <col min="8194" max="8448" width="9.33203125" style="303"/>
    <col min="8449" max="8449" width="117.5" style="303" customWidth="1"/>
    <col min="8450" max="8704" width="9.33203125" style="303"/>
    <col min="8705" max="8705" width="117.5" style="303" customWidth="1"/>
    <col min="8706" max="8960" width="9.33203125" style="303"/>
    <col min="8961" max="8961" width="117.5" style="303" customWidth="1"/>
    <col min="8962" max="9216" width="9.33203125" style="303"/>
    <col min="9217" max="9217" width="117.5" style="303" customWidth="1"/>
    <col min="9218" max="9472" width="9.33203125" style="303"/>
    <col min="9473" max="9473" width="117.5" style="303" customWidth="1"/>
    <col min="9474" max="9728" width="9.33203125" style="303"/>
    <col min="9729" max="9729" width="117.5" style="303" customWidth="1"/>
    <col min="9730" max="9984" width="9.33203125" style="303"/>
    <col min="9985" max="9985" width="117.5" style="303" customWidth="1"/>
    <col min="9986" max="10240" width="9.33203125" style="303"/>
    <col min="10241" max="10241" width="117.5" style="303" customWidth="1"/>
    <col min="10242" max="10496" width="9.33203125" style="303"/>
    <col min="10497" max="10497" width="117.5" style="303" customWidth="1"/>
    <col min="10498" max="10752" width="9.33203125" style="303"/>
    <col min="10753" max="10753" width="117.5" style="303" customWidth="1"/>
    <col min="10754" max="11008" width="9.33203125" style="303"/>
    <col min="11009" max="11009" width="117.5" style="303" customWidth="1"/>
    <col min="11010" max="11264" width="9.33203125" style="303"/>
    <col min="11265" max="11265" width="117.5" style="303" customWidth="1"/>
    <col min="11266" max="11520" width="9.33203125" style="303"/>
    <col min="11521" max="11521" width="117.5" style="303" customWidth="1"/>
    <col min="11522" max="11776" width="9.33203125" style="303"/>
    <col min="11777" max="11777" width="117.5" style="303" customWidth="1"/>
    <col min="11778" max="12032" width="9.33203125" style="303"/>
    <col min="12033" max="12033" width="117.5" style="303" customWidth="1"/>
    <col min="12034" max="12288" width="9.33203125" style="303"/>
    <col min="12289" max="12289" width="117.5" style="303" customWidth="1"/>
    <col min="12290" max="12544" width="9.33203125" style="303"/>
    <col min="12545" max="12545" width="117.5" style="303" customWidth="1"/>
    <col min="12546" max="12800" width="9.33203125" style="303"/>
    <col min="12801" max="12801" width="117.5" style="303" customWidth="1"/>
    <col min="12802" max="13056" width="9.33203125" style="303"/>
    <col min="13057" max="13057" width="117.5" style="303" customWidth="1"/>
    <col min="13058" max="13312" width="9.33203125" style="303"/>
    <col min="13313" max="13313" width="117.5" style="303" customWidth="1"/>
    <col min="13314" max="13568" width="9.33203125" style="303"/>
    <col min="13569" max="13569" width="117.5" style="303" customWidth="1"/>
    <col min="13570" max="13824" width="9.33203125" style="303"/>
    <col min="13825" max="13825" width="117.5" style="303" customWidth="1"/>
    <col min="13826" max="14080" width="9.33203125" style="303"/>
    <col min="14081" max="14081" width="117.5" style="303" customWidth="1"/>
    <col min="14082" max="14336" width="9.33203125" style="303"/>
    <col min="14337" max="14337" width="117.5" style="303" customWidth="1"/>
    <col min="14338" max="14592" width="9.33203125" style="303"/>
    <col min="14593" max="14593" width="117.5" style="303" customWidth="1"/>
    <col min="14594" max="14848" width="9.33203125" style="303"/>
    <col min="14849" max="14849" width="117.5" style="303" customWidth="1"/>
    <col min="14850" max="15104" width="9.33203125" style="303"/>
    <col min="15105" max="15105" width="117.5" style="303" customWidth="1"/>
    <col min="15106" max="15360" width="9.33203125" style="303"/>
    <col min="15361" max="15361" width="117.5" style="303" customWidth="1"/>
    <col min="15362" max="15616" width="9.33203125" style="303"/>
    <col min="15617" max="15617" width="117.5" style="303" customWidth="1"/>
    <col min="15618" max="15872" width="9.33203125" style="303"/>
    <col min="15873" max="15873" width="117.5" style="303" customWidth="1"/>
    <col min="15874" max="16128" width="9.33203125" style="303"/>
    <col min="16129" max="16129" width="117.5" style="303" customWidth="1"/>
    <col min="16130" max="16384" width="9.33203125" style="303"/>
  </cols>
  <sheetData>
    <row r="1" spans="1:8" ht="30" customHeight="1">
      <c r="A1" s="301"/>
      <c r="B1" s="302"/>
      <c r="C1" s="302"/>
      <c r="D1" s="302"/>
      <c r="E1" s="302"/>
      <c r="F1" s="302"/>
      <c r="G1" s="302"/>
      <c r="H1" s="302"/>
    </row>
    <row r="2" spans="1:8" ht="14.25">
      <c r="A2" s="304" t="s">
        <v>734</v>
      </c>
      <c r="B2" s="302"/>
      <c r="C2" s="302"/>
      <c r="D2" s="302"/>
      <c r="E2" s="302"/>
      <c r="F2" s="302"/>
      <c r="G2" s="302"/>
      <c r="H2" s="302"/>
    </row>
    <row r="3" spans="1:8" ht="14.25">
      <c r="A3" s="304" t="s">
        <v>735</v>
      </c>
      <c r="B3" s="302"/>
      <c r="C3" s="302"/>
      <c r="D3" s="302"/>
      <c r="E3" s="302"/>
      <c r="F3" s="302"/>
      <c r="G3" s="302"/>
      <c r="H3" s="302"/>
    </row>
    <row r="4" spans="1:8" ht="14.25">
      <c r="A4" s="304" t="s">
        <v>736</v>
      </c>
      <c r="B4" s="302"/>
      <c r="C4" s="302"/>
      <c r="D4" s="302"/>
      <c r="E4" s="302"/>
      <c r="F4" s="302"/>
      <c r="G4" s="302"/>
      <c r="H4" s="302"/>
    </row>
    <row r="5" spans="1:8" ht="14.25">
      <c r="A5" s="304" t="s">
        <v>737</v>
      </c>
      <c r="B5" s="302"/>
      <c r="C5" s="302"/>
      <c r="D5" s="302"/>
      <c r="E5" s="302"/>
      <c r="F5" s="302"/>
      <c r="G5" s="302"/>
      <c r="H5" s="302"/>
    </row>
    <row r="6" spans="1:8" ht="14.25">
      <c r="A6" s="304"/>
      <c r="B6" s="302"/>
      <c r="C6" s="302"/>
      <c r="D6" s="302"/>
      <c r="E6" s="302"/>
      <c r="F6" s="302"/>
      <c r="G6" s="302"/>
      <c r="H6" s="302"/>
    </row>
    <row r="7" spans="1:8">
      <c r="A7" s="301" t="s">
        <v>738</v>
      </c>
      <c r="B7" s="302"/>
      <c r="C7" s="302"/>
      <c r="D7" s="302"/>
      <c r="E7" s="302"/>
      <c r="F7" s="302"/>
      <c r="G7" s="302"/>
      <c r="H7" s="302"/>
    </row>
    <row r="8" spans="1:8">
      <c r="A8" s="301" t="s">
        <v>739</v>
      </c>
      <c r="B8" s="302"/>
      <c r="C8" s="302"/>
      <c r="D8" s="302"/>
      <c r="E8" s="302"/>
      <c r="F8" s="302"/>
      <c r="G8" s="302"/>
      <c r="H8" s="302"/>
    </row>
    <row r="9" spans="1:8">
      <c r="A9" s="301"/>
      <c r="B9" s="302"/>
      <c r="C9" s="302"/>
      <c r="D9" s="302"/>
      <c r="E9" s="302"/>
      <c r="F9" s="302"/>
      <c r="G9" s="302"/>
      <c r="H9" s="302"/>
    </row>
    <row r="10" spans="1:8">
      <c r="A10" s="305" t="s">
        <v>740</v>
      </c>
      <c r="B10" s="302"/>
      <c r="C10" s="302"/>
      <c r="D10" s="302"/>
      <c r="E10" s="302"/>
      <c r="F10" s="302"/>
      <c r="G10" s="302"/>
      <c r="H10" s="302"/>
    </row>
    <row r="11" spans="1:8">
      <c r="A11" s="305" t="s">
        <v>741</v>
      </c>
      <c r="B11" s="302"/>
      <c r="C11" s="302"/>
      <c r="D11" s="302"/>
      <c r="E11" s="302"/>
      <c r="F11" s="302"/>
      <c r="G11" s="302"/>
      <c r="H11" s="302"/>
    </row>
    <row r="12" spans="1:8">
      <c r="A12" s="305" t="s">
        <v>742</v>
      </c>
      <c r="B12" s="302"/>
      <c r="C12" s="302"/>
      <c r="D12" s="302"/>
      <c r="E12" s="302"/>
      <c r="F12" s="302"/>
      <c r="G12" s="302"/>
      <c r="H12" s="302"/>
    </row>
    <row r="13" spans="1:8">
      <c r="A13" s="305" t="s">
        <v>743</v>
      </c>
      <c r="B13" s="302"/>
      <c r="C13" s="302"/>
      <c r="D13" s="302"/>
      <c r="E13" s="302"/>
      <c r="F13" s="302"/>
      <c r="G13" s="302"/>
      <c r="H13" s="302"/>
    </row>
    <row r="14" spans="1:8">
      <c r="A14" s="305" t="s">
        <v>744</v>
      </c>
      <c r="B14" s="302"/>
      <c r="C14" s="302"/>
      <c r="D14" s="302"/>
      <c r="E14" s="302"/>
      <c r="F14" s="302"/>
      <c r="G14" s="302"/>
      <c r="H14" s="302"/>
    </row>
    <row r="15" spans="1:8">
      <c r="A15" s="305" t="s">
        <v>745</v>
      </c>
      <c r="B15" s="302"/>
      <c r="C15" s="302"/>
      <c r="D15" s="302"/>
      <c r="E15" s="302"/>
      <c r="F15" s="302"/>
      <c r="G15" s="302"/>
      <c r="H15" s="302"/>
    </row>
    <row r="16" spans="1:8">
      <c r="A16" s="305"/>
      <c r="B16" s="302"/>
      <c r="C16" s="302"/>
      <c r="D16" s="302"/>
      <c r="E16" s="302"/>
      <c r="F16" s="302"/>
      <c r="G16" s="302"/>
      <c r="H16" s="302"/>
    </row>
    <row r="17" spans="1:8">
      <c r="A17" s="305" t="s">
        <v>731</v>
      </c>
      <c r="B17" s="302"/>
      <c r="C17" s="302"/>
      <c r="D17" s="302"/>
      <c r="E17" s="302"/>
      <c r="F17" s="302"/>
      <c r="G17" s="302"/>
      <c r="H17" s="302"/>
    </row>
    <row r="18" spans="1:8">
      <c r="A18" s="305"/>
      <c r="B18" s="302"/>
      <c r="C18" s="302"/>
      <c r="D18" s="302"/>
      <c r="E18" s="302"/>
      <c r="F18" s="302"/>
      <c r="G18" s="302"/>
      <c r="H18" s="302"/>
    </row>
    <row r="19" spans="1:8">
      <c r="A19" s="305" t="s">
        <v>732</v>
      </c>
      <c r="B19" s="302"/>
      <c r="C19" s="302"/>
      <c r="D19" s="302"/>
      <c r="E19" s="302"/>
      <c r="F19" s="302"/>
      <c r="G19" s="302"/>
      <c r="H19" s="302"/>
    </row>
    <row r="20" spans="1:8">
      <c r="A20" s="301"/>
      <c r="B20" s="302"/>
      <c r="C20" s="302"/>
      <c r="D20" s="302"/>
      <c r="E20" s="302"/>
      <c r="F20" s="302"/>
      <c r="G20" s="302"/>
      <c r="H20" s="302"/>
    </row>
    <row r="21" spans="1:8">
      <c r="A21" s="306" t="s">
        <v>733</v>
      </c>
      <c r="B21" s="302"/>
      <c r="C21" s="302"/>
      <c r="D21" s="302"/>
      <c r="E21" s="302"/>
      <c r="F21" s="302"/>
      <c r="G21" s="302"/>
      <c r="H21" s="302"/>
    </row>
    <row r="22" spans="1:8">
      <c r="A22" s="307"/>
      <c r="B22" s="307"/>
      <c r="C22" s="307"/>
      <c r="D22" s="307"/>
      <c r="E22" s="307"/>
      <c r="F22" s="307"/>
      <c r="G22" s="307"/>
      <c r="H22" s="307"/>
    </row>
    <row r="23" spans="1:8">
      <c r="A23" s="308" t="s">
        <v>1040</v>
      </c>
      <c r="B23" s="307"/>
      <c r="C23" s="307"/>
      <c r="D23" s="307"/>
      <c r="E23" s="307"/>
      <c r="F23" s="307"/>
      <c r="G23" s="307"/>
      <c r="H23" s="307"/>
    </row>
    <row r="24" spans="1:8">
      <c r="A24" s="308" t="s">
        <v>1041</v>
      </c>
      <c r="B24" s="307"/>
      <c r="C24" s="307"/>
      <c r="D24" s="307"/>
      <c r="E24" s="307"/>
      <c r="F24" s="307"/>
      <c r="G24" s="307"/>
      <c r="H24" s="307"/>
    </row>
    <row r="25" spans="1:8">
      <c r="A25" s="308" t="s">
        <v>1042</v>
      </c>
      <c r="B25" s="307"/>
      <c r="C25" s="307"/>
      <c r="D25" s="307"/>
      <c r="E25" s="307"/>
      <c r="F25" s="307"/>
      <c r="G25" s="307"/>
      <c r="H25" s="307"/>
    </row>
    <row r="26" spans="1:8">
      <c r="A26" s="308" t="s">
        <v>1043</v>
      </c>
      <c r="B26" s="307"/>
      <c r="C26" s="307"/>
      <c r="D26" s="307"/>
      <c r="E26" s="307"/>
      <c r="F26" s="307"/>
      <c r="G26" s="307"/>
      <c r="H26" s="307"/>
    </row>
    <row r="27" spans="1:8">
      <c r="A27" s="307"/>
      <c r="B27" s="307"/>
      <c r="C27" s="307"/>
      <c r="D27" s="307"/>
      <c r="E27" s="307"/>
      <c r="F27" s="307"/>
      <c r="G27" s="307"/>
      <c r="H27" s="307"/>
    </row>
    <row r="28" spans="1:8">
      <c r="A28" s="307"/>
      <c r="B28" s="307"/>
      <c r="C28" s="307"/>
      <c r="D28" s="307"/>
      <c r="E28" s="307"/>
      <c r="F28" s="307"/>
      <c r="G28" s="307"/>
      <c r="H28" s="307"/>
    </row>
    <row r="29" spans="1:8">
      <c r="A29" s="308" t="s">
        <v>1023</v>
      </c>
      <c r="B29" s="307"/>
      <c r="C29" s="307"/>
      <c r="D29" s="307"/>
      <c r="E29" s="307"/>
      <c r="F29" s="307"/>
      <c r="G29" s="307"/>
      <c r="H29" s="307"/>
    </row>
    <row r="30" spans="1:8">
      <c r="A30" s="308" t="s">
        <v>1024</v>
      </c>
      <c r="B30" s="307"/>
      <c r="C30" s="307"/>
      <c r="D30" s="307"/>
      <c r="E30" s="307"/>
      <c r="F30" s="307"/>
      <c r="G30" s="307"/>
      <c r="H30" s="307"/>
    </row>
    <row r="31" spans="1:8">
      <c r="A31" s="308" t="s">
        <v>1025</v>
      </c>
      <c r="B31" s="307"/>
      <c r="C31" s="307"/>
      <c r="D31" s="307"/>
      <c r="E31" s="307"/>
      <c r="F31" s="307"/>
      <c r="G31" s="307"/>
      <c r="H31" s="307"/>
    </row>
    <row r="32" spans="1:8">
      <c r="A32" s="308" t="s">
        <v>1026</v>
      </c>
      <c r="B32" s="307"/>
      <c r="C32" s="307"/>
      <c r="D32" s="307"/>
      <c r="E32" s="307"/>
      <c r="F32" s="307"/>
      <c r="G32" s="307"/>
      <c r="H32" s="307"/>
    </row>
    <row r="33" spans="1:8">
      <c r="A33" s="308" t="s">
        <v>1027</v>
      </c>
      <c r="B33" s="307"/>
      <c r="C33" s="307"/>
      <c r="D33" s="307"/>
      <c r="E33" s="307"/>
      <c r="F33" s="307"/>
      <c r="G33" s="307"/>
      <c r="H33" s="307"/>
    </row>
    <row r="34" spans="1:8">
      <c r="A34" s="308" t="s">
        <v>1028</v>
      </c>
      <c r="B34" s="307"/>
      <c r="C34" s="307"/>
      <c r="D34" s="307"/>
      <c r="E34" s="307"/>
      <c r="F34" s="307"/>
      <c r="G34" s="307"/>
      <c r="H34" s="307"/>
    </row>
    <row r="35" spans="1:8">
      <c r="A35" s="308" t="s">
        <v>1029</v>
      </c>
      <c r="B35" s="307"/>
      <c r="C35" s="307"/>
      <c r="D35" s="307"/>
      <c r="E35" s="307"/>
      <c r="F35" s="307"/>
      <c r="G35" s="307"/>
      <c r="H35" s="307"/>
    </row>
    <row r="36" spans="1:8">
      <c r="A36" s="308" t="s">
        <v>1030</v>
      </c>
      <c r="B36" s="307"/>
      <c r="C36" s="307"/>
      <c r="D36" s="307"/>
      <c r="E36" s="307"/>
      <c r="F36" s="307"/>
      <c r="G36" s="307"/>
      <c r="H36" s="307"/>
    </row>
    <row r="37" spans="1:8">
      <c r="A37" s="308" t="s">
        <v>1031</v>
      </c>
      <c r="B37" s="307"/>
      <c r="C37" s="307"/>
      <c r="D37" s="307"/>
      <c r="E37" s="307"/>
      <c r="F37" s="307"/>
      <c r="G37" s="307"/>
      <c r="H37" s="307"/>
    </row>
    <row r="38" spans="1:8">
      <c r="A38" s="308" t="s">
        <v>1032</v>
      </c>
      <c r="B38" s="307"/>
      <c r="C38" s="307"/>
      <c r="D38" s="307"/>
      <c r="E38" s="307"/>
      <c r="F38" s="307"/>
      <c r="G38" s="307"/>
      <c r="H38" s="307"/>
    </row>
    <row r="39" spans="1:8">
      <c r="A39" s="308" t="s">
        <v>1033</v>
      </c>
      <c r="B39" s="307"/>
      <c r="C39" s="307"/>
      <c r="D39" s="307"/>
      <c r="E39" s="307"/>
      <c r="F39" s="307"/>
      <c r="G39" s="307"/>
      <c r="H39" s="307"/>
    </row>
    <row r="40" spans="1:8">
      <c r="A40" s="308" t="s">
        <v>1034</v>
      </c>
      <c r="B40" s="307"/>
      <c r="C40" s="307"/>
      <c r="D40" s="307"/>
      <c r="E40" s="307"/>
      <c r="F40" s="307"/>
      <c r="G40" s="307"/>
      <c r="H40" s="307"/>
    </row>
    <row r="41" spans="1:8">
      <c r="A41" s="308" t="s">
        <v>1035</v>
      </c>
      <c r="B41" s="307"/>
      <c r="C41" s="307"/>
      <c r="D41" s="307"/>
      <c r="E41" s="307"/>
      <c r="F41" s="307"/>
      <c r="G41" s="307"/>
      <c r="H41" s="307"/>
    </row>
    <row r="42" spans="1:8">
      <c r="A42" s="308" t="s">
        <v>1036</v>
      </c>
      <c r="B42" s="307"/>
      <c r="C42" s="307"/>
      <c r="D42" s="307"/>
      <c r="E42" s="307"/>
      <c r="F42" s="307"/>
      <c r="G42" s="307"/>
      <c r="H42" s="307"/>
    </row>
    <row r="43" spans="1:8">
      <c r="A43" s="308" t="s">
        <v>1037</v>
      </c>
      <c r="B43" s="307"/>
      <c r="C43" s="307"/>
      <c r="D43" s="307"/>
      <c r="E43" s="307"/>
      <c r="F43" s="307"/>
      <c r="G43" s="307"/>
      <c r="H43" s="307"/>
    </row>
    <row r="44" spans="1:8">
      <c r="A44" s="308" t="s">
        <v>1038</v>
      </c>
      <c r="B44" s="307"/>
      <c r="C44" s="307"/>
      <c r="D44" s="307"/>
      <c r="E44" s="307"/>
      <c r="F44" s="307"/>
      <c r="G44" s="307"/>
      <c r="H44" s="307"/>
    </row>
    <row r="45" spans="1:8">
      <c r="A45" s="308" t="s">
        <v>1039</v>
      </c>
      <c r="B45" s="307"/>
      <c r="C45" s="307"/>
      <c r="D45" s="307"/>
      <c r="E45" s="307"/>
      <c r="F45" s="307"/>
      <c r="G45" s="307"/>
      <c r="H45" s="307"/>
    </row>
    <row r="46" spans="1:8">
      <c r="A46" s="307"/>
      <c r="B46" s="307"/>
      <c r="C46" s="307"/>
      <c r="D46" s="307"/>
      <c r="E46" s="307"/>
      <c r="F46" s="307"/>
      <c r="G46" s="307"/>
      <c r="H46" s="307"/>
    </row>
    <row r="47" spans="1:8">
      <c r="A47" s="308" t="s">
        <v>1019</v>
      </c>
      <c r="B47" s="307"/>
      <c r="C47" s="307"/>
      <c r="D47" s="307"/>
      <c r="E47" s="307"/>
      <c r="F47" s="307"/>
      <c r="G47" s="307"/>
      <c r="H47" s="307"/>
    </row>
    <row r="48" spans="1:8">
      <c r="A48" s="308" t="s">
        <v>1020</v>
      </c>
      <c r="B48" s="307"/>
      <c r="C48" s="307"/>
      <c r="D48" s="307"/>
      <c r="E48" s="307"/>
      <c r="F48" s="307"/>
      <c r="G48" s="307"/>
      <c r="H48" s="307"/>
    </row>
    <row r="49" spans="1:8">
      <c r="A49" s="308" t="s">
        <v>1021</v>
      </c>
      <c r="B49" s="307"/>
      <c r="C49" s="307"/>
      <c r="D49" s="307"/>
      <c r="E49" s="307"/>
      <c r="F49" s="307"/>
      <c r="G49" s="307"/>
      <c r="H49" s="307"/>
    </row>
    <row r="50" spans="1:8">
      <c r="A50" s="308" t="s">
        <v>1022</v>
      </c>
      <c r="B50" s="307"/>
      <c r="C50" s="307"/>
      <c r="D50" s="307"/>
      <c r="E50" s="307"/>
      <c r="F50" s="307"/>
      <c r="G50" s="307"/>
      <c r="H50" s="307"/>
    </row>
    <row r="51" spans="1:8">
      <c r="A51" s="307"/>
      <c r="B51" s="307"/>
      <c r="C51" s="307"/>
      <c r="D51" s="307"/>
      <c r="E51" s="307"/>
      <c r="F51" s="307"/>
      <c r="G51" s="307"/>
      <c r="H51" s="307"/>
    </row>
    <row r="52" spans="1:8">
      <c r="A52" s="308" t="s">
        <v>1013</v>
      </c>
      <c r="B52" s="307"/>
      <c r="C52" s="307"/>
      <c r="D52" s="307"/>
      <c r="E52" s="307"/>
      <c r="F52" s="307"/>
      <c r="G52" s="307"/>
      <c r="H52" s="307"/>
    </row>
    <row r="53" spans="1:8">
      <c r="A53" s="308" t="s">
        <v>1014</v>
      </c>
      <c r="B53" s="307"/>
      <c r="C53" s="307"/>
      <c r="D53" s="307"/>
      <c r="E53" s="307"/>
      <c r="F53" s="307"/>
      <c r="G53" s="307"/>
      <c r="H53" s="307"/>
    </row>
    <row r="54" spans="1:8">
      <c r="A54" s="308" t="s">
        <v>1015</v>
      </c>
      <c r="B54" s="307"/>
      <c r="C54" s="307"/>
      <c r="D54" s="307"/>
      <c r="E54" s="307"/>
      <c r="F54" s="307"/>
      <c r="G54" s="307"/>
      <c r="H54" s="307"/>
    </row>
    <row r="55" spans="1:8">
      <c r="A55" s="308" t="s">
        <v>1016</v>
      </c>
      <c r="B55" s="307"/>
      <c r="C55" s="307"/>
      <c r="D55" s="307"/>
      <c r="E55" s="307"/>
      <c r="F55" s="307"/>
      <c r="G55" s="307"/>
      <c r="H55" s="307"/>
    </row>
    <row r="56" spans="1:8">
      <c r="A56" s="308" t="s">
        <v>1017</v>
      </c>
      <c r="B56" s="307"/>
      <c r="C56" s="307"/>
      <c r="D56" s="307"/>
      <c r="E56" s="307"/>
      <c r="F56" s="307"/>
      <c r="G56" s="307"/>
      <c r="H56" s="307"/>
    </row>
    <row r="57" spans="1:8">
      <c r="A57" s="308" t="s">
        <v>1018</v>
      </c>
      <c r="B57" s="307"/>
      <c r="C57" s="307"/>
      <c r="D57" s="307"/>
      <c r="E57" s="307"/>
      <c r="F57" s="307"/>
      <c r="G57" s="307"/>
      <c r="H57" s="307"/>
    </row>
    <row r="58" spans="1:8">
      <c r="A58" s="307"/>
      <c r="B58" s="307"/>
      <c r="C58" s="307"/>
      <c r="D58" s="307"/>
      <c r="E58" s="307"/>
      <c r="F58" s="307"/>
      <c r="G58" s="307"/>
      <c r="H58" s="307"/>
    </row>
    <row r="59" spans="1:8" ht="15.75">
      <c r="A59" s="309" t="s">
        <v>746</v>
      </c>
      <c r="B59" s="307"/>
      <c r="C59" s="307"/>
      <c r="D59" s="307"/>
      <c r="E59" s="307"/>
      <c r="F59" s="307"/>
      <c r="G59" s="307"/>
      <c r="H59" s="307"/>
    </row>
    <row r="60" spans="1:8">
      <c r="A60" s="307"/>
      <c r="B60" s="307"/>
      <c r="C60" s="307"/>
      <c r="D60" s="307"/>
      <c r="E60" s="307"/>
      <c r="F60" s="307"/>
      <c r="G60" s="307"/>
      <c r="H60" s="307"/>
    </row>
    <row r="61" spans="1:8">
      <c r="A61" s="308" t="s">
        <v>1009</v>
      </c>
      <c r="B61" s="307"/>
      <c r="C61" s="307"/>
      <c r="D61" s="307"/>
      <c r="E61" s="307"/>
      <c r="F61" s="307"/>
      <c r="G61" s="307"/>
      <c r="H61" s="307"/>
    </row>
    <row r="62" spans="1:8">
      <c r="A62" s="308" t="s">
        <v>1010</v>
      </c>
      <c r="B62" s="307"/>
      <c r="C62" s="307"/>
      <c r="D62" s="307"/>
      <c r="E62" s="307"/>
      <c r="F62" s="307"/>
      <c r="G62" s="307"/>
      <c r="H62" s="307"/>
    </row>
    <row r="63" spans="1:8">
      <c r="A63" s="308" t="s">
        <v>1011</v>
      </c>
      <c r="B63" s="307"/>
      <c r="C63" s="307"/>
      <c r="D63" s="307"/>
      <c r="E63" s="307"/>
      <c r="F63" s="307"/>
      <c r="G63" s="307"/>
      <c r="H63" s="307"/>
    </row>
    <row r="64" spans="1:8">
      <c r="A64" s="308" t="s">
        <v>1012</v>
      </c>
      <c r="B64" s="307"/>
      <c r="C64" s="307"/>
      <c r="D64" s="307"/>
      <c r="E64" s="307"/>
      <c r="F64" s="307"/>
      <c r="G64" s="307"/>
      <c r="H64" s="307"/>
    </row>
    <row r="65" spans="1:8">
      <c r="A65" s="307"/>
      <c r="B65" s="307"/>
      <c r="C65" s="307"/>
      <c r="D65" s="307"/>
      <c r="E65" s="307"/>
      <c r="F65" s="307"/>
      <c r="G65" s="307"/>
      <c r="H65" s="307"/>
    </row>
    <row r="66" spans="1:8">
      <c r="A66" s="308" t="s">
        <v>747</v>
      </c>
      <c r="B66" s="307"/>
      <c r="C66" s="307"/>
      <c r="D66" s="307"/>
      <c r="E66" s="307"/>
      <c r="F66" s="307"/>
      <c r="G66" s="307"/>
      <c r="H66" s="307"/>
    </row>
    <row r="67" spans="1:8">
      <c r="A67" s="307"/>
      <c r="B67" s="307"/>
      <c r="C67" s="307"/>
      <c r="D67" s="307"/>
      <c r="E67" s="307"/>
      <c r="F67" s="307"/>
      <c r="G67" s="307"/>
      <c r="H67" s="307"/>
    </row>
    <row r="68" spans="1:8" ht="15.75">
      <c r="A68" s="309" t="s">
        <v>748</v>
      </c>
      <c r="B68" s="307"/>
      <c r="C68" s="307"/>
      <c r="D68" s="307"/>
      <c r="E68" s="307"/>
      <c r="F68" s="307"/>
      <c r="G68" s="307"/>
      <c r="H68" s="307"/>
    </row>
    <row r="69" spans="1:8">
      <c r="A69" s="307"/>
      <c r="B69" s="307"/>
      <c r="C69" s="307"/>
      <c r="D69" s="307"/>
      <c r="E69" s="307"/>
      <c r="F69" s="307"/>
      <c r="G69" s="307"/>
      <c r="H69" s="307"/>
    </row>
    <row r="70" spans="1:8">
      <c r="A70" s="308" t="s">
        <v>1007</v>
      </c>
      <c r="B70" s="307"/>
      <c r="C70" s="307"/>
      <c r="D70" s="307"/>
      <c r="E70" s="307"/>
      <c r="F70" s="307"/>
      <c r="G70" s="307"/>
      <c r="H70" s="307"/>
    </row>
    <row r="71" spans="1:8">
      <c r="A71" s="308" t="s">
        <v>1008</v>
      </c>
      <c r="B71" s="307"/>
      <c r="C71" s="307"/>
      <c r="D71" s="307"/>
      <c r="E71" s="307"/>
      <c r="F71" s="307"/>
      <c r="G71" s="307"/>
      <c r="H71" s="307"/>
    </row>
    <row r="72" spans="1:8">
      <c r="A72" s="307"/>
      <c r="B72" s="307"/>
      <c r="C72" s="307"/>
      <c r="D72" s="307"/>
      <c r="E72" s="307"/>
      <c r="F72" s="307"/>
      <c r="G72" s="307"/>
      <c r="H72" s="307"/>
    </row>
    <row r="73" spans="1:8" ht="15.75">
      <c r="A73" s="309" t="s">
        <v>749</v>
      </c>
      <c r="B73" s="307"/>
      <c r="C73" s="307"/>
      <c r="D73" s="307"/>
      <c r="E73" s="307"/>
      <c r="F73" s="307"/>
      <c r="G73" s="307"/>
      <c r="H73" s="307"/>
    </row>
    <row r="74" spans="1:8">
      <c r="A74" s="307"/>
      <c r="B74" s="307"/>
      <c r="C74" s="307"/>
      <c r="D74" s="307"/>
      <c r="E74" s="307"/>
      <c r="F74" s="307"/>
      <c r="G74" s="307"/>
      <c r="H74" s="307"/>
    </row>
    <row r="75" spans="1:8">
      <c r="A75" s="308" t="s">
        <v>1005</v>
      </c>
      <c r="B75" s="307"/>
      <c r="C75" s="307"/>
      <c r="D75" s="307"/>
      <c r="E75" s="307"/>
      <c r="F75" s="307"/>
      <c r="G75" s="307"/>
      <c r="H75" s="307"/>
    </row>
    <row r="76" spans="1:8">
      <c r="A76" s="308" t="s">
        <v>1006</v>
      </c>
      <c r="B76" s="307"/>
      <c r="C76" s="307"/>
      <c r="D76" s="307"/>
      <c r="E76" s="307"/>
      <c r="F76" s="307"/>
      <c r="G76" s="307"/>
      <c r="H76" s="307"/>
    </row>
    <row r="77" spans="1:8">
      <c r="A77" s="307"/>
      <c r="B77" s="307"/>
      <c r="C77" s="307"/>
      <c r="D77" s="307"/>
      <c r="E77" s="307"/>
      <c r="F77" s="307"/>
      <c r="G77" s="307"/>
      <c r="H77" s="307"/>
    </row>
    <row r="78" spans="1:8">
      <c r="A78" s="308" t="s">
        <v>1004</v>
      </c>
      <c r="B78" s="307"/>
      <c r="C78" s="307"/>
      <c r="D78" s="307"/>
      <c r="E78" s="307"/>
      <c r="F78" s="307"/>
      <c r="G78" s="307"/>
      <c r="H78" s="307"/>
    </row>
    <row r="79" spans="1:8">
      <c r="A79" s="308" t="s">
        <v>368</v>
      </c>
      <c r="B79" s="307"/>
      <c r="C79" s="307"/>
      <c r="D79" s="307"/>
      <c r="E79" s="307"/>
      <c r="F79" s="307"/>
      <c r="G79" s="307"/>
      <c r="H79" s="307"/>
    </row>
    <row r="80" spans="1:8">
      <c r="A80" s="307"/>
      <c r="B80" s="307"/>
      <c r="C80" s="307"/>
      <c r="D80" s="307"/>
      <c r="E80" s="307"/>
      <c r="F80" s="307"/>
      <c r="G80" s="307"/>
      <c r="H80" s="307"/>
    </row>
    <row r="81" spans="1:8">
      <c r="A81" s="308" t="s">
        <v>1002</v>
      </c>
      <c r="B81" s="307"/>
      <c r="C81" s="307"/>
      <c r="D81" s="307"/>
      <c r="E81" s="307"/>
      <c r="F81" s="307"/>
      <c r="G81" s="307"/>
      <c r="H81" s="307"/>
    </row>
    <row r="82" spans="1:8">
      <c r="A82" s="308" t="s">
        <v>1003</v>
      </c>
      <c r="B82" s="307"/>
      <c r="C82" s="307"/>
      <c r="D82" s="307"/>
      <c r="E82" s="307"/>
      <c r="F82" s="307"/>
      <c r="G82" s="307"/>
      <c r="H82" s="307"/>
    </row>
    <row r="83" spans="1:8">
      <c r="A83" s="307"/>
      <c r="B83" s="307"/>
      <c r="C83" s="307"/>
      <c r="D83" s="307"/>
      <c r="E83" s="307"/>
      <c r="F83" s="307"/>
      <c r="G83" s="307"/>
      <c r="H83" s="307"/>
    </row>
    <row r="84" spans="1:8">
      <c r="A84" s="308" t="s">
        <v>1000</v>
      </c>
      <c r="B84" s="307"/>
      <c r="C84" s="307"/>
      <c r="D84" s="307"/>
      <c r="E84" s="307"/>
      <c r="F84" s="307"/>
      <c r="G84" s="307"/>
      <c r="H84" s="307"/>
    </row>
    <row r="85" spans="1:8">
      <c r="A85" s="308" t="s">
        <v>1001</v>
      </c>
      <c r="B85" s="307"/>
      <c r="C85" s="307"/>
      <c r="D85" s="307"/>
      <c r="E85" s="307"/>
      <c r="F85" s="307"/>
      <c r="G85" s="307"/>
      <c r="H85" s="307"/>
    </row>
    <row r="86" spans="1:8">
      <c r="A86" s="307"/>
      <c r="B86" s="307"/>
      <c r="C86" s="307"/>
      <c r="D86" s="307"/>
      <c r="E86" s="307"/>
      <c r="F86" s="307"/>
      <c r="G86" s="307"/>
      <c r="H86" s="307"/>
    </row>
    <row r="87" spans="1:8">
      <c r="A87" s="308" t="s">
        <v>998</v>
      </c>
      <c r="B87" s="307"/>
      <c r="C87" s="307"/>
      <c r="D87" s="307"/>
      <c r="E87" s="307"/>
      <c r="F87" s="307"/>
      <c r="G87" s="307"/>
      <c r="H87" s="307"/>
    </row>
    <row r="88" spans="1:8">
      <c r="A88" s="308" t="s">
        <v>999</v>
      </c>
      <c r="B88" s="307"/>
      <c r="C88" s="307"/>
      <c r="D88" s="307"/>
      <c r="E88" s="307"/>
      <c r="F88" s="307"/>
      <c r="G88" s="307"/>
      <c r="H88" s="307"/>
    </row>
    <row r="89" spans="1:8">
      <c r="A89" s="307"/>
      <c r="B89" s="307"/>
      <c r="C89" s="307"/>
      <c r="D89" s="307"/>
      <c r="E89" s="307"/>
      <c r="F89" s="307"/>
      <c r="G89" s="307"/>
      <c r="H89" s="307"/>
    </row>
    <row r="90" spans="1:8">
      <c r="A90" s="308" t="s">
        <v>995</v>
      </c>
      <c r="B90" s="307"/>
      <c r="C90" s="307"/>
      <c r="D90" s="307"/>
      <c r="E90" s="307"/>
      <c r="F90" s="307"/>
      <c r="G90" s="307"/>
      <c r="H90" s="307"/>
    </row>
    <row r="91" spans="1:8">
      <c r="A91" s="308" t="s">
        <v>996</v>
      </c>
      <c r="B91" s="307"/>
      <c r="C91" s="307"/>
      <c r="D91" s="307"/>
      <c r="E91" s="307"/>
      <c r="F91" s="307"/>
      <c r="G91" s="307"/>
      <c r="H91" s="307"/>
    </row>
    <row r="92" spans="1:8">
      <c r="A92" s="308" t="s">
        <v>997</v>
      </c>
      <c r="B92" s="307"/>
      <c r="C92" s="307"/>
      <c r="D92" s="307"/>
      <c r="E92" s="307"/>
      <c r="F92" s="307"/>
      <c r="G92" s="307"/>
      <c r="H92" s="307"/>
    </row>
    <row r="93" spans="1:8">
      <c r="A93" s="307"/>
      <c r="B93" s="307"/>
      <c r="C93" s="307"/>
      <c r="D93" s="307"/>
      <c r="E93" s="307"/>
      <c r="F93" s="307"/>
      <c r="G93" s="307"/>
      <c r="H93" s="307"/>
    </row>
    <row r="94" spans="1:8">
      <c r="A94" s="308" t="s">
        <v>750</v>
      </c>
      <c r="B94" s="307"/>
      <c r="C94" s="307"/>
      <c r="D94" s="307"/>
      <c r="E94" s="307"/>
      <c r="F94" s="307"/>
      <c r="G94" s="307"/>
      <c r="H94" s="307"/>
    </row>
    <row r="95" spans="1:8">
      <c r="A95" s="307"/>
      <c r="B95" s="307"/>
      <c r="C95" s="307"/>
      <c r="D95" s="307"/>
      <c r="E95" s="307"/>
      <c r="F95" s="307"/>
      <c r="G95" s="307"/>
      <c r="H95" s="307"/>
    </row>
    <row r="96" spans="1:8">
      <c r="A96" s="308" t="s">
        <v>990</v>
      </c>
      <c r="B96" s="307"/>
      <c r="C96" s="307"/>
      <c r="D96" s="307"/>
      <c r="E96" s="307"/>
      <c r="F96" s="307"/>
      <c r="G96" s="307"/>
      <c r="H96" s="307"/>
    </row>
    <row r="97" spans="1:8">
      <c r="A97" s="308" t="s">
        <v>991</v>
      </c>
      <c r="B97" s="307"/>
      <c r="C97" s="307"/>
      <c r="D97" s="307"/>
      <c r="E97" s="307"/>
      <c r="F97" s="307"/>
      <c r="G97" s="307"/>
      <c r="H97" s="307"/>
    </row>
    <row r="98" spans="1:8">
      <c r="A98" s="308" t="s">
        <v>992</v>
      </c>
      <c r="B98" s="307"/>
      <c r="C98" s="307"/>
      <c r="D98" s="307"/>
      <c r="E98" s="307"/>
      <c r="F98" s="307"/>
      <c r="G98" s="307"/>
      <c r="H98" s="307"/>
    </row>
    <row r="99" spans="1:8">
      <c r="A99" s="308" t="s">
        <v>993</v>
      </c>
      <c r="B99" s="307"/>
      <c r="C99" s="307"/>
      <c r="D99" s="307"/>
      <c r="E99" s="307"/>
      <c r="F99" s="307"/>
      <c r="G99" s="307"/>
      <c r="H99" s="307"/>
    </row>
    <row r="100" spans="1:8">
      <c r="A100" s="308" t="s">
        <v>994</v>
      </c>
      <c r="B100" s="307"/>
      <c r="C100" s="307"/>
      <c r="D100" s="307"/>
      <c r="E100" s="307"/>
      <c r="F100" s="307"/>
      <c r="G100" s="307"/>
      <c r="H100" s="307"/>
    </row>
    <row r="101" spans="1:8">
      <c r="A101" s="308" t="s">
        <v>877</v>
      </c>
      <c r="B101" s="307"/>
      <c r="C101" s="307"/>
      <c r="D101" s="307"/>
      <c r="E101" s="307"/>
      <c r="F101" s="307"/>
      <c r="G101" s="307"/>
      <c r="H101" s="307"/>
    </row>
    <row r="102" spans="1:8">
      <c r="A102" s="307"/>
      <c r="B102" s="307"/>
      <c r="C102" s="307"/>
      <c r="D102" s="307"/>
      <c r="E102" s="307"/>
      <c r="F102" s="307"/>
      <c r="G102" s="307"/>
      <c r="H102" s="307"/>
    </row>
    <row r="103" spans="1:8">
      <c r="A103" s="308" t="s">
        <v>983</v>
      </c>
      <c r="B103" s="307"/>
      <c r="C103" s="307"/>
      <c r="D103" s="307"/>
      <c r="E103" s="307"/>
      <c r="F103" s="307"/>
      <c r="G103" s="307"/>
      <c r="H103" s="307"/>
    </row>
    <row r="104" spans="1:8">
      <c r="A104" s="308" t="s">
        <v>984</v>
      </c>
      <c r="B104" s="307"/>
      <c r="C104" s="307"/>
      <c r="D104" s="307"/>
      <c r="E104" s="307"/>
      <c r="F104" s="307"/>
      <c r="G104" s="307"/>
      <c r="H104" s="307"/>
    </row>
    <row r="105" spans="1:8">
      <c r="A105" s="308" t="s">
        <v>985</v>
      </c>
      <c r="B105" s="307"/>
      <c r="C105" s="307"/>
      <c r="D105" s="307"/>
      <c r="E105" s="307"/>
      <c r="F105" s="307"/>
      <c r="G105" s="307"/>
      <c r="H105" s="307"/>
    </row>
    <row r="106" spans="1:8">
      <c r="A106" s="308" t="s">
        <v>986</v>
      </c>
      <c r="B106" s="307"/>
      <c r="C106" s="307"/>
      <c r="D106" s="307"/>
      <c r="E106" s="307"/>
      <c r="F106" s="307"/>
      <c r="G106" s="307"/>
      <c r="H106" s="307"/>
    </row>
    <row r="107" spans="1:8">
      <c r="A107" s="308" t="s">
        <v>987</v>
      </c>
      <c r="B107" s="307"/>
      <c r="C107" s="307"/>
      <c r="D107" s="307"/>
      <c r="E107" s="307"/>
      <c r="F107" s="307"/>
      <c r="G107" s="307"/>
      <c r="H107" s="307"/>
    </row>
    <row r="108" spans="1:8">
      <c r="A108" s="308" t="s">
        <v>988</v>
      </c>
      <c r="B108" s="307"/>
      <c r="C108" s="307"/>
      <c r="D108" s="307"/>
      <c r="E108" s="307"/>
      <c r="F108" s="307"/>
      <c r="G108" s="307"/>
      <c r="H108" s="307"/>
    </row>
    <row r="109" spans="1:8">
      <c r="A109" s="308" t="s">
        <v>989</v>
      </c>
      <c r="B109" s="307"/>
      <c r="C109" s="307"/>
      <c r="D109" s="307"/>
      <c r="E109" s="307"/>
      <c r="F109" s="307"/>
      <c r="G109" s="307"/>
      <c r="H109" s="307"/>
    </row>
    <row r="110" spans="1:8">
      <c r="A110" s="307"/>
      <c r="B110" s="307"/>
      <c r="C110" s="307"/>
      <c r="D110" s="307"/>
      <c r="E110" s="307"/>
      <c r="F110" s="307"/>
      <c r="G110" s="307"/>
      <c r="H110" s="307"/>
    </row>
    <row r="111" spans="1:8">
      <c r="A111" s="308" t="s">
        <v>981</v>
      </c>
      <c r="B111" s="307"/>
      <c r="C111" s="307"/>
      <c r="D111" s="307"/>
      <c r="E111" s="307"/>
      <c r="F111" s="307"/>
      <c r="G111" s="307"/>
      <c r="H111" s="307"/>
    </row>
    <row r="112" spans="1:8">
      <c r="A112" s="308" t="s">
        <v>982</v>
      </c>
      <c r="B112" s="307"/>
      <c r="C112" s="307"/>
      <c r="D112" s="307"/>
      <c r="E112" s="307"/>
      <c r="F112" s="307"/>
      <c r="G112" s="307"/>
      <c r="H112" s="307"/>
    </row>
    <row r="113" spans="1:8">
      <c r="A113" s="307"/>
      <c r="B113" s="307"/>
      <c r="C113" s="307"/>
      <c r="D113" s="307"/>
      <c r="E113" s="307"/>
      <c r="F113" s="307"/>
      <c r="G113" s="307"/>
      <c r="H113" s="307"/>
    </row>
    <row r="114" spans="1:8" ht="15.75">
      <c r="A114" s="309" t="s">
        <v>751</v>
      </c>
      <c r="B114" s="307"/>
      <c r="C114" s="307"/>
      <c r="D114" s="307"/>
      <c r="E114" s="307"/>
      <c r="F114" s="307"/>
      <c r="G114" s="307"/>
      <c r="H114" s="307"/>
    </row>
    <row r="115" spans="1:8">
      <c r="A115" s="307"/>
      <c r="B115" s="307"/>
      <c r="C115" s="307"/>
      <c r="D115" s="307"/>
      <c r="E115" s="307"/>
      <c r="F115" s="307"/>
      <c r="G115" s="307"/>
      <c r="H115" s="307"/>
    </row>
    <row r="116" spans="1:8">
      <c r="A116" s="308" t="s">
        <v>972</v>
      </c>
      <c r="B116" s="307"/>
      <c r="C116" s="307"/>
      <c r="D116" s="307"/>
      <c r="E116" s="307"/>
      <c r="F116" s="307"/>
      <c r="G116" s="307"/>
      <c r="H116" s="307"/>
    </row>
    <row r="117" spans="1:8">
      <c r="A117" s="308" t="s">
        <v>973</v>
      </c>
      <c r="B117" s="307"/>
      <c r="C117" s="307"/>
      <c r="D117" s="307"/>
      <c r="E117" s="307"/>
      <c r="F117" s="307"/>
      <c r="G117" s="307"/>
      <c r="H117" s="307"/>
    </row>
    <row r="118" spans="1:8">
      <c r="A118" s="308" t="s">
        <v>974</v>
      </c>
      <c r="B118" s="307"/>
      <c r="C118" s="307"/>
      <c r="D118" s="307"/>
      <c r="E118" s="307"/>
      <c r="F118" s="307"/>
      <c r="G118" s="307"/>
      <c r="H118" s="307"/>
    </row>
    <row r="119" spans="1:8">
      <c r="A119" s="308" t="s">
        <v>975</v>
      </c>
      <c r="B119" s="307"/>
      <c r="C119" s="307"/>
      <c r="D119" s="307"/>
      <c r="E119" s="307"/>
      <c r="F119" s="307"/>
      <c r="G119" s="307"/>
      <c r="H119" s="307"/>
    </row>
    <row r="120" spans="1:8">
      <c r="A120" s="308" t="s">
        <v>976</v>
      </c>
      <c r="B120" s="307"/>
      <c r="C120" s="307"/>
      <c r="D120" s="307"/>
      <c r="E120" s="307"/>
      <c r="F120" s="307"/>
      <c r="G120" s="307"/>
      <c r="H120" s="307"/>
    </row>
    <row r="121" spans="1:8">
      <c r="A121" s="308" t="s">
        <v>977</v>
      </c>
      <c r="B121" s="307"/>
      <c r="C121" s="307"/>
      <c r="D121" s="307"/>
      <c r="E121" s="307"/>
      <c r="F121" s="307"/>
      <c r="G121" s="307"/>
      <c r="H121" s="307"/>
    </row>
    <row r="122" spans="1:8">
      <c r="A122" s="308" t="s">
        <v>978</v>
      </c>
      <c r="B122" s="307"/>
      <c r="C122" s="307"/>
      <c r="D122" s="307"/>
      <c r="E122" s="307"/>
      <c r="F122" s="307"/>
      <c r="G122" s="307"/>
      <c r="H122" s="307"/>
    </row>
    <row r="123" spans="1:8">
      <c r="A123" s="308" t="s">
        <v>979</v>
      </c>
      <c r="B123" s="307"/>
      <c r="C123" s="307"/>
      <c r="D123" s="307"/>
      <c r="E123" s="307"/>
      <c r="F123" s="307"/>
      <c r="G123" s="307"/>
      <c r="H123" s="307"/>
    </row>
    <row r="124" spans="1:8">
      <c r="A124" s="308" t="s">
        <v>980</v>
      </c>
      <c r="B124" s="307"/>
      <c r="C124" s="307"/>
      <c r="D124" s="307"/>
      <c r="E124" s="307"/>
      <c r="F124" s="307"/>
      <c r="G124" s="307"/>
      <c r="H124" s="307"/>
    </row>
    <row r="125" spans="1:8">
      <c r="A125" s="307"/>
      <c r="B125" s="307"/>
      <c r="C125" s="307"/>
      <c r="D125" s="307"/>
      <c r="E125" s="307"/>
      <c r="F125" s="307"/>
      <c r="G125" s="307"/>
      <c r="H125" s="307"/>
    </row>
    <row r="126" spans="1:8" ht="15.75">
      <c r="A126" s="328" t="s">
        <v>752</v>
      </c>
      <c r="B126" s="328"/>
      <c r="C126" s="328"/>
      <c r="D126" s="328"/>
      <c r="E126" s="328"/>
      <c r="F126" s="328"/>
      <c r="G126" s="328"/>
      <c r="H126" s="328"/>
    </row>
    <row r="127" spans="1:8">
      <c r="A127" s="324" t="s">
        <v>753</v>
      </c>
      <c r="B127" s="324"/>
      <c r="C127" s="324"/>
      <c r="D127" s="324"/>
      <c r="E127" s="324"/>
      <c r="F127" s="324"/>
      <c r="G127" s="324"/>
      <c r="H127" s="324"/>
    </row>
    <row r="128" spans="1:8">
      <c r="A128" s="329"/>
      <c r="B128" s="329"/>
      <c r="C128" s="329"/>
      <c r="D128" s="329"/>
      <c r="E128" s="329"/>
      <c r="F128" s="329"/>
      <c r="G128" s="329"/>
      <c r="H128" s="329"/>
    </row>
    <row r="129" spans="1:8">
      <c r="A129" s="324" t="s">
        <v>970</v>
      </c>
      <c r="B129" s="324"/>
      <c r="C129" s="324"/>
      <c r="D129" s="324"/>
      <c r="E129" s="324"/>
      <c r="F129" s="324"/>
      <c r="G129" s="324"/>
      <c r="H129" s="324"/>
    </row>
    <row r="130" spans="1:8">
      <c r="A130" s="308" t="s">
        <v>971</v>
      </c>
      <c r="B130" s="308"/>
      <c r="C130" s="308"/>
      <c r="D130" s="308"/>
      <c r="E130" s="308"/>
      <c r="F130" s="308"/>
      <c r="G130" s="308"/>
      <c r="H130" s="308"/>
    </row>
    <row r="131" spans="1:8">
      <c r="A131" s="329"/>
      <c r="B131" s="329"/>
      <c r="C131" s="329"/>
      <c r="D131" s="329"/>
      <c r="E131" s="329"/>
      <c r="F131" s="329"/>
      <c r="G131" s="329"/>
      <c r="H131" s="329"/>
    </row>
    <row r="132" spans="1:8">
      <c r="A132" s="324" t="s">
        <v>963</v>
      </c>
      <c r="B132" s="324"/>
      <c r="C132" s="324"/>
      <c r="D132" s="324"/>
      <c r="E132" s="324"/>
      <c r="F132" s="324"/>
      <c r="G132" s="324"/>
      <c r="H132" s="324"/>
    </row>
    <row r="133" spans="1:8">
      <c r="A133" s="308" t="s">
        <v>964</v>
      </c>
      <c r="B133" s="308"/>
      <c r="C133" s="308"/>
      <c r="D133" s="308"/>
      <c r="E133" s="308"/>
      <c r="F133" s="308"/>
      <c r="G133" s="308"/>
      <c r="H133" s="308"/>
    </row>
    <row r="134" spans="1:8">
      <c r="A134" s="308" t="s">
        <v>965</v>
      </c>
      <c r="B134" s="308"/>
      <c r="C134" s="308"/>
      <c r="D134" s="308"/>
      <c r="E134" s="308"/>
      <c r="F134" s="308"/>
      <c r="G134" s="308"/>
      <c r="H134" s="308"/>
    </row>
    <row r="135" spans="1:8">
      <c r="A135" s="308" t="s">
        <v>966</v>
      </c>
      <c r="B135" s="308"/>
      <c r="C135" s="308"/>
      <c r="D135" s="308"/>
      <c r="E135" s="308"/>
      <c r="F135" s="308"/>
      <c r="G135" s="308"/>
      <c r="H135" s="308"/>
    </row>
    <row r="136" spans="1:8">
      <c r="A136" s="308" t="s">
        <v>967</v>
      </c>
      <c r="B136" s="308"/>
      <c r="C136" s="308"/>
      <c r="D136" s="308"/>
      <c r="E136" s="308"/>
      <c r="F136" s="308"/>
      <c r="G136" s="308"/>
      <c r="H136" s="308"/>
    </row>
    <row r="137" spans="1:8">
      <c r="A137" s="308" t="s">
        <v>968</v>
      </c>
      <c r="B137" s="308"/>
      <c r="C137" s="308"/>
      <c r="D137" s="308"/>
      <c r="E137" s="308"/>
      <c r="F137" s="308"/>
      <c r="G137" s="308"/>
      <c r="H137" s="308"/>
    </row>
    <row r="138" spans="1:8">
      <c r="A138" s="308" t="s">
        <v>969</v>
      </c>
      <c r="B138" s="308"/>
      <c r="C138" s="308"/>
      <c r="D138" s="308"/>
      <c r="E138" s="308"/>
      <c r="F138" s="308"/>
      <c r="G138" s="308"/>
      <c r="H138" s="308"/>
    </row>
    <row r="139" spans="1:8">
      <c r="A139" s="330"/>
      <c r="B139" s="330"/>
      <c r="C139" s="330"/>
      <c r="D139" s="330"/>
      <c r="E139" s="330"/>
      <c r="F139" s="330"/>
      <c r="G139" s="330"/>
      <c r="H139" s="330"/>
    </row>
    <row r="140" spans="1:8">
      <c r="A140" s="310"/>
      <c r="B140" s="325" t="s">
        <v>754</v>
      </c>
      <c r="C140" s="326"/>
      <c r="D140" s="325" t="s">
        <v>755</v>
      </c>
      <c r="E140" s="327"/>
      <c r="F140" s="326"/>
      <c r="G140" s="325" t="s">
        <v>756</v>
      </c>
      <c r="H140" s="326"/>
    </row>
    <row r="141" spans="1:8">
      <c r="A141" s="310" t="s">
        <v>757</v>
      </c>
      <c r="B141" s="310" t="s">
        <v>668</v>
      </c>
      <c r="C141" s="310" t="s">
        <v>317</v>
      </c>
      <c r="D141" s="310" t="s">
        <v>668</v>
      </c>
      <c r="E141" s="310" t="s">
        <v>758</v>
      </c>
      <c r="F141" s="310" t="s">
        <v>759</v>
      </c>
      <c r="G141" s="310" t="s">
        <v>668</v>
      </c>
      <c r="H141" s="310" t="s">
        <v>760</v>
      </c>
    </row>
    <row r="142" spans="1:8">
      <c r="A142" s="310" t="s">
        <v>761</v>
      </c>
      <c r="B142" s="310">
        <v>1189</v>
      </c>
      <c r="C142" s="311">
        <v>0.38</v>
      </c>
      <c r="D142" s="310">
        <v>315</v>
      </c>
      <c r="E142" s="311">
        <v>0.41</v>
      </c>
      <c r="F142" s="311">
        <v>0.26</v>
      </c>
      <c r="G142" s="310">
        <v>555</v>
      </c>
      <c r="H142" s="311">
        <v>0.39</v>
      </c>
    </row>
    <row r="143" spans="1:8">
      <c r="A143" s="310" t="s">
        <v>762</v>
      </c>
      <c r="B143" s="310">
        <v>1355</v>
      </c>
      <c r="C143" s="311">
        <v>0.43</v>
      </c>
      <c r="D143" s="310">
        <v>364</v>
      </c>
      <c r="E143" s="311">
        <v>0.47</v>
      </c>
      <c r="F143" s="311">
        <v>0.27</v>
      </c>
      <c r="G143" s="310">
        <v>644</v>
      </c>
      <c r="H143" s="311">
        <v>0.45</v>
      </c>
    </row>
    <row r="144" spans="1:8">
      <c r="A144" s="310" t="s">
        <v>763</v>
      </c>
      <c r="B144" s="310">
        <v>53</v>
      </c>
      <c r="C144" s="311">
        <v>0.02</v>
      </c>
      <c r="D144" s="310">
        <v>4</v>
      </c>
      <c r="E144" s="311">
        <v>0.01</v>
      </c>
      <c r="F144" s="311">
        <v>0.08</v>
      </c>
      <c r="G144" s="310">
        <v>7</v>
      </c>
      <c r="H144" s="311">
        <v>0</v>
      </c>
    </row>
    <row r="145" spans="1:8">
      <c r="A145" s="310" t="s">
        <v>764</v>
      </c>
      <c r="B145" s="310">
        <v>545</v>
      </c>
      <c r="C145" s="311">
        <v>0.17</v>
      </c>
      <c r="D145" s="310">
        <v>84</v>
      </c>
      <c r="E145" s="311">
        <v>0.11</v>
      </c>
      <c r="F145" s="311">
        <v>0.15</v>
      </c>
      <c r="G145" s="310">
        <v>214</v>
      </c>
      <c r="H145" s="311">
        <v>0.15</v>
      </c>
    </row>
    <row r="146" spans="1:8">
      <c r="A146" s="310" t="s">
        <v>87</v>
      </c>
      <c r="B146" s="312">
        <v>3142</v>
      </c>
      <c r="C146" s="310"/>
      <c r="D146" s="310">
        <v>767</v>
      </c>
      <c r="E146" s="310"/>
      <c r="F146" s="310"/>
      <c r="G146" s="310">
        <v>1420</v>
      </c>
      <c r="H146" s="310"/>
    </row>
    <row r="147" spans="1:8">
      <c r="A147" s="323"/>
      <c r="B147" s="323"/>
      <c r="C147" s="323"/>
      <c r="D147" s="323"/>
      <c r="E147" s="323"/>
      <c r="F147" s="323"/>
      <c r="G147" s="323"/>
      <c r="H147" s="323"/>
    </row>
    <row r="148" spans="1:8">
      <c r="A148" s="324" t="s">
        <v>959</v>
      </c>
      <c r="B148" s="324"/>
      <c r="C148" s="324"/>
      <c r="D148" s="324"/>
      <c r="E148" s="324"/>
      <c r="F148" s="324"/>
      <c r="G148" s="324"/>
      <c r="H148" s="324"/>
    </row>
    <row r="149" spans="1:8">
      <c r="A149" s="308" t="s">
        <v>960</v>
      </c>
      <c r="B149" s="308"/>
      <c r="C149" s="308"/>
      <c r="D149" s="308"/>
      <c r="E149" s="308"/>
      <c r="F149" s="308"/>
      <c r="G149" s="308"/>
      <c r="H149" s="308"/>
    </row>
    <row r="150" spans="1:8">
      <c r="A150" s="308" t="s">
        <v>961</v>
      </c>
      <c r="B150" s="308"/>
      <c r="C150" s="308"/>
      <c r="D150" s="308"/>
      <c r="E150" s="308"/>
      <c r="F150" s="308"/>
      <c r="G150" s="308"/>
      <c r="H150" s="308"/>
    </row>
    <row r="151" spans="1:8">
      <c r="A151" s="308" t="s">
        <v>962</v>
      </c>
      <c r="B151" s="308"/>
      <c r="C151" s="308"/>
      <c r="D151" s="308"/>
      <c r="E151" s="308"/>
      <c r="F151" s="308"/>
      <c r="G151" s="308"/>
      <c r="H151" s="308"/>
    </row>
    <row r="152" spans="1:8">
      <c r="A152" s="307"/>
      <c r="B152" s="307"/>
      <c r="C152" s="307"/>
      <c r="D152" s="307"/>
      <c r="E152" s="307"/>
      <c r="F152" s="307"/>
      <c r="G152" s="307"/>
      <c r="H152" s="307"/>
    </row>
    <row r="153" spans="1:8" ht="15.75">
      <c r="A153" s="309" t="s">
        <v>765</v>
      </c>
      <c r="B153" s="307"/>
      <c r="C153" s="307"/>
      <c r="D153" s="307"/>
      <c r="E153" s="307"/>
      <c r="F153" s="307"/>
      <c r="G153" s="307"/>
      <c r="H153" s="307"/>
    </row>
    <row r="154" spans="1:8">
      <c r="A154" s="307"/>
      <c r="B154" s="307"/>
      <c r="C154" s="307"/>
      <c r="D154" s="307"/>
      <c r="E154" s="307"/>
      <c r="F154" s="307"/>
      <c r="G154" s="307"/>
      <c r="H154" s="307"/>
    </row>
    <row r="155" spans="1:8">
      <c r="A155" s="308" t="s">
        <v>957</v>
      </c>
      <c r="B155" s="307"/>
      <c r="C155" s="307"/>
      <c r="D155" s="307"/>
      <c r="E155" s="307"/>
      <c r="F155" s="307"/>
      <c r="G155" s="307"/>
      <c r="H155" s="307"/>
    </row>
    <row r="156" spans="1:8">
      <c r="A156" s="308" t="s">
        <v>958</v>
      </c>
      <c r="B156" s="307"/>
      <c r="C156" s="307"/>
      <c r="D156" s="307"/>
      <c r="E156" s="307"/>
      <c r="F156" s="307"/>
      <c r="G156" s="307"/>
      <c r="H156" s="307"/>
    </row>
    <row r="157" spans="1:8">
      <c r="A157" s="307"/>
      <c r="B157" s="307"/>
      <c r="C157" s="307"/>
      <c r="D157" s="307"/>
      <c r="E157" s="307"/>
      <c r="F157" s="307"/>
      <c r="G157" s="307"/>
      <c r="H157" s="307"/>
    </row>
    <row r="158" spans="1:8">
      <c r="A158" s="308" t="s">
        <v>954</v>
      </c>
      <c r="B158" s="307"/>
      <c r="C158" s="307"/>
      <c r="D158" s="307"/>
      <c r="E158" s="307"/>
      <c r="F158" s="307"/>
      <c r="G158" s="307"/>
      <c r="H158" s="307"/>
    </row>
    <row r="159" spans="1:8">
      <c r="A159" s="308" t="s">
        <v>955</v>
      </c>
      <c r="B159" s="307"/>
      <c r="C159" s="307"/>
      <c r="D159" s="307"/>
      <c r="E159" s="307"/>
      <c r="F159" s="307"/>
      <c r="G159" s="307"/>
      <c r="H159" s="307"/>
    </row>
    <row r="160" spans="1:8">
      <c r="A160" s="308" t="s">
        <v>956</v>
      </c>
      <c r="B160" s="307"/>
      <c r="C160" s="307"/>
      <c r="D160" s="307"/>
      <c r="E160" s="307"/>
      <c r="F160" s="307"/>
      <c r="G160" s="307"/>
      <c r="H160" s="307"/>
    </row>
    <row r="161" spans="1:8">
      <c r="A161" s="307"/>
      <c r="B161" s="307"/>
      <c r="C161" s="307"/>
      <c r="D161" s="307"/>
      <c r="E161" s="307"/>
      <c r="F161" s="307"/>
      <c r="G161" s="307"/>
      <c r="H161" s="307"/>
    </row>
    <row r="162" spans="1:8">
      <c r="A162" s="308" t="s">
        <v>951</v>
      </c>
      <c r="B162" s="307"/>
      <c r="C162" s="307"/>
      <c r="D162" s="307"/>
      <c r="E162" s="307"/>
      <c r="F162" s="307"/>
      <c r="G162" s="307"/>
      <c r="H162" s="307"/>
    </row>
    <row r="163" spans="1:8">
      <c r="A163" s="308" t="s">
        <v>952</v>
      </c>
      <c r="B163" s="307"/>
      <c r="C163" s="307"/>
      <c r="D163" s="307"/>
      <c r="E163" s="307"/>
      <c r="F163" s="307"/>
      <c r="G163" s="307"/>
      <c r="H163" s="307"/>
    </row>
    <row r="164" spans="1:8">
      <c r="A164" s="308" t="s">
        <v>953</v>
      </c>
      <c r="B164" s="307"/>
      <c r="C164" s="307"/>
      <c r="D164" s="307"/>
      <c r="E164" s="307"/>
      <c r="F164" s="307"/>
      <c r="G164" s="307"/>
      <c r="H164" s="307"/>
    </row>
    <row r="165" spans="1:8">
      <c r="A165" s="307"/>
      <c r="B165" s="307"/>
      <c r="C165" s="307"/>
      <c r="D165" s="307"/>
      <c r="E165" s="307"/>
      <c r="F165" s="307"/>
      <c r="G165" s="307"/>
      <c r="H165" s="307"/>
    </row>
    <row r="166" spans="1:8">
      <c r="A166" s="308" t="s">
        <v>948</v>
      </c>
      <c r="B166" s="307"/>
      <c r="C166" s="307"/>
      <c r="D166" s="307"/>
      <c r="E166" s="307"/>
      <c r="F166" s="307"/>
      <c r="G166" s="307"/>
      <c r="H166" s="307"/>
    </row>
    <row r="167" spans="1:8">
      <c r="A167" s="308" t="s">
        <v>949</v>
      </c>
      <c r="B167" s="307"/>
      <c r="C167" s="307"/>
      <c r="D167" s="307"/>
      <c r="E167" s="307"/>
      <c r="F167" s="307"/>
      <c r="G167" s="307"/>
      <c r="H167" s="307"/>
    </row>
    <row r="168" spans="1:8">
      <c r="A168" s="308" t="s">
        <v>950</v>
      </c>
      <c r="B168" s="307"/>
      <c r="C168" s="307"/>
      <c r="D168" s="307"/>
      <c r="E168" s="307"/>
      <c r="F168" s="307"/>
      <c r="G168" s="307"/>
      <c r="H168" s="307"/>
    </row>
    <row r="169" spans="1:8">
      <c r="A169" s="307"/>
      <c r="B169" s="307"/>
      <c r="C169" s="307"/>
      <c r="D169" s="307"/>
      <c r="E169" s="307"/>
      <c r="F169" s="307"/>
      <c r="G169" s="307"/>
      <c r="H169" s="307"/>
    </row>
    <row r="170" spans="1:8">
      <c r="A170" s="308" t="s">
        <v>946</v>
      </c>
      <c r="B170" s="307"/>
      <c r="C170" s="307"/>
      <c r="D170" s="307"/>
      <c r="E170" s="307"/>
      <c r="F170" s="307"/>
      <c r="G170" s="307"/>
      <c r="H170" s="307"/>
    </row>
    <row r="171" spans="1:8">
      <c r="A171" s="308" t="s">
        <v>947</v>
      </c>
      <c r="B171" s="307"/>
      <c r="C171" s="307"/>
      <c r="D171" s="307"/>
      <c r="E171" s="307"/>
      <c r="F171" s="307"/>
      <c r="G171" s="307"/>
      <c r="H171" s="307"/>
    </row>
    <row r="172" spans="1:8">
      <c r="A172" s="307"/>
      <c r="B172" s="307"/>
      <c r="C172" s="307"/>
      <c r="D172" s="307"/>
      <c r="E172" s="307"/>
      <c r="F172" s="307"/>
      <c r="G172" s="307"/>
      <c r="H172" s="307"/>
    </row>
    <row r="173" spans="1:8" ht="15.75">
      <c r="A173" s="309" t="s">
        <v>766</v>
      </c>
      <c r="B173" s="307"/>
      <c r="C173" s="307"/>
      <c r="D173" s="307"/>
      <c r="E173" s="307"/>
      <c r="F173" s="307"/>
      <c r="G173" s="307"/>
      <c r="H173" s="307"/>
    </row>
    <row r="174" spans="1:8">
      <c r="A174" s="307"/>
      <c r="B174" s="307"/>
      <c r="C174" s="307"/>
      <c r="D174" s="307"/>
      <c r="E174" s="307"/>
      <c r="F174" s="307"/>
      <c r="G174" s="307"/>
      <c r="H174" s="307"/>
    </row>
    <row r="175" spans="1:8">
      <c r="A175" s="308" t="s">
        <v>944</v>
      </c>
      <c r="B175" s="307"/>
      <c r="C175" s="307"/>
      <c r="D175" s="307"/>
      <c r="E175" s="307"/>
      <c r="F175" s="307"/>
      <c r="G175" s="307"/>
      <c r="H175" s="307"/>
    </row>
    <row r="176" spans="1:8">
      <c r="A176" s="308" t="s">
        <v>945</v>
      </c>
      <c r="B176" s="307"/>
      <c r="C176" s="307"/>
      <c r="D176" s="307"/>
      <c r="E176" s="307"/>
      <c r="F176" s="307"/>
      <c r="G176" s="307"/>
      <c r="H176" s="307"/>
    </row>
    <row r="177" spans="1:8">
      <c r="A177" s="307"/>
      <c r="B177" s="307"/>
      <c r="C177" s="307"/>
      <c r="D177" s="307"/>
      <c r="E177" s="307"/>
      <c r="F177" s="307"/>
      <c r="G177" s="307"/>
      <c r="H177" s="307"/>
    </row>
    <row r="178" spans="1:8">
      <c r="A178" s="308" t="s">
        <v>942</v>
      </c>
      <c r="B178" s="307"/>
      <c r="C178" s="307"/>
      <c r="D178" s="307"/>
      <c r="E178" s="307"/>
      <c r="F178" s="307"/>
      <c r="G178" s="307"/>
      <c r="H178" s="307"/>
    </row>
    <row r="179" spans="1:8">
      <c r="A179" s="308" t="s">
        <v>943</v>
      </c>
      <c r="B179" s="307"/>
      <c r="C179" s="307"/>
      <c r="D179" s="307"/>
      <c r="E179" s="307"/>
      <c r="F179" s="307"/>
      <c r="G179" s="307"/>
      <c r="H179" s="307"/>
    </row>
    <row r="180" spans="1:8">
      <c r="A180" s="307"/>
      <c r="B180" s="307"/>
      <c r="C180" s="307"/>
      <c r="D180" s="307"/>
      <c r="E180" s="307"/>
      <c r="F180" s="307"/>
      <c r="G180" s="307"/>
      <c r="H180" s="307"/>
    </row>
    <row r="181" spans="1:8">
      <c r="A181" s="308" t="s">
        <v>940</v>
      </c>
      <c r="B181" s="307"/>
      <c r="C181" s="307"/>
      <c r="D181" s="307"/>
      <c r="E181" s="307"/>
      <c r="F181" s="307"/>
      <c r="G181" s="307"/>
      <c r="H181" s="307"/>
    </row>
    <row r="182" spans="1:8">
      <c r="A182" s="308" t="s">
        <v>941</v>
      </c>
      <c r="B182" s="307"/>
      <c r="C182" s="307"/>
      <c r="D182" s="307"/>
      <c r="E182" s="307"/>
      <c r="F182" s="307"/>
      <c r="G182" s="307"/>
      <c r="H182" s="307"/>
    </row>
    <row r="183" spans="1:8">
      <c r="A183" s="307"/>
      <c r="B183" s="307"/>
      <c r="C183" s="307"/>
      <c r="D183" s="307"/>
      <c r="E183" s="307"/>
      <c r="F183" s="307"/>
      <c r="G183" s="307"/>
      <c r="H183" s="307"/>
    </row>
    <row r="184" spans="1:8">
      <c r="A184" s="308" t="s">
        <v>937</v>
      </c>
      <c r="B184" s="307"/>
      <c r="C184" s="307"/>
      <c r="D184" s="307"/>
      <c r="E184" s="307"/>
      <c r="F184" s="307"/>
      <c r="G184" s="307"/>
      <c r="H184" s="307"/>
    </row>
    <row r="185" spans="1:8">
      <c r="A185" s="308" t="s">
        <v>938</v>
      </c>
      <c r="B185" s="307"/>
      <c r="C185" s="307"/>
      <c r="D185" s="307"/>
      <c r="E185" s="307"/>
      <c r="F185" s="307"/>
      <c r="G185" s="307"/>
      <c r="H185" s="307"/>
    </row>
    <row r="186" spans="1:8">
      <c r="A186" s="308" t="s">
        <v>939</v>
      </c>
      <c r="B186" s="307"/>
      <c r="C186" s="307"/>
      <c r="D186" s="307"/>
      <c r="E186" s="307"/>
      <c r="F186" s="307"/>
      <c r="G186" s="307"/>
      <c r="H186" s="307"/>
    </row>
    <row r="187" spans="1:8">
      <c r="A187" s="307"/>
      <c r="B187" s="307"/>
      <c r="C187" s="307"/>
      <c r="D187" s="307"/>
      <c r="E187" s="307"/>
      <c r="F187" s="307"/>
      <c r="G187" s="307"/>
      <c r="H187" s="307"/>
    </row>
    <row r="188" spans="1:8">
      <c r="A188" s="307"/>
      <c r="B188" s="307"/>
      <c r="C188" s="307"/>
      <c r="D188" s="307"/>
      <c r="E188" s="307"/>
      <c r="F188" s="307"/>
      <c r="G188" s="307"/>
      <c r="H188" s="307"/>
    </row>
    <row r="189" spans="1:8">
      <c r="A189" s="308" t="s">
        <v>767</v>
      </c>
      <c r="B189" s="307"/>
      <c r="C189" s="307"/>
      <c r="D189" s="307"/>
      <c r="E189" s="307"/>
      <c r="F189" s="307"/>
      <c r="G189" s="307"/>
      <c r="H189" s="307"/>
    </row>
    <row r="190" spans="1:8">
      <c r="A190" s="307"/>
      <c r="B190" s="307"/>
      <c r="C190" s="307"/>
      <c r="D190" s="307"/>
      <c r="E190" s="307"/>
      <c r="F190" s="307"/>
      <c r="G190" s="307"/>
      <c r="H190" s="307"/>
    </row>
    <row r="191" spans="1:8" ht="15.75">
      <c r="A191" s="309" t="s">
        <v>768</v>
      </c>
      <c r="B191" s="307"/>
      <c r="C191" s="307"/>
      <c r="D191" s="307"/>
      <c r="E191" s="307"/>
      <c r="F191" s="307"/>
      <c r="G191" s="307"/>
      <c r="H191" s="307"/>
    </row>
    <row r="192" spans="1:8">
      <c r="A192" s="307"/>
      <c r="B192" s="307"/>
      <c r="C192" s="307"/>
      <c r="D192" s="307"/>
      <c r="E192" s="307"/>
      <c r="F192" s="307"/>
      <c r="G192" s="307"/>
      <c r="H192" s="307"/>
    </row>
    <row r="193" spans="1:8">
      <c r="A193" s="307"/>
      <c r="B193" s="307"/>
      <c r="C193" s="307"/>
      <c r="D193" s="307"/>
      <c r="E193" s="307"/>
      <c r="F193" s="307"/>
      <c r="G193" s="307"/>
      <c r="H193" s="307"/>
    </row>
    <row r="194" spans="1:8">
      <c r="A194" s="307"/>
      <c r="B194" s="307"/>
      <c r="C194" s="307"/>
      <c r="D194" s="307"/>
      <c r="E194" s="307"/>
      <c r="F194" s="307"/>
      <c r="G194" s="307"/>
      <c r="H194" s="307"/>
    </row>
    <row r="195" spans="1:8">
      <c r="A195" s="307"/>
      <c r="B195" s="307"/>
      <c r="C195" s="307"/>
      <c r="D195" s="307"/>
      <c r="E195" s="307"/>
      <c r="F195" s="307"/>
      <c r="G195" s="307"/>
      <c r="H195" s="307"/>
    </row>
    <row r="196" spans="1:8">
      <c r="A196" s="307"/>
      <c r="B196" s="307"/>
      <c r="C196" s="307"/>
      <c r="D196" s="307"/>
      <c r="E196" s="307"/>
      <c r="F196" s="307"/>
      <c r="G196" s="307"/>
      <c r="H196" s="307"/>
    </row>
    <row r="197" spans="1:8">
      <c r="A197" s="307"/>
      <c r="B197" s="307"/>
      <c r="C197" s="307"/>
      <c r="D197" s="307"/>
      <c r="E197" s="307"/>
      <c r="F197" s="307"/>
      <c r="G197" s="307"/>
      <c r="H197" s="307"/>
    </row>
    <row r="198" spans="1:8">
      <c r="A198" s="307"/>
      <c r="B198" s="307"/>
      <c r="C198" s="307"/>
      <c r="D198" s="307"/>
      <c r="E198" s="307"/>
      <c r="F198" s="307"/>
      <c r="G198" s="307"/>
      <c r="H198" s="307"/>
    </row>
    <row r="199" spans="1:8">
      <c r="A199" s="307"/>
      <c r="B199" s="307"/>
      <c r="C199" s="307"/>
      <c r="D199" s="307"/>
      <c r="E199" s="307"/>
      <c r="F199" s="307"/>
      <c r="G199" s="307"/>
      <c r="H199" s="307"/>
    </row>
    <row r="200" spans="1:8">
      <c r="A200" s="307"/>
      <c r="B200" s="307"/>
      <c r="C200" s="307"/>
      <c r="D200" s="307"/>
      <c r="E200" s="307"/>
      <c r="F200" s="307"/>
      <c r="G200" s="307"/>
      <c r="H200" s="307"/>
    </row>
    <row r="201" spans="1:8">
      <c r="A201" s="307"/>
      <c r="B201" s="307"/>
      <c r="C201" s="307"/>
      <c r="D201" s="307"/>
      <c r="E201" s="307"/>
      <c r="F201" s="307"/>
      <c r="G201" s="307"/>
      <c r="H201" s="307"/>
    </row>
    <row r="202" spans="1:8">
      <c r="A202" s="307"/>
      <c r="B202" s="307"/>
      <c r="C202" s="307"/>
      <c r="D202" s="307"/>
      <c r="E202" s="307"/>
      <c r="F202" s="307"/>
      <c r="G202" s="307"/>
      <c r="H202" s="307"/>
    </row>
    <row r="203" spans="1:8">
      <c r="A203" s="307"/>
      <c r="B203" s="307"/>
      <c r="C203" s="307"/>
      <c r="D203" s="307"/>
      <c r="E203" s="307"/>
      <c r="F203" s="307"/>
      <c r="G203" s="307"/>
      <c r="H203" s="307"/>
    </row>
    <row r="204" spans="1:8">
      <c r="A204" s="307"/>
      <c r="B204" s="307"/>
      <c r="C204" s="307"/>
      <c r="D204" s="307"/>
      <c r="E204" s="307"/>
      <c r="F204" s="307"/>
      <c r="G204" s="307"/>
      <c r="H204" s="307"/>
    </row>
    <row r="205" spans="1:8">
      <c r="A205" s="307"/>
      <c r="B205" s="307"/>
      <c r="C205" s="307"/>
      <c r="D205" s="307"/>
      <c r="E205" s="307"/>
      <c r="F205" s="307"/>
      <c r="G205" s="307"/>
      <c r="H205" s="307"/>
    </row>
    <row r="206" spans="1:8">
      <c r="A206" s="307"/>
      <c r="B206" s="307"/>
      <c r="C206" s="307"/>
      <c r="D206" s="307"/>
      <c r="E206" s="307"/>
      <c r="F206" s="307"/>
      <c r="G206" s="307"/>
      <c r="H206" s="307"/>
    </row>
    <row r="207" spans="1:8">
      <c r="A207" s="307"/>
      <c r="B207" s="307"/>
      <c r="C207" s="307"/>
      <c r="D207" s="307"/>
      <c r="E207" s="307"/>
      <c r="F207" s="307"/>
      <c r="G207" s="307"/>
      <c r="H207" s="307"/>
    </row>
    <row r="208" spans="1:8">
      <c r="A208" s="307"/>
      <c r="B208" s="307"/>
      <c r="C208" s="307"/>
      <c r="D208" s="307"/>
      <c r="E208" s="307"/>
      <c r="F208" s="307"/>
      <c r="G208" s="307"/>
      <c r="H208" s="307"/>
    </row>
    <row r="209" spans="1:8">
      <c r="A209" s="307"/>
      <c r="B209" s="307"/>
      <c r="C209" s="307"/>
      <c r="D209" s="307"/>
      <c r="E209" s="307"/>
      <c r="F209" s="307"/>
      <c r="G209" s="307"/>
      <c r="H209" s="307"/>
    </row>
    <row r="210" spans="1:8">
      <c r="A210" s="307"/>
      <c r="B210" s="307"/>
      <c r="C210" s="307"/>
      <c r="D210" s="307"/>
      <c r="E210" s="307"/>
      <c r="F210" s="307"/>
      <c r="G210" s="307"/>
      <c r="H210" s="307"/>
    </row>
    <row r="211" spans="1:8">
      <c r="A211" s="307"/>
      <c r="B211" s="307"/>
      <c r="C211" s="307"/>
      <c r="D211" s="307"/>
      <c r="E211" s="307"/>
      <c r="F211" s="307"/>
      <c r="G211" s="307"/>
      <c r="H211" s="307"/>
    </row>
    <row r="212" spans="1:8">
      <c r="A212" s="307"/>
      <c r="B212" s="307"/>
      <c r="C212" s="307"/>
      <c r="D212" s="307"/>
      <c r="E212" s="307"/>
      <c r="F212" s="307"/>
      <c r="G212" s="307"/>
      <c r="H212" s="307"/>
    </row>
    <row r="213" spans="1:8">
      <c r="A213" s="307"/>
      <c r="B213" s="307"/>
      <c r="C213" s="307"/>
      <c r="D213" s="307"/>
      <c r="E213" s="307"/>
      <c r="F213" s="307"/>
      <c r="G213" s="307"/>
      <c r="H213" s="307"/>
    </row>
    <row r="214" spans="1:8">
      <c r="A214" s="307"/>
      <c r="B214" s="307"/>
      <c r="C214" s="307"/>
      <c r="D214" s="307"/>
      <c r="E214" s="307"/>
      <c r="F214" s="307"/>
      <c r="G214" s="307"/>
      <c r="H214" s="307"/>
    </row>
    <row r="215" spans="1:8">
      <c r="A215" s="307"/>
      <c r="B215" s="307"/>
      <c r="C215" s="307"/>
      <c r="D215" s="307"/>
      <c r="E215" s="307"/>
      <c r="F215" s="307"/>
      <c r="G215" s="307"/>
      <c r="H215" s="307"/>
    </row>
    <row r="216" spans="1:8">
      <c r="A216" s="307"/>
      <c r="B216" s="307"/>
      <c r="C216" s="307"/>
      <c r="D216" s="307"/>
      <c r="E216" s="307"/>
      <c r="F216" s="307"/>
      <c r="G216" s="307"/>
      <c r="H216" s="307"/>
    </row>
    <row r="217" spans="1:8">
      <c r="A217" s="307"/>
      <c r="B217" s="307"/>
      <c r="C217" s="307"/>
      <c r="D217" s="307"/>
      <c r="E217" s="307"/>
      <c r="F217" s="307"/>
      <c r="G217" s="307"/>
      <c r="H217" s="307"/>
    </row>
    <row r="218" spans="1:8" ht="15.75">
      <c r="A218" s="309" t="s">
        <v>769</v>
      </c>
      <c r="B218" s="307"/>
      <c r="C218" s="307"/>
      <c r="D218" s="307"/>
      <c r="E218" s="307"/>
      <c r="F218" s="307"/>
      <c r="G218" s="307"/>
      <c r="H218" s="307"/>
    </row>
    <row r="219" spans="1:8">
      <c r="A219" s="307"/>
      <c r="B219" s="307"/>
      <c r="C219" s="307"/>
      <c r="D219" s="307"/>
      <c r="E219" s="307"/>
      <c r="F219" s="307"/>
      <c r="G219" s="307"/>
      <c r="H219" s="307"/>
    </row>
    <row r="220" spans="1:8">
      <c r="A220" s="308" t="s">
        <v>932</v>
      </c>
      <c r="B220" s="307"/>
      <c r="C220" s="307"/>
      <c r="D220" s="307"/>
      <c r="E220" s="307"/>
      <c r="F220" s="307"/>
      <c r="G220" s="307"/>
      <c r="H220" s="307"/>
    </row>
    <row r="221" spans="1:8">
      <c r="A221" s="308" t="s">
        <v>933</v>
      </c>
      <c r="B221" s="307"/>
      <c r="C221" s="307"/>
      <c r="D221" s="307"/>
      <c r="E221" s="307"/>
      <c r="F221" s="307"/>
      <c r="G221" s="307"/>
      <c r="H221" s="307"/>
    </row>
    <row r="222" spans="1:8">
      <c r="A222" s="308" t="s">
        <v>934</v>
      </c>
      <c r="B222" s="307"/>
      <c r="C222" s="307"/>
      <c r="D222" s="307"/>
      <c r="E222" s="307"/>
      <c r="F222" s="307"/>
      <c r="G222" s="307"/>
      <c r="H222" s="307"/>
    </row>
    <row r="223" spans="1:8">
      <c r="A223" s="308" t="s">
        <v>935</v>
      </c>
      <c r="B223" s="307"/>
      <c r="C223" s="307"/>
      <c r="D223" s="307"/>
      <c r="E223" s="307"/>
      <c r="F223" s="307"/>
      <c r="G223" s="307"/>
      <c r="H223" s="307"/>
    </row>
    <row r="224" spans="1:8">
      <c r="A224" s="308" t="s">
        <v>936</v>
      </c>
      <c r="B224" s="307"/>
      <c r="C224" s="307"/>
      <c r="D224" s="307"/>
      <c r="E224" s="307"/>
      <c r="F224" s="307"/>
      <c r="G224" s="307"/>
      <c r="H224" s="307"/>
    </row>
    <row r="225" spans="1:8">
      <c r="A225" s="307"/>
      <c r="B225" s="307"/>
      <c r="C225" s="307"/>
      <c r="D225" s="307"/>
      <c r="E225" s="307"/>
      <c r="F225" s="307"/>
      <c r="G225" s="307"/>
      <c r="H225" s="307"/>
    </row>
    <row r="226" spans="1:8">
      <c r="A226" s="308" t="s">
        <v>929</v>
      </c>
      <c r="B226" s="307"/>
      <c r="C226" s="307"/>
      <c r="D226" s="307"/>
      <c r="E226" s="307"/>
      <c r="F226" s="307"/>
      <c r="G226" s="307"/>
      <c r="H226" s="307"/>
    </row>
    <row r="227" spans="1:8">
      <c r="A227" s="308" t="s">
        <v>930</v>
      </c>
      <c r="B227" s="307"/>
      <c r="C227" s="307"/>
      <c r="D227" s="307"/>
      <c r="E227" s="307"/>
      <c r="F227" s="307"/>
      <c r="G227" s="307"/>
      <c r="H227" s="307"/>
    </row>
    <row r="228" spans="1:8">
      <c r="A228" s="308" t="s">
        <v>931</v>
      </c>
      <c r="B228" s="307"/>
      <c r="C228" s="307"/>
      <c r="D228" s="307"/>
      <c r="E228" s="307"/>
      <c r="F228" s="307"/>
      <c r="G228" s="307"/>
      <c r="H228" s="307"/>
    </row>
    <row r="229" spans="1:8" ht="15.75">
      <c r="A229" s="309" t="s">
        <v>770</v>
      </c>
      <c r="B229" s="307"/>
      <c r="C229" s="307"/>
      <c r="D229" s="307"/>
      <c r="E229" s="307"/>
      <c r="F229" s="307"/>
      <c r="G229" s="307"/>
      <c r="H229" s="307"/>
    </row>
    <row r="230" spans="1:8">
      <c r="A230" s="307"/>
      <c r="B230" s="307"/>
      <c r="C230" s="307"/>
      <c r="D230" s="307"/>
      <c r="E230" s="307"/>
      <c r="F230" s="307"/>
      <c r="G230" s="307"/>
      <c r="H230" s="307"/>
    </row>
    <row r="231" spans="1:8">
      <c r="A231" s="308" t="s">
        <v>927</v>
      </c>
      <c r="B231" s="307"/>
      <c r="C231" s="307"/>
      <c r="D231" s="307"/>
      <c r="E231" s="307"/>
      <c r="F231" s="307"/>
      <c r="G231" s="307"/>
      <c r="H231" s="307"/>
    </row>
    <row r="232" spans="1:8">
      <c r="A232" s="308" t="s">
        <v>928</v>
      </c>
      <c r="B232" s="307"/>
      <c r="C232" s="307"/>
      <c r="D232" s="307"/>
      <c r="E232" s="307"/>
      <c r="F232" s="307"/>
      <c r="G232" s="307"/>
      <c r="H232" s="307"/>
    </row>
    <row r="233" spans="1:8">
      <c r="A233" s="307"/>
      <c r="B233" s="307"/>
      <c r="C233" s="307"/>
      <c r="D233" s="307"/>
      <c r="E233" s="307"/>
      <c r="F233" s="307"/>
      <c r="G233" s="307"/>
      <c r="H233" s="307"/>
    </row>
    <row r="234" spans="1:8">
      <c r="A234" s="308" t="s">
        <v>920</v>
      </c>
      <c r="B234" s="307"/>
      <c r="C234" s="307"/>
      <c r="D234" s="307"/>
      <c r="E234" s="307"/>
      <c r="F234" s="307"/>
      <c r="G234" s="307"/>
      <c r="H234" s="307"/>
    </row>
    <row r="235" spans="1:8">
      <c r="A235" s="308" t="s">
        <v>921</v>
      </c>
      <c r="B235" s="307"/>
      <c r="C235" s="307"/>
      <c r="D235" s="307"/>
      <c r="E235" s="307"/>
      <c r="F235" s="307"/>
      <c r="G235" s="307"/>
      <c r="H235" s="307"/>
    </row>
    <row r="236" spans="1:8">
      <c r="A236" s="308" t="s">
        <v>922</v>
      </c>
      <c r="B236" s="307"/>
      <c r="C236" s="307"/>
      <c r="D236" s="307"/>
      <c r="E236" s="307"/>
      <c r="F236" s="307"/>
      <c r="G236" s="307"/>
      <c r="H236" s="307"/>
    </row>
    <row r="237" spans="1:8">
      <c r="A237" s="308" t="s">
        <v>923</v>
      </c>
      <c r="B237" s="307"/>
      <c r="C237" s="307"/>
      <c r="D237" s="307"/>
      <c r="E237" s="307"/>
      <c r="F237" s="307"/>
      <c r="G237" s="307"/>
      <c r="H237" s="307"/>
    </row>
    <row r="238" spans="1:8">
      <c r="A238" s="308" t="s">
        <v>924</v>
      </c>
      <c r="B238" s="307"/>
      <c r="C238" s="307"/>
      <c r="D238" s="307"/>
      <c r="E238" s="307"/>
      <c r="F238" s="307"/>
      <c r="G238" s="307"/>
      <c r="H238" s="307"/>
    </row>
    <row r="239" spans="1:8">
      <c r="A239" s="308" t="s">
        <v>925</v>
      </c>
      <c r="B239" s="307"/>
      <c r="C239" s="307"/>
      <c r="D239" s="307"/>
      <c r="E239" s="307"/>
      <c r="F239" s="307"/>
      <c r="G239" s="307"/>
      <c r="H239" s="307"/>
    </row>
    <row r="240" spans="1:8">
      <c r="A240" s="308" t="s">
        <v>926</v>
      </c>
      <c r="B240" s="307"/>
      <c r="C240" s="307"/>
      <c r="D240" s="307"/>
      <c r="E240" s="307"/>
      <c r="F240" s="307"/>
      <c r="G240" s="307"/>
      <c r="H240" s="307"/>
    </row>
    <row r="241" spans="1:8">
      <c r="A241" s="307"/>
      <c r="B241" s="307"/>
      <c r="C241" s="307"/>
      <c r="D241" s="307"/>
      <c r="E241" s="307"/>
      <c r="F241" s="307"/>
      <c r="G241" s="307"/>
      <c r="H241" s="307"/>
    </row>
    <row r="242" spans="1:8">
      <c r="A242" s="308" t="s">
        <v>917</v>
      </c>
      <c r="B242" s="307"/>
      <c r="C242" s="307"/>
      <c r="D242" s="307"/>
      <c r="E242" s="307"/>
      <c r="F242" s="307"/>
      <c r="G242" s="307"/>
      <c r="H242" s="307"/>
    </row>
    <row r="243" spans="1:8">
      <c r="A243" s="308" t="s">
        <v>918</v>
      </c>
      <c r="B243" s="307"/>
      <c r="C243" s="307"/>
      <c r="D243" s="307"/>
      <c r="E243" s="307"/>
      <c r="F243" s="307"/>
      <c r="G243" s="307"/>
      <c r="H243" s="307"/>
    </row>
    <row r="244" spans="1:8">
      <c r="A244" s="308" t="s">
        <v>919</v>
      </c>
      <c r="B244" s="307"/>
      <c r="C244" s="307"/>
      <c r="D244" s="307"/>
      <c r="E244" s="307"/>
      <c r="F244" s="307"/>
      <c r="G244" s="307"/>
      <c r="H244" s="307"/>
    </row>
    <row r="245" spans="1:8">
      <c r="A245" s="307"/>
      <c r="B245" s="307"/>
      <c r="C245" s="307"/>
      <c r="D245" s="307"/>
      <c r="E245" s="307"/>
      <c r="F245" s="307"/>
      <c r="G245" s="307"/>
      <c r="H245" s="307"/>
    </row>
    <row r="246" spans="1:8">
      <c r="A246" s="308" t="s">
        <v>912</v>
      </c>
      <c r="B246" s="307"/>
      <c r="C246" s="307"/>
      <c r="D246" s="307"/>
      <c r="E246" s="307"/>
      <c r="F246" s="307"/>
      <c r="G246" s="307"/>
      <c r="H246" s="307"/>
    </row>
    <row r="247" spans="1:8">
      <c r="A247" s="308" t="s">
        <v>913</v>
      </c>
      <c r="B247" s="307"/>
      <c r="C247" s="307"/>
      <c r="D247" s="307"/>
      <c r="E247" s="307"/>
      <c r="F247" s="307"/>
      <c r="G247" s="307"/>
      <c r="H247" s="307"/>
    </row>
    <row r="248" spans="1:8">
      <c r="A248" s="308" t="s">
        <v>914</v>
      </c>
      <c r="B248" s="307"/>
      <c r="C248" s="307"/>
      <c r="D248" s="307"/>
      <c r="E248" s="307"/>
      <c r="F248" s="307"/>
      <c r="G248" s="307"/>
      <c r="H248" s="307"/>
    </row>
    <row r="249" spans="1:8">
      <c r="A249" s="308" t="s">
        <v>915</v>
      </c>
      <c r="B249" s="307"/>
      <c r="C249" s="307"/>
      <c r="D249" s="307"/>
      <c r="E249" s="307"/>
      <c r="F249" s="307"/>
      <c r="G249" s="307"/>
      <c r="H249" s="307"/>
    </row>
    <row r="250" spans="1:8">
      <c r="A250" s="308" t="s">
        <v>916</v>
      </c>
      <c r="B250" s="307"/>
      <c r="C250" s="307"/>
      <c r="D250" s="307"/>
      <c r="E250" s="307"/>
      <c r="F250" s="307"/>
      <c r="G250" s="307"/>
      <c r="H250" s="307"/>
    </row>
    <row r="251" spans="1:8">
      <c r="A251" s="307"/>
      <c r="B251" s="307"/>
      <c r="C251" s="307"/>
      <c r="D251" s="307"/>
      <c r="E251" s="307"/>
      <c r="F251" s="307"/>
      <c r="G251" s="307"/>
      <c r="H251" s="307"/>
    </row>
    <row r="252" spans="1:8">
      <c r="A252" s="308" t="s">
        <v>906</v>
      </c>
      <c r="B252" s="307"/>
      <c r="C252" s="307"/>
      <c r="D252" s="307"/>
      <c r="E252" s="307"/>
      <c r="F252" s="307"/>
      <c r="G252" s="307"/>
      <c r="H252" s="307"/>
    </row>
    <row r="253" spans="1:8">
      <c r="A253" s="308" t="s">
        <v>907</v>
      </c>
      <c r="B253" s="307"/>
      <c r="C253" s="307"/>
      <c r="D253" s="307"/>
      <c r="E253" s="307"/>
      <c r="F253" s="307"/>
      <c r="G253" s="307"/>
      <c r="H253" s="307"/>
    </row>
    <row r="254" spans="1:8">
      <c r="A254" s="308" t="s">
        <v>908</v>
      </c>
      <c r="B254" s="307"/>
      <c r="C254" s="307"/>
      <c r="D254" s="307"/>
      <c r="E254" s="307"/>
      <c r="F254" s="307"/>
      <c r="G254" s="307"/>
      <c r="H254" s="307"/>
    </row>
    <row r="255" spans="1:8">
      <c r="A255" s="308" t="s">
        <v>909</v>
      </c>
      <c r="B255" s="307"/>
      <c r="C255" s="307"/>
      <c r="D255" s="307"/>
      <c r="E255" s="307"/>
      <c r="F255" s="307"/>
      <c r="G255" s="307"/>
      <c r="H255" s="307"/>
    </row>
    <row r="256" spans="1:8">
      <c r="A256" s="308" t="s">
        <v>910</v>
      </c>
      <c r="B256" s="307"/>
      <c r="C256" s="307"/>
      <c r="D256" s="307"/>
      <c r="E256" s="307"/>
      <c r="F256" s="307"/>
      <c r="G256" s="307"/>
      <c r="H256" s="307"/>
    </row>
    <row r="257" spans="1:8">
      <c r="A257" s="308" t="s">
        <v>911</v>
      </c>
      <c r="B257" s="307"/>
      <c r="C257" s="307"/>
      <c r="D257" s="307"/>
      <c r="E257" s="307"/>
      <c r="F257" s="307"/>
      <c r="G257" s="307"/>
      <c r="H257" s="307"/>
    </row>
    <row r="258" spans="1:8">
      <c r="A258" s="307"/>
      <c r="B258" s="307"/>
      <c r="C258" s="307"/>
      <c r="D258" s="307"/>
      <c r="E258" s="307"/>
      <c r="F258" s="307"/>
      <c r="G258" s="307"/>
      <c r="H258" s="307"/>
    </row>
    <row r="259" spans="1:8">
      <c r="A259" s="308" t="s">
        <v>896</v>
      </c>
      <c r="B259" s="307"/>
      <c r="C259" s="307"/>
      <c r="D259" s="307"/>
      <c r="E259" s="307"/>
      <c r="F259" s="307"/>
      <c r="G259" s="307"/>
      <c r="H259" s="307"/>
    </row>
    <row r="260" spans="1:8">
      <c r="A260" s="308" t="s">
        <v>897</v>
      </c>
      <c r="B260" s="307"/>
      <c r="C260" s="307"/>
      <c r="D260" s="307"/>
      <c r="E260" s="307"/>
      <c r="F260" s="307"/>
      <c r="G260" s="307"/>
      <c r="H260" s="307"/>
    </row>
    <row r="261" spans="1:8">
      <c r="A261" s="308" t="s">
        <v>898</v>
      </c>
      <c r="B261" s="307"/>
      <c r="C261" s="307"/>
      <c r="D261" s="307"/>
      <c r="E261" s="307"/>
      <c r="F261" s="307"/>
      <c r="G261" s="307"/>
      <c r="H261" s="307"/>
    </row>
    <row r="262" spans="1:8">
      <c r="A262" s="308" t="s">
        <v>899</v>
      </c>
      <c r="B262" s="307"/>
      <c r="C262" s="307"/>
      <c r="D262" s="307"/>
      <c r="E262" s="307"/>
      <c r="F262" s="307"/>
      <c r="G262" s="307"/>
      <c r="H262" s="307"/>
    </row>
    <row r="263" spans="1:8">
      <c r="A263" s="308" t="s">
        <v>900</v>
      </c>
      <c r="B263" s="307"/>
      <c r="C263" s="307"/>
      <c r="D263" s="307"/>
      <c r="E263" s="307"/>
      <c r="F263" s="307"/>
      <c r="G263" s="307"/>
      <c r="H263" s="307"/>
    </row>
    <row r="264" spans="1:8">
      <c r="A264" s="308" t="s">
        <v>901</v>
      </c>
      <c r="B264" s="307"/>
      <c r="C264" s="307"/>
      <c r="D264" s="307"/>
      <c r="E264" s="307"/>
      <c r="F264" s="307"/>
      <c r="G264" s="307"/>
      <c r="H264" s="307"/>
    </row>
    <row r="265" spans="1:8">
      <c r="A265" s="308" t="s">
        <v>902</v>
      </c>
      <c r="B265" s="307"/>
      <c r="C265" s="307"/>
      <c r="D265" s="307"/>
      <c r="E265" s="307"/>
      <c r="F265" s="307"/>
      <c r="G265" s="307"/>
      <c r="H265" s="307"/>
    </row>
    <row r="266" spans="1:8">
      <c r="A266" s="308" t="s">
        <v>903</v>
      </c>
      <c r="B266" s="307"/>
      <c r="C266" s="307"/>
      <c r="D266" s="307"/>
      <c r="E266" s="307"/>
      <c r="F266" s="307"/>
      <c r="G266" s="307"/>
      <c r="H266" s="307"/>
    </row>
    <row r="267" spans="1:8">
      <c r="A267" s="308" t="s">
        <v>904</v>
      </c>
      <c r="B267" s="307"/>
      <c r="C267" s="307"/>
      <c r="D267" s="307"/>
      <c r="E267" s="307"/>
      <c r="F267" s="307"/>
      <c r="G267" s="307"/>
      <c r="H267" s="307"/>
    </row>
    <row r="268" spans="1:8">
      <c r="A268" s="308" t="s">
        <v>905</v>
      </c>
      <c r="B268" s="307"/>
      <c r="C268" s="307"/>
      <c r="D268" s="307"/>
      <c r="E268" s="307"/>
      <c r="F268" s="307"/>
      <c r="G268" s="307"/>
      <c r="H268" s="307"/>
    </row>
    <row r="269" spans="1:8">
      <c r="A269" s="307"/>
      <c r="B269" s="307"/>
      <c r="C269" s="307"/>
      <c r="D269" s="307"/>
      <c r="E269" s="307"/>
      <c r="F269" s="307"/>
      <c r="G269" s="307"/>
      <c r="H269" s="307"/>
    </row>
    <row r="270" spans="1:8">
      <c r="A270" s="308" t="s">
        <v>894</v>
      </c>
      <c r="B270" s="307"/>
      <c r="C270" s="307"/>
      <c r="D270" s="307"/>
      <c r="E270" s="307"/>
      <c r="F270" s="307"/>
      <c r="G270" s="307"/>
      <c r="H270" s="307"/>
    </row>
    <row r="271" spans="1:8">
      <c r="A271" s="308" t="s">
        <v>895</v>
      </c>
      <c r="B271" s="307"/>
      <c r="C271" s="307"/>
      <c r="D271" s="307"/>
      <c r="E271" s="307"/>
      <c r="F271" s="307"/>
      <c r="G271" s="307"/>
      <c r="H271" s="307"/>
    </row>
    <row r="272" spans="1:8">
      <c r="A272" s="307"/>
      <c r="B272" s="307"/>
      <c r="C272" s="307"/>
      <c r="D272" s="307"/>
      <c r="E272" s="307"/>
      <c r="F272" s="307"/>
      <c r="G272" s="307"/>
      <c r="H272" s="307"/>
    </row>
    <row r="273" spans="1:8">
      <c r="A273" s="308" t="s">
        <v>878</v>
      </c>
      <c r="B273" s="307"/>
      <c r="C273" s="307"/>
      <c r="D273" s="307"/>
      <c r="E273" s="307"/>
      <c r="F273" s="307"/>
      <c r="G273" s="307"/>
      <c r="H273" s="307"/>
    </row>
    <row r="274" spans="1:8">
      <c r="A274" s="308" t="s">
        <v>879</v>
      </c>
      <c r="B274" s="307"/>
      <c r="C274" s="307"/>
      <c r="D274" s="307"/>
      <c r="E274" s="307"/>
      <c r="F274" s="307"/>
      <c r="G274" s="307"/>
      <c r="H274" s="307"/>
    </row>
    <row r="275" spans="1:8">
      <c r="A275" s="308" t="s">
        <v>880</v>
      </c>
      <c r="B275" s="307"/>
      <c r="C275" s="307"/>
      <c r="D275" s="307"/>
      <c r="E275" s="307"/>
      <c r="F275" s="307"/>
      <c r="G275" s="307"/>
      <c r="H275" s="307"/>
    </row>
    <row r="276" spans="1:8">
      <c r="A276" s="308" t="s">
        <v>881</v>
      </c>
      <c r="B276" s="307"/>
      <c r="C276" s="307"/>
      <c r="D276" s="307"/>
      <c r="E276" s="307"/>
      <c r="F276" s="307"/>
      <c r="G276" s="307"/>
      <c r="H276" s="307"/>
    </row>
    <row r="277" spans="1:8">
      <c r="A277" s="308" t="s">
        <v>882</v>
      </c>
      <c r="B277" s="307"/>
      <c r="C277" s="307"/>
      <c r="D277" s="307"/>
      <c r="E277" s="307"/>
      <c r="F277" s="307"/>
      <c r="G277" s="307"/>
      <c r="H277" s="307"/>
    </row>
    <row r="278" spans="1:8">
      <c r="A278" s="308" t="s">
        <v>883</v>
      </c>
      <c r="B278" s="307"/>
      <c r="C278" s="307"/>
      <c r="D278" s="307"/>
      <c r="E278" s="307"/>
      <c r="F278" s="307"/>
      <c r="G278" s="307"/>
      <c r="H278" s="307"/>
    </row>
    <row r="279" spans="1:8">
      <c r="A279" s="308" t="s">
        <v>884</v>
      </c>
      <c r="B279" s="307"/>
      <c r="C279" s="307"/>
      <c r="D279" s="307"/>
      <c r="E279" s="307"/>
      <c r="F279" s="307"/>
      <c r="G279" s="307"/>
      <c r="H279" s="307"/>
    </row>
    <row r="280" spans="1:8">
      <c r="A280" s="308" t="s">
        <v>885</v>
      </c>
      <c r="B280" s="307"/>
      <c r="C280" s="307"/>
      <c r="D280" s="307"/>
      <c r="E280" s="307"/>
      <c r="F280" s="307"/>
      <c r="G280" s="307"/>
      <c r="H280" s="307"/>
    </row>
    <row r="281" spans="1:8">
      <c r="A281" s="308" t="s">
        <v>886</v>
      </c>
      <c r="B281" s="307"/>
      <c r="C281" s="307"/>
      <c r="D281" s="307"/>
      <c r="E281" s="307"/>
      <c r="F281" s="307"/>
      <c r="G281" s="307"/>
      <c r="H281" s="307"/>
    </row>
    <row r="282" spans="1:8">
      <c r="A282" s="308" t="s">
        <v>887</v>
      </c>
      <c r="B282" s="307"/>
      <c r="C282" s="307"/>
      <c r="D282" s="307"/>
      <c r="E282" s="307"/>
      <c r="F282" s="307"/>
      <c r="G282" s="307"/>
      <c r="H282" s="307"/>
    </row>
    <row r="283" spans="1:8">
      <c r="A283" s="308" t="s">
        <v>888</v>
      </c>
      <c r="B283" s="307"/>
      <c r="C283" s="307"/>
      <c r="D283" s="307"/>
      <c r="E283" s="307"/>
      <c r="F283" s="307"/>
      <c r="G283" s="307"/>
      <c r="H283" s="307"/>
    </row>
    <row r="284" spans="1:8">
      <c r="A284" s="308" t="s">
        <v>889</v>
      </c>
      <c r="B284" s="307"/>
      <c r="C284" s="307"/>
      <c r="D284" s="307"/>
      <c r="E284" s="307"/>
      <c r="F284" s="307"/>
      <c r="G284" s="307"/>
      <c r="H284" s="307"/>
    </row>
    <row r="285" spans="1:8">
      <c r="A285" s="308" t="s">
        <v>890</v>
      </c>
      <c r="B285" s="307"/>
      <c r="C285" s="307"/>
      <c r="D285" s="307"/>
      <c r="E285" s="307"/>
      <c r="F285" s="307"/>
      <c r="G285" s="307"/>
      <c r="H285" s="307"/>
    </row>
    <row r="286" spans="1:8">
      <c r="A286" s="308" t="s">
        <v>891</v>
      </c>
      <c r="B286" s="307"/>
      <c r="C286" s="307"/>
      <c r="D286" s="307"/>
      <c r="E286" s="307"/>
      <c r="F286" s="307"/>
      <c r="G286" s="307"/>
      <c r="H286" s="307"/>
    </row>
    <row r="287" spans="1:8">
      <c r="A287" s="308" t="s">
        <v>892</v>
      </c>
      <c r="B287" s="307"/>
      <c r="C287" s="307"/>
      <c r="D287" s="307"/>
      <c r="E287" s="307"/>
      <c r="F287" s="307"/>
      <c r="G287" s="307"/>
      <c r="H287" s="307"/>
    </row>
    <row r="288" spans="1:8">
      <c r="A288" s="308" t="s">
        <v>893</v>
      </c>
      <c r="B288" s="307"/>
      <c r="C288" s="307"/>
      <c r="D288" s="307"/>
      <c r="E288" s="307"/>
      <c r="F288" s="307"/>
      <c r="G288" s="307"/>
      <c r="H288" s="307"/>
    </row>
    <row r="289" spans="1:8">
      <c r="A289" s="307"/>
      <c r="B289" s="307"/>
      <c r="C289" s="307"/>
      <c r="D289" s="307"/>
      <c r="E289" s="307"/>
      <c r="F289" s="307"/>
      <c r="G289" s="307"/>
      <c r="H289" s="307"/>
    </row>
    <row r="290" spans="1:8">
      <c r="A290" s="308" t="s">
        <v>871</v>
      </c>
      <c r="B290" s="307"/>
      <c r="C290" s="307"/>
      <c r="D290" s="307"/>
      <c r="E290" s="307"/>
      <c r="F290" s="307"/>
      <c r="G290" s="307"/>
      <c r="H290" s="307"/>
    </row>
    <row r="291" spans="1:8">
      <c r="A291" s="308" t="s">
        <v>872</v>
      </c>
      <c r="B291" s="307"/>
      <c r="C291" s="307"/>
      <c r="D291" s="307"/>
      <c r="E291" s="307"/>
      <c r="F291" s="307"/>
      <c r="G291" s="307"/>
      <c r="H291" s="307"/>
    </row>
    <row r="292" spans="1:8">
      <c r="A292" s="308" t="s">
        <v>873</v>
      </c>
      <c r="B292" s="307"/>
      <c r="C292" s="307"/>
      <c r="D292" s="307"/>
      <c r="E292" s="307"/>
      <c r="F292" s="307"/>
      <c r="G292" s="307"/>
      <c r="H292" s="307"/>
    </row>
    <row r="293" spans="1:8">
      <c r="A293" s="308" t="s">
        <v>874</v>
      </c>
      <c r="B293" s="307"/>
      <c r="C293" s="307"/>
      <c r="D293" s="307"/>
      <c r="E293" s="307"/>
      <c r="F293" s="307"/>
      <c r="G293" s="307"/>
      <c r="H293" s="307"/>
    </row>
    <row r="294" spans="1:8">
      <c r="A294" s="308" t="s">
        <v>875</v>
      </c>
      <c r="B294" s="307"/>
      <c r="C294" s="307"/>
      <c r="D294" s="307"/>
      <c r="E294" s="307"/>
      <c r="F294" s="307"/>
      <c r="G294" s="307"/>
      <c r="H294" s="307"/>
    </row>
    <row r="295" spans="1:8">
      <c r="A295" s="308" t="s">
        <v>876</v>
      </c>
      <c r="B295" s="307"/>
      <c r="C295" s="307"/>
      <c r="D295" s="307"/>
      <c r="E295" s="307"/>
      <c r="F295" s="307"/>
      <c r="G295" s="307"/>
      <c r="H295" s="307"/>
    </row>
    <row r="296" spans="1:8">
      <c r="A296" s="308" t="s">
        <v>877</v>
      </c>
      <c r="B296" s="307"/>
      <c r="C296" s="307"/>
      <c r="D296" s="307"/>
      <c r="E296" s="307"/>
      <c r="F296" s="307"/>
      <c r="G296" s="307"/>
      <c r="H296" s="307"/>
    </row>
    <row r="297" spans="1:8">
      <c r="A297" s="307"/>
      <c r="B297" s="307"/>
      <c r="C297" s="307"/>
      <c r="D297" s="307"/>
      <c r="E297" s="307"/>
      <c r="F297" s="307"/>
      <c r="G297" s="307"/>
      <c r="H297" s="307"/>
    </row>
    <row r="298" spans="1:8">
      <c r="A298" s="308" t="s">
        <v>862</v>
      </c>
      <c r="B298" s="307"/>
      <c r="C298" s="307"/>
      <c r="D298" s="307"/>
      <c r="E298" s="307"/>
      <c r="F298" s="307"/>
      <c r="G298" s="307"/>
      <c r="H298" s="307"/>
    </row>
    <row r="299" spans="1:8">
      <c r="A299" s="308" t="s">
        <v>863</v>
      </c>
      <c r="B299" s="307"/>
      <c r="C299" s="307"/>
      <c r="D299" s="307"/>
      <c r="E299" s="307"/>
      <c r="F299" s="307"/>
      <c r="G299" s="307"/>
      <c r="H299" s="307"/>
    </row>
    <row r="300" spans="1:8">
      <c r="A300" s="308" t="s">
        <v>864</v>
      </c>
      <c r="B300" s="307"/>
      <c r="C300" s="307"/>
      <c r="D300" s="307"/>
      <c r="E300" s="307"/>
      <c r="F300" s="307"/>
      <c r="G300" s="307"/>
      <c r="H300" s="307"/>
    </row>
    <row r="301" spans="1:8">
      <c r="A301" s="308" t="s">
        <v>865</v>
      </c>
      <c r="B301" s="307"/>
      <c r="C301" s="307"/>
      <c r="D301" s="307"/>
      <c r="E301" s="307"/>
      <c r="F301" s="307"/>
      <c r="G301" s="307"/>
      <c r="H301" s="307"/>
    </row>
    <row r="302" spans="1:8">
      <c r="A302" s="308" t="s">
        <v>866</v>
      </c>
      <c r="B302" s="307"/>
      <c r="C302" s="307"/>
      <c r="D302" s="307"/>
      <c r="E302" s="307"/>
      <c r="F302" s="307"/>
      <c r="G302" s="307"/>
      <c r="H302" s="307"/>
    </row>
    <row r="303" spans="1:8">
      <c r="A303" s="308" t="s">
        <v>867</v>
      </c>
      <c r="B303" s="307"/>
      <c r="C303" s="307"/>
      <c r="D303" s="307"/>
      <c r="E303" s="307"/>
      <c r="F303" s="307"/>
      <c r="G303" s="307"/>
      <c r="H303" s="307"/>
    </row>
    <row r="304" spans="1:8">
      <c r="A304" s="308" t="s">
        <v>868</v>
      </c>
      <c r="B304" s="307"/>
      <c r="C304" s="307"/>
      <c r="D304" s="307"/>
      <c r="E304" s="307"/>
      <c r="F304" s="307"/>
      <c r="G304" s="307"/>
      <c r="H304" s="307"/>
    </row>
    <row r="305" spans="1:8">
      <c r="A305" s="308" t="s">
        <v>869</v>
      </c>
      <c r="B305" s="307"/>
      <c r="C305" s="307"/>
      <c r="D305" s="307"/>
      <c r="E305" s="307"/>
      <c r="F305" s="307"/>
      <c r="G305" s="307"/>
      <c r="H305" s="307"/>
    </row>
    <row r="306" spans="1:8">
      <c r="A306" s="308" t="s">
        <v>870</v>
      </c>
      <c r="B306" s="307"/>
      <c r="C306" s="307"/>
      <c r="D306" s="307"/>
      <c r="E306" s="307"/>
      <c r="F306" s="307"/>
      <c r="G306" s="307"/>
      <c r="H306" s="307"/>
    </row>
    <row r="307" spans="1:8">
      <c r="A307" s="307"/>
      <c r="B307" s="307"/>
      <c r="C307" s="307"/>
      <c r="D307" s="307"/>
      <c r="E307" s="307"/>
      <c r="F307" s="307"/>
      <c r="G307" s="307"/>
      <c r="H307" s="307"/>
    </row>
    <row r="308" spans="1:8">
      <c r="A308" s="308" t="s">
        <v>855</v>
      </c>
      <c r="B308" s="307"/>
      <c r="C308" s="307"/>
      <c r="D308" s="307"/>
      <c r="E308" s="307"/>
      <c r="F308" s="307"/>
      <c r="G308" s="307"/>
      <c r="H308" s="307"/>
    </row>
    <row r="309" spans="1:8">
      <c r="A309" s="308" t="s">
        <v>856</v>
      </c>
      <c r="B309" s="307"/>
      <c r="C309" s="307"/>
      <c r="D309" s="307"/>
      <c r="E309" s="307"/>
      <c r="F309" s="307"/>
      <c r="G309" s="307"/>
      <c r="H309" s="307"/>
    </row>
    <row r="310" spans="1:8">
      <c r="A310" s="308" t="s">
        <v>857</v>
      </c>
      <c r="B310" s="307"/>
      <c r="C310" s="307"/>
      <c r="D310" s="307"/>
      <c r="E310" s="307"/>
      <c r="F310" s="307"/>
      <c r="G310" s="307"/>
      <c r="H310" s="307"/>
    </row>
    <row r="311" spans="1:8">
      <c r="A311" s="308" t="s">
        <v>858</v>
      </c>
      <c r="B311" s="307"/>
      <c r="C311" s="307"/>
      <c r="D311" s="307"/>
      <c r="E311" s="307"/>
      <c r="F311" s="307"/>
      <c r="G311" s="307"/>
      <c r="H311" s="307"/>
    </row>
    <row r="312" spans="1:8">
      <c r="A312" s="308" t="s">
        <v>859</v>
      </c>
      <c r="B312" s="307"/>
      <c r="C312" s="307"/>
      <c r="D312" s="307"/>
      <c r="E312" s="307"/>
      <c r="F312" s="307"/>
      <c r="G312" s="307"/>
      <c r="H312" s="307"/>
    </row>
    <row r="313" spans="1:8">
      <c r="A313" s="308" t="s">
        <v>860</v>
      </c>
      <c r="B313" s="307"/>
      <c r="C313" s="307"/>
      <c r="D313" s="307"/>
      <c r="E313" s="307"/>
      <c r="F313" s="307"/>
      <c r="G313" s="307"/>
      <c r="H313" s="307"/>
    </row>
    <row r="314" spans="1:8">
      <c r="A314" s="308" t="s">
        <v>861</v>
      </c>
      <c r="B314" s="307"/>
      <c r="C314" s="307"/>
      <c r="D314" s="307"/>
      <c r="E314" s="307"/>
      <c r="F314" s="307"/>
      <c r="G314" s="307"/>
      <c r="H314" s="307"/>
    </row>
    <row r="315" spans="1:8">
      <c r="A315" s="307"/>
      <c r="B315" s="307"/>
      <c r="C315" s="307"/>
      <c r="D315" s="307"/>
      <c r="E315" s="307"/>
      <c r="F315" s="307"/>
      <c r="G315" s="307"/>
      <c r="H315" s="307"/>
    </row>
    <row r="316" spans="1:8">
      <c r="A316" s="308" t="s">
        <v>852</v>
      </c>
      <c r="B316" s="307"/>
      <c r="C316" s="307"/>
      <c r="D316" s="307"/>
      <c r="E316" s="307"/>
      <c r="F316" s="307"/>
      <c r="G316" s="307"/>
      <c r="H316" s="307"/>
    </row>
    <row r="317" spans="1:8">
      <c r="A317" s="308" t="s">
        <v>853</v>
      </c>
      <c r="B317" s="307"/>
      <c r="C317" s="307"/>
      <c r="D317" s="307"/>
      <c r="E317" s="307"/>
      <c r="F317" s="307"/>
      <c r="G317" s="307"/>
      <c r="H317" s="307"/>
    </row>
    <row r="318" spans="1:8">
      <c r="A318" s="308" t="s">
        <v>854</v>
      </c>
      <c r="B318" s="307"/>
      <c r="C318" s="307"/>
      <c r="D318" s="307"/>
      <c r="E318" s="307"/>
      <c r="F318" s="307"/>
      <c r="G318" s="307"/>
      <c r="H318" s="307"/>
    </row>
    <row r="319" spans="1:8">
      <c r="A319" s="307"/>
      <c r="B319" s="307"/>
      <c r="C319" s="307"/>
      <c r="D319" s="307"/>
      <c r="E319" s="307"/>
      <c r="F319" s="307"/>
      <c r="G319" s="307"/>
      <c r="H319" s="307"/>
    </row>
    <row r="320" spans="1:8">
      <c r="A320" s="308" t="s">
        <v>850</v>
      </c>
      <c r="B320" s="307"/>
      <c r="C320" s="307"/>
      <c r="D320" s="307"/>
      <c r="E320" s="307"/>
      <c r="F320" s="307"/>
      <c r="G320" s="307"/>
      <c r="H320" s="307"/>
    </row>
    <row r="321" spans="1:8">
      <c r="A321" s="308" t="s">
        <v>851</v>
      </c>
      <c r="B321" s="307"/>
      <c r="C321" s="307"/>
      <c r="D321" s="307"/>
      <c r="E321" s="307"/>
      <c r="F321" s="307"/>
      <c r="G321" s="307"/>
      <c r="H321" s="307"/>
    </row>
    <row r="322" spans="1:8">
      <c r="A322" s="307"/>
      <c r="B322" s="307"/>
      <c r="C322" s="307"/>
      <c r="D322" s="307"/>
      <c r="E322" s="307"/>
      <c r="F322" s="307"/>
      <c r="G322" s="307"/>
      <c r="H322" s="307"/>
    </row>
    <row r="323" spans="1:8">
      <c r="A323" s="308" t="s">
        <v>837</v>
      </c>
      <c r="B323" s="307"/>
      <c r="C323" s="307"/>
      <c r="D323" s="307"/>
      <c r="E323" s="307"/>
      <c r="F323" s="307"/>
      <c r="G323" s="307"/>
      <c r="H323" s="307"/>
    </row>
    <row r="324" spans="1:8">
      <c r="A324" s="308" t="s">
        <v>838</v>
      </c>
      <c r="B324" s="307"/>
      <c r="C324" s="307"/>
      <c r="D324" s="307"/>
      <c r="E324" s="307"/>
      <c r="F324" s="307"/>
      <c r="G324" s="307"/>
      <c r="H324" s="307"/>
    </row>
    <row r="325" spans="1:8">
      <c r="A325" s="308" t="s">
        <v>839</v>
      </c>
      <c r="B325" s="307"/>
      <c r="C325" s="307"/>
      <c r="D325" s="307"/>
      <c r="E325" s="307"/>
      <c r="F325" s="307"/>
      <c r="G325" s="307"/>
      <c r="H325" s="307"/>
    </row>
    <row r="326" spans="1:8">
      <c r="A326" s="308" t="s">
        <v>840</v>
      </c>
      <c r="B326" s="307"/>
      <c r="C326" s="307"/>
      <c r="D326" s="307"/>
      <c r="E326" s="307"/>
      <c r="F326" s="307"/>
      <c r="G326" s="307"/>
      <c r="H326" s="307"/>
    </row>
    <row r="327" spans="1:8">
      <c r="A327" s="308" t="s">
        <v>841</v>
      </c>
      <c r="B327" s="307"/>
      <c r="C327" s="307"/>
      <c r="D327" s="307"/>
      <c r="E327" s="307"/>
      <c r="F327" s="307"/>
      <c r="G327" s="307"/>
      <c r="H327" s="307"/>
    </row>
    <row r="328" spans="1:8">
      <c r="A328" s="308" t="s">
        <v>842</v>
      </c>
      <c r="B328" s="307"/>
      <c r="C328" s="307"/>
      <c r="D328" s="307"/>
      <c r="E328" s="307"/>
      <c r="F328" s="307"/>
      <c r="G328" s="307"/>
      <c r="H328" s="307"/>
    </row>
    <row r="329" spans="1:8">
      <c r="A329" s="308" t="s">
        <v>843</v>
      </c>
      <c r="B329" s="307"/>
      <c r="C329" s="307"/>
      <c r="D329" s="307"/>
      <c r="E329" s="307"/>
      <c r="F329" s="307"/>
      <c r="G329" s="307"/>
      <c r="H329" s="307"/>
    </row>
    <row r="330" spans="1:8">
      <c r="A330" s="308" t="s">
        <v>844</v>
      </c>
      <c r="B330" s="307"/>
      <c r="C330" s="307"/>
      <c r="D330" s="307"/>
      <c r="E330" s="307"/>
      <c r="F330" s="307"/>
      <c r="G330" s="307"/>
      <c r="H330" s="307"/>
    </row>
    <row r="331" spans="1:8">
      <c r="A331" s="308" t="s">
        <v>845</v>
      </c>
      <c r="B331" s="307"/>
      <c r="C331" s="307"/>
      <c r="D331" s="307"/>
      <c r="E331" s="307"/>
      <c r="F331" s="307"/>
      <c r="G331" s="307"/>
      <c r="H331" s="307"/>
    </row>
    <row r="332" spans="1:8">
      <c r="A332" s="308" t="s">
        <v>846</v>
      </c>
      <c r="B332" s="307"/>
      <c r="C332" s="307"/>
      <c r="D332" s="307"/>
      <c r="E332" s="307"/>
      <c r="F332" s="307"/>
      <c r="G332" s="307"/>
      <c r="H332" s="307"/>
    </row>
    <row r="333" spans="1:8">
      <c r="A333" s="308" t="s">
        <v>847</v>
      </c>
      <c r="B333" s="307"/>
      <c r="C333" s="307"/>
      <c r="D333" s="307"/>
      <c r="E333" s="307"/>
      <c r="F333" s="307"/>
      <c r="G333" s="307"/>
      <c r="H333" s="307"/>
    </row>
    <row r="334" spans="1:8">
      <c r="A334" s="308" t="s">
        <v>848</v>
      </c>
      <c r="B334" s="307"/>
      <c r="C334" s="307"/>
      <c r="D334" s="307"/>
      <c r="E334" s="307"/>
      <c r="F334" s="307"/>
      <c r="G334" s="307"/>
      <c r="H334" s="307"/>
    </row>
    <row r="335" spans="1:8">
      <c r="A335" s="308" t="s">
        <v>849</v>
      </c>
      <c r="B335" s="307"/>
      <c r="C335" s="307"/>
      <c r="D335" s="307"/>
      <c r="E335" s="307"/>
      <c r="F335" s="307"/>
      <c r="G335" s="307"/>
      <c r="H335" s="307"/>
    </row>
    <row r="336" spans="1:8">
      <c r="A336" s="307"/>
      <c r="B336" s="307"/>
      <c r="C336" s="307"/>
      <c r="D336" s="307"/>
      <c r="E336" s="307"/>
      <c r="F336" s="307"/>
      <c r="G336" s="307"/>
      <c r="H336" s="307"/>
    </row>
    <row r="337" spans="1:8">
      <c r="A337" s="308" t="s">
        <v>835</v>
      </c>
      <c r="B337" s="307"/>
      <c r="C337" s="307"/>
      <c r="D337" s="307"/>
      <c r="E337" s="307"/>
      <c r="F337" s="307"/>
      <c r="G337" s="307"/>
      <c r="H337" s="307"/>
    </row>
    <row r="338" spans="1:8">
      <c r="A338" s="308" t="s">
        <v>836</v>
      </c>
      <c r="B338" s="307"/>
      <c r="C338" s="307"/>
      <c r="D338" s="307"/>
      <c r="E338" s="307"/>
      <c r="F338" s="307"/>
      <c r="G338" s="307"/>
      <c r="H338" s="307"/>
    </row>
    <row r="339" spans="1:8">
      <c r="A339" s="307"/>
      <c r="B339" s="307"/>
      <c r="C339" s="307"/>
      <c r="D339" s="307"/>
      <c r="E339" s="307"/>
      <c r="F339" s="307"/>
      <c r="G339" s="307"/>
      <c r="H339" s="307"/>
    </row>
    <row r="340" spans="1:8">
      <c r="A340" s="308" t="s">
        <v>827</v>
      </c>
      <c r="B340" s="307"/>
      <c r="C340" s="307"/>
      <c r="D340" s="307"/>
      <c r="E340" s="307"/>
      <c r="F340" s="307"/>
      <c r="G340" s="307"/>
      <c r="H340" s="307"/>
    </row>
    <row r="341" spans="1:8">
      <c r="A341" s="308" t="s">
        <v>828</v>
      </c>
      <c r="B341" s="307"/>
      <c r="C341" s="307"/>
      <c r="D341" s="307"/>
      <c r="E341" s="307"/>
      <c r="F341" s="307"/>
      <c r="G341" s="307"/>
      <c r="H341" s="307"/>
    </row>
    <row r="342" spans="1:8">
      <c r="A342" s="308" t="s">
        <v>829</v>
      </c>
      <c r="B342" s="307"/>
      <c r="C342" s="307"/>
      <c r="D342" s="307"/>
      <c r="E342" s="307"/>
      <c r="F342" s="307"/>
      <c r="G342" s="307"/>
      <c r="H342" s="307"/>
    </row>
    <row r="343" spans="1:8">
      <c r="A343" s="308" t="s">
        <v>830</v>
      </c>
      <c r="B343" s="307"/>
      <c r="C343" s="307"/>
      <c r="D343" s="307"/>
      <c r="E343" s="307"/>
      <c r="F343" s="307"/>
      <c r="G343" s="307"/>
      <c r="H343" s="307"/>
    </row>
    <row r="344" spans="1:8">
      <c r="A344" s="308" t="s">
        <v>831</v>
      </c>
      <c r="B344" s="307"/>
      <c r="C344" s="307"/>
      <c r="D344" s="307"/>
      <c r="E344" s="307"/>
      <c r="F344" s="307"/>
      <c r="G344" s="307"/>
      <c r="H344" s="307"/>
    </row>
    <row r="345" spans="1:8">
      <c r="A345" s="308" t="s">
        <v>832</v>
      </c>
      <c r="B345" s="307"/>
      <c r="C345" s="307"/>
      <c r="D345" s="307"/>
      <c r="E345" s="307"/>
      <c r="F345" s="307"/>
      <c r="G345" s="307"/>
      <c r="H345" s="307"/>
    </row>
    <row r="346" spans="1:8">
      <c r="A346" s="308" t="s">
        <v>833</v>
      </c>
      <c r="B346" s="307"/>
      <c r="C346" s="307"/>
      <c r="D346" s="307"/>
      <c r="E346" s="307"/>
      <c r="F346" s="307"/>
      <c r="G346" s="307"/>
      <c r="H346" s="307"/>
    </row>
    <row r="347" spans="1:8">
      <c r="A347" s="308" t="s">
        <v>834</v>
      </c>
      <c r="B347" s="307"/>
      <c r="C347" s="307"/>
      <c r="D347" s="307"/>
      <c r="E347" s="307"/>
      <c r="F347" s="307"/>
      <c r="G347" s="307"/>
      <c r="H347" s="307"/>
    </row>
    <row r="348" spans="1:8">
      <c r="A348" s="307"/>
      <c r="B348" s="307"/>
      <c r="C348" s="307"/>
      <c r="D348" s="307"/>
      <c r="E348" s="307"/>
      <c r="F348" s="307"/>
      <c r="G348" s="307"/>
      <c r="H348" s="307"/>
    </row>
    <row r="349" spans="1:8">
      <c r="A349" s="308" t="s">
        <v>792</v>
      </c>
      <c r="B349" s="307"/>
      <c r="C349" s="307"/>
      <c r="D349" s="307"/>
      <c r="E349" s="307"/>
      <c r="F349" s="307"/>
      <c r="G349" s="307"/>
      <c r="H349" s="307"/>
    </row>
    <row r="350" spans="1:8">
      <c r="A350" s="308" t="s">
        <v>793</v>
      </c>
      <c r="B350" s="307"/>
      <c r="C350" s="307"/>
      <c r="D350" s="307"/>
      <c r="E350" s="307"/>
      <c r="F350" s="307"/>
      <c r="G350" s="307"/>
      <c r="H350" s="307"/>
    </row>
    <row r="351" spans="1:8">
      <c r="A351" s="308" t="s">
        <v>794</v>
      </c>
      <c r="B351" s="307"/>
      <c r="C351" s="307"/>
      <c r="D351" s="307"/>
      <c r="E351" s="307"/>
      <c r="F351" s="307"/>
      <c r="G351" s="307"/>
      <c r="H351" s="307"/>
    </row>
    <row r="352" spans="1:8">
      <c r="A352" s="308" t="s">
        <v>795</v>
      </c>
      <c r="B352" s="307"/>
      <c r="C352" s="307"/>
      <c r="D352" s="307"/>
      <c r="E352" s="307"/>
      <c r="F352" s="307"/>
      <c r="G352" s="307"/>
      <c r="H352" s="307"/>
    </row>
    <row r="353" spans="1:8">
      <c r="A353" s="308" t="s">
        <v>796</v>
      </c>
      <c r="B353" s="307"/>
      <c r="C353" s="307"/>
      <c r="D353" s="307"/>
      <c r="E353" s="307"/>
      <c r="F353" s="307"/>
      <c r="G353" s="307"/>
      <c r="H353" s="307"/>
    </row>
    <row r="354" spans="1:8">
      <c r="A354" s="308" t="s">
        <v>797</v>
      </c>
      <c r="B354" s="307"/>
      <c r="C354" s="307"/>
      <c r="D354" s="307"/>
      <c r="E354" s="307"/>
      <c r="F354" s="307"/>
      <c r="G354" s="307"/>
      <c r="H354" s="307"/>
    </row>
    <row r="355" spans="1:8">
      <c r="A355" s="308" t="s">
        <v>798</v>
      </c>
      <c r="B355" s="307"/>
      <c r="C355" s="307"/>
      <c r="D355" s="307"/>
      <c r="E355" s="307"/>
      <c r="F355" s="307"/>
      <c r="G355" s="307"/>
      <c r="H355" s="307"/>
    </row>
    <row r="356" spans="1:8">
      <c r="A356" s="308" t="s">
        <v>799</v>
      </c>
      <c r="B356" s="307"/>
      <c r="C356" s="307"/>
      <c r="D356" s="307"/>
      <c r="E356" s="307"/>
      <c r="F356" s="307"/>
      <c r="G356" s="307"/>
      <c r="H356" s="307"/>
    </row>
    <row r="357" spans="1:8">
      <c r="A357" s="308" t="s">
        <v>800</v>
      </c>
      <c r="B357" s="307"/>
      <c r="C357" s="307"/>
      <c r="D357" s="307"/>
      <c r="E357" s="307"/>
      <c r="F357" s="307"/>
      <c r="G357" s="307"/>
      <c r="H357" s="307"/>
    </row>
    <row r="358" spans="1:8">
      <c r="A358" s="308" t="s">
        <v>801</v>
      </c>
      <c r="B358" s="307"/>
      <c r="C358" s="307"/>
      <c r="D358" s="307"/>
      <c r="E358" s="307"/>
      <c r="F358" s="307"/>
      <c r="G358" s="307"/>
      <c r="H358" s="307"/>
    </row>
    <row r="359" spans="1:8">
      <c r="A359" s="308" t="s">
        <v>802</v>
      </c>
      <c r="B359" s="307"/>
      <c r="C359" s="307"/>
      <c r="D359" s="307"/>
      <c r="E359" s="307"/>
      <c r="F359" s="307"/>
      <c r="G359" s="307"/>
      <c r="H359" s="307"/>
    </row>
    <row r="360" spans="1:8">
      <c r="A360" s="308" t="s">
        <v>803</v>
      </c>
      <c r="B360" s="307"/>
      <c r="C360" s="307"/>
      <c r="D360" s="307"/>
      <c r="E360" s="307"/>
      <c r="F360" s="307"/>
      <c r="G360" s="307"/>
      <c r="H360" s="307"/>
    </row>
    <row r="361" spans="1:8">
      <c r="A361" s="308" t="s">
        <v>804</v>
      </c>
      <c r="B361" s="307"/>
      <c r="C361" s="307"/>
      <c r="D361" s="307"/>
      <c r="E361" s="307"/>
      <c r="F361" s="307"/>
      <c r="G361" s="307"/>
      <c r="H361" s="307"/>
    </row>
    <row r="362" spans="1:8">
      <c r="A362" s="308" t="s">
        <v>805</v>
      </c>
      <c r="B362" s="307"/>
      <c r="C362" s="307"/>
      <c r="D362" s="307"/>
      <c r="E362" s="307"/>
      <c r="F362" s="307"/>
      <c r="G362" s="307"/>
      <c r="H362" s="307"/>
    </row>
    <row r="363" spans="1:8">
      <c r="A363" s="308" t="s">
        <v>806</v>
      </c>
      <c r="B363" s="307"/>
      <c r="C363" s="307"/>
      <c r="D363" s="307"/>
      <c r="E363" s="307"/>
      <c r="F363" s="307"/>
      <c r="G363" s="307"/>
      <c r="H363" s="307"/>
    </row>
    <row r="364" spans="1:8">
      <c r="A364" s="308" t="s">
        <v>807</v>
      </c>
      <c r="B364" s="307"/>
      <c r="C364" s="307"/>
      <c r="D364" s="307"/>
      <c r="E364" s="307"/>
      <c r="F364" s="307"/>
      <c r="G364" s="307"/>
      <c r="H364" s="307"/>
    </row>
    <row r="365" spans="1:8">
      <c r="A365" s="308" t="s">
        <v>808</v>
      </c>
      <c r="B365" s="307"/>
      <c r="C365" s="307"/>
      <c r="D365" s="307"/>
      <c r="E365" s="307"/>
      <c r="F365" s="307"/>
      <c r="G365" s="307"/>
      <c r="H365" s="307"/>
    </row>
    <row r="366" spans="1:8">
      <c r="A366" s="308" t="s">
        <v>809</v>
      </c>
      <c r="B366" s="307"/>
      <c r="C366" s="307"/>
      <c r="D366" s="307"/>
      <c r="E366" s="307"/>
      <c r="F366" s="307"/>
      <c r="G366" s="307"/>
      <c r="H366" s="307"/>
    </row>
    <row r="367" spans="1:8">
      <c r="A367" s="308" t="s">
        <v>810</v>
      </c>
      <c r="B367" s="307"/>
      <c r="C367" s="307"/>
      <c r="D367" s="307"/>
      <c r="E367" s="307"/>
      <c r="F367" s="307"/>
      <c r="G367" s="307"/>
      <c r="H367" s="307"/>
    </row>
    <row r="368" spans="1:8">
      <c r="A368" s="308" t="s">
        <v>811</v>
      </c>
      <c r="B368" s="307"/>
      <c r="C368" s="307"/>
      <c r="D368" s="307"/>
      <c r="E368" s="307"/>
      <c r="F368" s="307"/>
      <c r="G368" s="307"/>
      <c r="H368" s="307"/>
    </row>
    <row r="369" spans="1:8">
      <c r="A369" s="308" t="s">
        <v>812</v>
      </c>
      <c r="B369" s="307"/>
      <c r="C369" s="307"/>
      <c r="D369" s="307"/>
      <c r="E369" s="307"/>
      <c r="F369" s="307"/>
      <c r="G369" s="307"/>
      <c r="H369" s="307"/>
    </row>
    <row r="370" spans="1:8">
      <c r="A370" s="308" t="s">
        <v>813</v>
      </c>
      <c r="B370" s="307"/>
      <c r="C370" s="307"/>
      <c r="D370" s="307"/>
      <c r="E370" s="307"/>
      <c r="F370" s="307"/>
      <c r="G370" s="307"/>
      <c r="H370" s="307"/>
    </row>
    <row r="371" spans="1:8">
      <c r="A371" s="308" t="s">
        <v>814</v>
      </c>
      <c r="B371" s="307"/>
      <c r="C371" s="307"/>
      <c r="D371" s="307"/>
      <c r="E371" s="307"/>
      <c r="F371" s="307"/>
      <c r="G371" s="307"/>
      <c r="H371" s="307"/>
    </row>
    <row r="372" spans="1:8">
      <c r="A372" s="308" t="s">
        <v>815</v>
      </c>
      <c r="B372" s="307"/>
      <c r="C372" s="307"/>
      <c r="D372" s="307"/>
      <c r="E372" s="307"/>
      <c r="F372" s="307"/>
      <c r="G372" s="307"/>
      <c r="H372" s="307"/>
    </row>
    <row r="373" spans="1:8">
      <c r="A373" s="308" t="s">
        <v>816</v>
      </c>
      <c r="B373" s="307"/>
      <c r="C373" s="307"/>
      <c r="D373" s="307"/>
      <c r="E373" s="307"/>
      <c r="F373" s="307"/>
      <c r="G373" s="307"/>
      <c r="H373" s="307"/>
    </row>
    <row r="374" spans="1:8">
      <c r="A374" s="308" t="s">
        <v>817</v>
      </c>
      <c r="B374" s="307"/>
      <c r="C374" s="307"/>
      <c r="D374" s="307"/>
      <c r="E374" s="307"/>
      <c r="F374" s="307"/>
      <c r="G374" s="307"/>
      <c r="H374" s="307"/>
    </row>
    <row r="375" spans="1:8">
      <c r="A375" s="308" t="s">
        <v>818</v>
      </c>
      <c r="B375" s="307"/>
      <c r="C375" s="307"/>
      <c r="D375" s="307"/>
      <c r="E375" s="307"/>
      <c r="F375" s="307"/>
      <c r="G375" s="307"/>
      <c r="H375" s="307"/>
    </row>
    <row r="376" spans="1:8">
      <c r="A376" s="308" t="s">
        <v>819</v>
      </c>
      <c r="B376" s="307"/>
      <c r="C376" s="307"/>
      <c r="D376" s="307"/>
      <c r="E376" s="307"/>
      <c r="F376" s="307"/>
      <c r="G376" s="307"/>
      <c r="H376" s="307"/>
    </row>
    <row r="377" spans="1:8">
      <c r="A377" s="308" t="s">
        <v>820</v>
      </c>
      <c r="B377" s="307"/>
      <c r="C377" s="307"/>
      <c r="D377" s="307"/>
      <c r="E377" s="307"/>
      <c r="F377" s="307"/>
      <c r="G377" s="307"/>
      <c r="H377" s="307"/>
    </row>
    <row r="378" spans="1:8">
      <c r="A378" s="308" t="s">
        <v>821</v>
      </c>
      <c r="B378" s="307"/>
      <c r="C378" s="307"/>
      <c r="D378" s="307"/>
      <c r="E378" s="307"/>
      <c r="F378" s="307"/>
      <c r="G378" s="307"/>
      <c r="H378" s="307"/>
    </row>
    <row r="379" spans="1:8">
      <c r="A379" s="308" t="s">
        <v>822</v>
      </c>
      <c r="B379" s="307"/>
      <c r="C379" s="307"/>
      <c r="D379" s="307"/>
      <c r="E379" s="307"/>
      <c r="F379" s="307"/>
      <c r="G379" s="307"/>
      <c r="H379" s="307"/>
    </row>
    <row r="380" spans="1:8">
      <c r="A380" s="308" t="s">
        <v>823</v>
      </c>
      <c r="B380" s="307"/>
      <c r="C380" s="307"/>
      <c r="D380" s="307"/>
      <c r="E380" s="307"/>
      <c r="F380" s="307"/>
      <c r="G380" s="307"/>
      <c r="H380" s="307"/>
    </row>
    <row r="381" spans="1:8">
      <c r="A381" s="308" t="s">
        <v>824</v>
      </c>
      <c r="B381" s="307"/>
      <c r="C381" s="307"/>
      <c r="D381" s="307"/>
      <c r="E381" s="307"/>
      <c r="F381" s="307"/>
      <c r="G381" s="307"/>
      <c r="H381" s="307"/>
    </row>
    <row r="382" spans="1:8">
      <c r="A382" s="308" t="s">
        <v>825</v>
      </c>
      <c r="B382" s="307"/>
      <c r="C382" s="307"/>
      <c r="D382" s="307"/>
      <c r="E382" s="307"/>
      <c r="F382" s="307"/>
      <c r="G382" s="307"/>
      <c r="H382" s="307"/>
    </row>
    <row r="383" spans="1:8">
      <c r="A383" s="308" t="s">
        <v>826</v>
      </c>
      <c r="B383" s="307"/>
      <c r="C383" s="307"/>
      <c r="D383" s="307"/>
      <c r="E383" s="307"/>
      <c r="F383" s="307"/>
      <c r="G383" s="307"/>
      <c r="H383" s="307"/>
    </row>
    <row r="384" spans="1:8">
      <c r="A384" s="307"/>
      <c r="B384" s="307"/>
      <c r="C384" s="307"/>
      <c r="D384" s="307"/>
      <c r="E384" s="307"/>
      <c r="F384" s="307"/>
      <c r="G384" s="307"/>
      <c r="H384" s="307"/>
    </row>
    <row r="385" spans="1:8">
      <c r="A385" s="308" t="s">
        <v>784</v>
      </c>
      <c r="B385" s="307"/>
      <c r="C385" s="307"/>
      <c r="D385" s="307"/>
      <c r="E385" s="307"/>
      <c r="F385" s="307"/>
      <c r="G385" s="307"/>
      <c r="H385" s="307"/>
    </row>
    <row r="386" spans="1:8">
      <c r="A386" s="308" t="s">
        <v>788</v>
      </c>
      <c r="B386" s="307"/>
      <c r="C386" s="307"/>
      <c r="D386" s="307"/>
      <c r="E386" s="307"/>
      <c r="F386" s="307"/>
      <c r="G386" s="307"/>
      <c r="H386" s="307"/>
    </row>
    <row r="387" spans="1:8">
      <c r="A387" s="308" t="s">
        <v>789</v>
      </c>
      <c r="B387" s="307"/>
      <c r="C387" s="307"/>
      <c r="D387" s="307"/>
      <c r="E387" s="307"/>
      <c r="F387" s="307"/>
      <c r="G387" s="307"/>
      <c r="H387" s="307"/>
    </row>
    <row r="388" spans="1:8">
      <c r="A388" s="308" t="s">
        <v>790</v>
      </c>
      <c r="B388" s="307"/>
      <c r="C388" s="307"/>
      <c r="D388" s="307"/>
      <c r="E388" s="307"/>
      <c r="F388" s="307"/>
      <c r="G388" s="307"/>
      <c r="H388" s="307"/>
    </row>
    <row r="389" spans="1:8">
      <c r="A389" s="308" t="s">
        <v>791</v>
      </c>
      <c r="B389" s="307"/>
      <c r="C389" s="307"/>
      <c r="D389" s="307"/>
      <c r="E389" s="307"/>
      <c r="F389" s="307"/>
      <c r="G389" s="307"/>
      <c r="H389" s="307"/>
    </row>
    <row r="390" spans="1:8">
      <c r="A390" s="307"/>
      <c r="B390" s="307"/>
      <c r="C390" s="307"/>
      <c r="D390" s="307"/>
      <c r="E390" s="307"/>
      <c r="F390" s="307"/>
      <c r="G390" s="307"/>
      <c r="H390" s="307"/>
    </row>
    <row r="391" spans="1:8">
      <c r="A391" s="308" t="s">
        <v>784</v>
      </c>
      <c r="B391" s="307"/>
      <c r="C391" s="307"/>
      <c r="D391" s="307"/>
      <c r="E391" s="307"/>
      <c r="F391" s="307"/>
      <c r="G391" s="307"/>
      <c r="H391" s="307"/>
    </row>
    <row r="392" spans="1:8">
      <c r="A392" s="308" t="s">
        <v>785</v>
      </c>
      <c r="B392" s="307"/>
      <c r="C392" s="307"/>
      <c r="D392" s="307"/>
      <c r="E392" s="307"/>
      <c r="F392" s="307"/>
      <c r="G392" s="307"/>
      <c r="H392" s="307"/>
    </row>
    <row r="393" spans="1:8">
      <c r="A393" s="308" t="s">
        <v>786</v>
      </c>
      <c r="B393" s="307"/>
      <c r="C393" s="307"/>
      <c r="D393" s="307"/>
      <c r="E393" s="307"/>
      <c r="F393" s="307"/>
      <c r="G393" s="307"/>
      <c r="H393" s="307"/>
    </row>
    <row r="394" spans="1:8">
      <c r="A394" s="308" t="s">
        <v>787</v>
      </c>
      <c r="B394" s="307"/>
      <c r="C394" s="307"/>
      <c r="D394" s="307"/>
      <c r="E394" s="307"/>
      <c r="F394" s="307"/>
      <c r="G394" s="307"/>
      <c r="H394" s="307"/>
    </row>
    <row r="395" spans="1:8">
      <c r="A395" s="307"/>
      <c r="B395" s="307"/>
      <c r="C395" s="307"/>
      <c r="D395" s="307"/>
      <c r="E395" s="307"/>
      <c r="F395" s="307"/>
      <c r="G395" s="307"/>
      <c r="H395" s="307"/>
    </row>
    <row r="396" spans="1:8">
      <c r="A396" s="308" t="s">
        <v>778</v>
      </c>
      <c r="B396" s="307"/>
      <c r="C396" s="307"/>
      <c r="D396" s="307"/>
      <c r="E396" s="307"/>
      <c r="F396" s="307"/>
      <c r="G396" s="307"/>
      <c r="H396" s="307"/>
    </row>
    <row r="397" spans="1:8">
      <c r="A397" s="308" t="s">
        <v>779</v>
      </c>
      <c r="B397" s="307"/>
      <c r="C397" s="307"/>
      <c r="D397" s="307"/>
      <c r="E397" s="307"/>
      <c r="F397" s="307"/>
      <c r="G397" s="307"/>
      <c r="H397" s="307"/>
    </row>
    <row r="398" spans="1:8">
      <c r="A398" s="308" t="s">
        <v>780</v>
      </c>
      <c r="B398" s="307"/>
      <c r="C398" s="307"/>
      <c r="D398" s="307"/>
      <c r="E398" s="307"/>
      <c r="F398" s="307"/>
      <c r="G398" s="307"/>
      <c r="H398" s="307"/>
    </row>
    <row r="399" spans="1:8">
      <c r="A399" s="308" t="s">
        <v>781</v>
      </c>
      <c r="B399" s="307"/>
      <c r="C399" s="307"/>
      <c r="D399" s="307"/>
      <c r="E399" s="307"/>
      <c r="F399" s="307"/>
      <c r="G399" s="307"/>
      <c r="H399" s="307"/>
    </row>
    <row r="400" spans="1:8">
      <c r="A400" s="308" t="s">
        <v>782</v>
      </c>
      <c r="B400" s="307"/>
      <c r="C400" s="307"/>
      <c r="D400" s="307"/>
      <c r="E400" s="307"/>
      <c r="F400" s="307"/>
      <c r="G400" s="307"/>
      <c r="H400" s="307"/>
    </row>
    <row r="401" spans="1:8">
      <c r="A401" s="308" t="s">
        <v>783</v>
      </c>
      <c r="B401" s="307"/>
      <c r="C401" s="307"/>
      <c r="D401" s="307"/>
      <c r="E401" s="307"/>
      <c r="F401" s="307"/>
      <c r="G401" s="307"/>
      <c r="H401" s="307"/>
    </row>
    <row r="402" spans="1:8">
      <c r="A402" s="307"/>
      <c r="B402" s="307"/>
      <c r="C402" s="307"/>
      <c r="D402" s="307"/>
      <c r="E402" s="307"/>
      <c r="F402" s="307"/>
      <c r="G402" s="307"/>
      <c r="H402" s="307"/>
    </row>
    <row r="403" spans="1:8">
      <c r="A403" s="308" t="s">
        <v>773</v>
      </c>
      <c r="B403" s="307"/>
      <c r="C403" s="307"/>
      <c r="D403" s="307"/>
      <c r="E403" s="307"/>
      <c r="F403" s="307"/>
      <c r="G403" s="307"/>
      <c r="H403" s="307"/>
    </row>
    <row r="404" spans="1:8">
      <c r="A404" s="308" t="s">
        <v>774</v>
      </c>
      <c r="B404" s="307"/>
      <c r="C404" s="307"/>
      <c r="D404" s="307"/>
      <c r="E404" s="307"/>
      <c r="F404" s="307"/>
      <c r="G404" s="307"/>
      <c r="H404" s="307"/>
    </row>
    <row r="405" spans="1:8">
      <c r="A405" s="308" t="s">
        <v>775</v>
      </c>
      <c r="B405" s="307"/>
      <c r="C405" s="307"/>
      <c r="D405" s="307"/>
      <c r="E405" s="307"/>
      <c r="F405" s="307"/>
      <c r="G405" s="307"/>
      <c r="H405" s="307"/>
    </row>
    <row r="406" spans="1:8">
      <c r="A406" s="308" t="s">
        <v>776</v>
      </c>
      <c r="B406" s="307"/>
      <c r="C406" s="307"/>
      <c r="D406" s="307"/>
      <c r="E406" s="307"/>
      <c r="F406" s="307"/>
      <c r="G406" s="307"/>
      <c r="H406" s="307"/>
    </row>
    <row r="407" spans="1:8">
      <c r="A407" s="308" t="s">
        <v>777</v>
      </c>
      <c r="B407" s="307"/>
      <c r="C407" s="307"/>
      <c r="D407" s="307"/>
      <c r="E407" s="307"/>
      <c r="F407" s="307"/>
      <c r="G407" s="307"/>
      <c r="H407" s="307"/>
    </row>
    <row r="408" spans="1:8">
      <c r="A408" s="307"/>
      <c r="B408" s="307"/>
      <c r="C408" s="307"/>
      <c r="D408" s="307"/>
      <c r="E408" s="307"/>
      <c r="F408" s="307"/>
      <c r="G408" s="307"/>
      <c r="H408" s="307"/>
    </row>
    <row r="409" spans="1:8">
      <c r="A409" s="308" t="s">
        <v>771</v>
      </c>
      <c r="B409" s="307"/>
      <c r="C409" s="307"/>
      <c r="D409" s="307"/>
      <c r="E409" s="307"/>
      <c r="F409" s="307"/>
      <c r="G409" s="307"/>
      <c r="H409" s="307"/>
    </row>
    <row r="410" spans="1:8">
      <c r="A410" s="308" t="s">
        <v>772</v>
      </c>
      <c r="B410" s="307"/>
      <c r="C410" s="307"/>
      <c r="D410" s="307"/>
      <c r="E410" s="307"/>
      <c r="F410" s="307"/>
      <c r="G410" s="307"/>
      <c r="H410" s="307"/>
    </row>
    <row r="412" spans="1:8">
      <c r="A412" s="303" t="s">
        <v>1044</v>
      </c>
    </row>
  </sheetData>
  <mergeCells count="12">
    <mergeCell ref="A132:H132"/>
    <mergeCell ref="A139:H139"/>
    <mergeCell ref="A126:H126"/>
    <mergeCell ref="A127:H127"/>
    <mergeCell ref="A128:H128"/>
    <mergeCell ref="A129:H129"/>
    <mergeCell ref="A131:H131"/>
    <mergeCell ref="A147:H147"/>
    <mergeCell ref="A148:H148"/>
    <mergeCell ref="B140:C140"/>
    <mergeCell ref="D140:F140"/>
    <mergeCell ref="G140:H140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B11"/>
  <sheetViews>
    <sheetView showGridLines="0" showRowColHeaders="0" workbookViewId="0">
      <selection activeCell="N1" sqref="N1"/>
    </sheetView>
  </sheetViews>
  <sheetFormatPr defaultRowHeight="12.75"/>
  <cols>
    <col min="1" max="1" width="9.33203125" style="208"/>
    <col min="2" max="2" width="103" style="208" customWidth="1"/>
    <col min="3" max="257" width="9.33203125" style="208"/>
    <col min="258" max="258" width="103" style="208" customWidth="1"/>
    <col min="259" max="513" width="9.33203125" style="208"/>
    <col min="514" max="514" width="103" style="208" customWidth="1"/>
    <col min="515" max="769" width="9.33203125" style="208"/>
    <col min="770" max="770" width="103" style="208" customWidth="1"/>
    <col min="771" max="1025" width="9.33203125" style="208"/>
    <col min="1026" max="1026" width="103" style="208" customWidth="1"/>
    <col min="1027" max="1281" width="9.33203125" style="208"/>
    <col min="1282" max="1282" width="103" style="208" customWidth="1"/>
    <col min="1283" max="1537" width="9.33203125" style="208"/>
    <col min="1538" max="1538" width="103" style="208" customWidth="1"/>
    <col min="1539" max="1793" width="9.33203125" style="208"/>
    <col min="1794" max="1794" width="103" style="208" customWidth="1"/>
    <col min="1795" max="2049" width="9.33203125" style="208"/>
    <col min="2050" max="2050" width="103" style="208" customWidth="1"/>
    <col min="2051" max="2305" width="9.33203125" style="208"/>
    <col min="2306" max="2306" width="103" style="208" customWidth="1"/>
    <col min="2307" max="2561" width="9.33203125" style="208"/>
    <col min="2562" max="2562" width="103" style="208" customWidth="1"/>
    <col min="2563" max="2817" width="9.33203125" style="208"/>
    <col min="2818" max="2818" width="103" style="208" customWidth="1"/>
    <col min="2819" max="3073" width="9.33203125" style="208"/>
    <col min="3074" max="3074" width="103" style="208" customWidth="1"/>
    <col min="3075" max="3329" width="9.33203125" style="208"/>
    <col min="3330" max="3330" width="103" style="208" customWidth="1"/>
    <col min="3331" max="3585" width="9.33203125" style="208"/>
    <col min="3586" max="3586" width="103" style="208" customWidth="1"/>
    <col min="3587" max="3841" width="9.33203125" style="208"/>
    <col min="3842" max="3842" width="103" style="208" customWidth="1"/>
    <col min="3843" max="4097" width="9.33203125" style="208"/>
    <col min="4098" max="4098" width="103" style="208" customWidth="1"/>
    <col min="4099" max="4353" width="9.33203125" style="208"/>
    <col min="4354" max="4354" width="103" style="208" customWidth="1"/>
    <col min="4355" max="4609" width="9.33203125" style="208"/>
    <col min="4610" max="4610" width="103" style="208" customWidth="1"/>
    <col min="4611" max="4865" width="9.33203125" style="208"/>
    <col min="4866" max="4866" width="103" style="208" customWidth="1"/>
    <col min="4867" max="5121" width="9.33203125" style="208"/>
    <col min="5122" max="5122" width="103" style="208" customWidth="1"/>
    <col min="5123" max="5377" width="9.33203125" style="208"/>
    <col min="5378" max="5378" width="103" style="208" customWidth="1"/>
    <col min="5379" max="5633" width="9.33203125" style="208"/>
    <col min="5634" max="5634" width="103" style="208" customWidth="1"/>
    <col min="5635" max="5889" width="9.33203125" style="208"/>
    <col min="5890" max="5890" width="103" style="208" customWidth="1"/>
    <col min="5891" max="6145" width="9.33203125" style="208"/>
    <col min="6146" max="6146" width="103" style="208" customWidth="1"/>
    <col min="6147" max="6401" width="9.33203125" style="208"/>
    <col min="6402" max="6402" width="103" style="208" customWidth="1"/>
    <col min="6403" max="6657" width="9.33203125" style="208"/>
    <col min="6658" max="6658" width="103" style="208" customWidth="1"/>
    <col min="6659" max="6913" width="9.33203125" style="208"/>
    <col min="6914" max="6914" width="103" style="208" customWidth="1"/>
    <col min="6915" max="7169" width="9.33203125" style="208"/>
    <col min="7170" max="7170" width="103" style="208" customWidth="1"/>
    <col min="7171" max="7425" width="9.33203125" style="208"/>
    <col min="7426" max="7426" width="103" style="208" customWidth="1"/>
    <col min="7427" max="7681" width="9.33203125" style="208"/>
    <col min="7682" max="7682" width="103" style="208" customWidth="1"/>
    <col min="7683" max="7937" width="9.33203125" style="208"/>
    <col min="7938" max="7938" width="103" style="208" customWidth="1"/>
    <col min="7939" max="8193" width="9.33203125" style="208"/>
    <col min="8194" max="8194" width="103" style="208" customWidth="1"/>
    <col min="8195" max="8449" width="9.33203125" style="208"/>
    <col min="8450" max="8450" width="103" style="208" customWidth="1"/>
    <col min="8451" max="8705" width="9.33203125" style="208"/>
    <col min="8706" max="8706" width="103" style="208" customWidth="1"/>
    <col min="8707" max="8961" width="9.33203125" style="208"/>
    <col min="8962" max="8962" width="103" style="208" customWidth="1"/>
    <col min="8963" max="9217" width="9.33203125" style="208"/>
    <col min="9218" max="9218" width="103" style="208" customWidth="1"/>
    <col min="9219" max="9473" width="9.33203125" style="208"/>
    <col min="9474" max="9474" width="103" style="208" customWidth="1"/>
    <col min="9475" max="9729" width="9.33203125" style="208"/>
    <col min="9730" max="9730" width="103" style="208" customWidth="1"/>
    <col min="9731" max="9985" width="9.33203125" style="208"/>
    <col min="9986" max="9986" width="103" style="208" customWidth="1"/>
    <col min="9987" max="10241" width="9.33203125" style="208"/>
    <col min="10242" max="10242" width="103" style="208" customWidth="1"/>
    <col min="10243" max="10497" width="9.33203125" style="208"/>
    <col min="10498" max="10498" width="103" style="208" customWidth="1"/>
    <col min="10499" max="10753" width="9.33203125" style="208"/>
    <col min="10754" max="10754" width="103" style="208" customWidth="1"/>
    <col min="10755" max="11009" width="9.33203125" style="208"/>
    <col min="11010" max="11010" width="103" style="208" customWidth="1"/>
    <col min="11011" max="11265" width="9.33203125" style="208"/>
    <col min="11266" max="11266" width="103" style="208" customWidth="1"/>
    <col min="11267" max="11521" width="9.33203125" style="208"/>
    <col min="11522" max="11522" width="103" style="208" customWidth="1"/>
    <col min="11523" max="11777" width="9.33203125" style="208"/>
    <col min="11778" max="11778" width="103" style="208" customWidth="1"/>
    <col min="11779" max="12033" width="9.33203125" style="208"/>
    <col min="12034" max="12034" width="103" style="208" customWidth="1"/>
    <col min="12035" max="12289" width="9.33203125" style="208"/>
    <col min="12290" max="12290" width="103" style="208" customWidth="1"/>
    <col min="12291" max="12545" width="9.33203125" style="208"/>
    <col min="12546" max="12546" width="103" style="208" customWidth="1"/>
    <col min="12547" max="12801" width="9.33203125" style="208"/>
    <col min="12802" max="12802" width="103" style="208" customWidth="1"/>
    <col min="12803" max="13057" width="9.33203125" style="208"/>
    <col min="13058" max="13058" width="103" style="208" customWidth="1"/>
    <col min="13059" max="13313" width="9.33203125" style="208"/>
    <col min="13314" max="13314" width="103" style="208" customWidth="1"/>
    <col min="13315" max="13569" width="9.33203125" style="208"/>
    <col min="13570" max="13570" width="103" style="208" customWidth="1"/>
    <col min="13571" max="13825" width="9.33203125" style="208"/>
    <col min="13826" max="13826" width="103" style="208" customWidth="1"/>
    <col min="13827" max="14081" width="9.33203125" style="208"/>
    <col min="14082" max="14082" width="103" style="208" customWidth="1"/>
    <col min="14083" max="14337" width="9.33203125" style="208"/>
    <col min="14338" max="14338" width="103" style="208" customWidth="1"/>
    <col min="14339" max="14593" width="9.33203125" style="208"/>
    <col min="14594" max="14594" width="103" style="208" customWidth="1"/>
    <col min="14595" max="14849" width="9.33203125" style="208"/>
    <col min="14850" max="14850" width="103" style="208" customWidth="1"/>
    <col min="14851" max="15105" width="9.33203125" style="208"/>
    <col min="15106" max="15106" width="103" style="208" customWidth="1"/>
    <col min="15107" max="15361" width="9.33203125" style="208"/>
    <col min="15362" max="15362" width="103" style="208" customWidth="1"/>
    <col min="15363" max="15617" width="9.33203125" style="208"/>
    <col min="15618" max="15618" width="103" style="208" customWidth="1"/>
    <col min="15619" max="15873" width="9.33203125" style="208"/>
    <col min="15874" max="15874" width="103" style="208" customWidth="1"/>
    <col min="15875" max="16129" width="9.33203125" style="208"/>
    <col min="16130" max="16130" width="103" style="208" customWidth="1"/>
    <col min="16131" max="16384" width="9.33203125" style="208"/>
  </cols>
  <sheetData>
    <row r="1" spans="2:2" ht="32.25" customHeight="1"/>
    <row r="2" spans="2:2" ht="72" hidden="1">
      <c r="B2" s="319" t="s">
        <v>1113</v>
      </c>
    </row>
    <row r="3" spans="2:2" ht="72">
      <c r="B3" s="319" t="s">
        <v>1114</v>
      </c>
    </row>
    <row r="4" spans="2:2" ht="18" hidden="1">
      <c r="B4" s="319"/>
    </row>
    <row r="5" spans="2:2" ht="54" hidden="1">
      <c r="B5" s="319" t="s">
        <v>1115</v>
      </c>
    </row>
    <row r="6" spans="2:2" ht="7.5" customHeight="1">
      <c r="B6" s="319"/>
    </row>
    <row r="7" spans="2:2" ht="18">
      <c r="B7" s="320" t="s">
        <v>1116</v>
      </c>
    </row>
    <row r="8" spans="2:2" ht="18">
      <c r="B8" s="320" t="s">
        <v>1118</v>
      </c>
    </row>
    <row r="9" spans="2:2" ht="18">
      <c r="B9" s="320" t="s">
        <v>1119</v>
      </c>
    </row>
    <row r="10" spans="2:2" ht="18">
      <c r="B10" s="321"/>
    </row>
    <row r="11" spans="2:2" ht="54">
      <c r="B11" s="322" t="s">
        <v>1117</v>
      </c>
    </row>
  </sheetData>
  <dataConsolidate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G14"/>
  <sheetViews>
    <sheetView workbookViewId="0"/>
  </sheetViews>
  <sheetFormatPr defaultColWidth="10.83203125" defaultRowHeight="11.25"/>
  <cols>
    <col min="1" max="1" width="10.83203125" style="20"/>
    <col min="2" max="2" width="44.6640625" style="20" customWidth="1"/>
    <col min="3" max="16384" width="10.83203125" style="20"/>
  </cols>
  <sheetData>
    <row r="2" spans="2:7">
      <c r="B2" s="161" t="s">
        <v>11</v>
      </c>
      <c r="C2" s="21"/>
    </row>
    <row r="3" spans="2:7">
      <c r="B3" s="162" t="s">
        <v>10</v>
      </c>
      <c r="C3" s="24">
        <v>1</v>
      </c>
    </row>
    <row r="4" spans="2:7">
      <c r="B4" s="162" t="s">
        <v>9</v>
      </c>
      <c r="C4" s="24">
        <v>2</v>
      </c>
    </row>
    <row r="5" spans="2:7">
      <c r="B5" s="162" t="s">
        <v>8</v>
      </c>
      <c r="C5" s="24">
        <v>0.15921284999999999</v>
      </c>
    </row>
    <row r="6" spans="2:7">
      <c r="B6" s="163" t="s">
        <v>7</v>
      </c>
      <c r="C6" s="23">
        <f>1/_xll.ThomsonONEAddinShim.SpreadsheetFormulas.TF("&lt;CNY=-FX&gt;","ER","sdate=LATEST VALUE;;;DataDir=true;DispSeriesDescription=true;DispDatatypeDescription=true;source=ds;EntityType=FX Rates")</f>
        <v>6.304099814577512</v>
      </c>
    </row>
    <row r="7" spans="2:7">
      <c r="B7" s="163" t="s">
        <v>398</v>
      </c>
      <c r="C7" s="22">
        <v>231.42</v>
      </c>
    </row>
    <row r="8" spans="2:7">
      <c r="B8" s="164" t="s">
        <v>6</v>
      </c>
      <c r="C8" s="21" t="str">
        <f ca="1">_xll.ThomsonONEAddinShim.SpreadsheetFormulas.TF("BIDU-US","TF.PR.PriceClose(curn=USD)",TODAY())</f>
        <v>...</v>
      </c>
      <c r="E8" s="201"/>
    </row>
    <row r="9" spans="2:7">
      <c r="E9" s="201"/>
      <c r="G9" s="201"/>
    </row>
    <row r="10" spans="2:7">
      <c r="G10" s="201"/>
    </row>
    <row r="12" spans="2:7">
      <c r="D12" s="7"/>
    </row>
    <row r="13" spans="2:7">
      <c r="C13" s="300"/>
      <c r="E13" s="201"/>
    </row>
    <row r="14" spans="2:7">
      <c r="C14" s="30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1.25"/>
  <sheetData>
    <row r="1" spans="1:2">
      <c r="A1">
        <v>2</v>
      </c>
      <c r="B1" t="s">
        <v>399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U57"/>
  <sheetViews>
    <sheetView workbookViewId="0"/>
  </sheetViews>
  <sheetFormatPr defaultColWidth="12.6640625" defaultRowHeight="11.25" outlineLevelCol="1"/>
  <cols>
    <col min="1" max="1" width="12.6640625" style="1"/>
    <col min="2" max="2" width="24.6640625" style="1" customWidth="1"/>
    <col min="3" max="3" width="59.83203125" style="1" customWidth="1"/>
    <col min="4" max="5" width="18.6640625" style="1" customWidth="1"/>
    <col min="6" max="6" width="18.6640625" style="1" customWidth="1" outlineLevel="1"/>
    <col min="7" max="47" width="13.1640625" style="1" customWidth="1"/>
    <col min="48" max="16384" width="12.6640625" style="1"/>
  </cols>
  <sheetData>
    <row r="1" spans="1:47">
      <c r="D1" s="48"/>
      <c r="E1" s="48"/>
      <c r="F1" s="48"/>
      <c r="G1" s="49"/>
      <c r="H1" s="49"/>
      <c r="I1" s="49"/>
      <c r="J1" s="49"/>
      <c r="K1" s="49"/>
      <c r="L1" s="49"/>
      <c r="M1" s="49"/>
    </row>
    <row r="2" spans="1:47">
      <c r="A2" s="47"/>
      <c r="B2" s="19" t="s">
        <v>26</v>
      </c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47">
      <c r="A3" s="47"/>
    </row>
    <row r="4" spans="1:47">
      <c r="G4" s="46"/>
      <c r="H4" s="46"/>
      <c r="I4" s="46"/>
      <c r="J4" s="46"/>
      <c r="K4" s="45"/>
      <c r="L4" s="45"/>
      <c r="M4" s="45"/>
      <c r="P4" s="16"/>
      <c r="Q4" s="15"/>
      <c r="R4" s="14"/>
      <c r="S4" s="17"/>
      <c r="T4" s="16"/>
      <c r="U4" s="15"/>
      <c r="V4" s="14"/>
      <c r="W4" s="17"/>
      <c r="X4" s="16"/>
      <c r="Y4" s="15"/>
      <c r="Z4" s="14"/>
      <c r="AA4" s="17"/>
      <c r="AB4" s="16"/>
      <c r="AC4" s="15"/>
      <c r="AD4" s="14"/>
      <c r="AE4" s="17"/>
      <c r="AF4" s="16"/>
      <c r="AG4" s="15"/>
      <c r="AH4" s="14"/>
      <c r="AI4" s="17"/>
      <c r="AJ4" s="16"/>
      <c r="AK4" s="15"/>
      <c r="AL4" s="14"/>
      <c r="AM4" s="41"/>
      <c r="AN4" s="44"/>
      <c r="AO4" s="43"/>
      <c r="AP4" s="42"/>
      <c r="AQ4" s="41"/>
      <c r="AR4" s="44"/>
      <c r="AS4" s="43"/>
      <c r="AT4" s="42"/>
      <c r="AU4" s="41"/>
    </row>
    <row r="5" spans="1:47">
      <c r="B5" s="6" t="s">
        <v>25</v>
      </c>
      <c r="C5" s="6" t="s">
        <v>22</v>
      </c>
      <c r="D5" s="39" t="s">
        <v>21</v>
      </c>
      <c r="E5" s="39" t="s">
        <v>20</v>
      </c>
      <c r="F5" s="39" t="s">
        <v>19</v>
      </c>
      <c r="G5" s="46"/>
      <c r="H5" s="46"/>
      <c r="I5" s="46"/>
      <c r="J5" s="46"/>
      <c r="K5" s="45"/>
      <c r="L5" s="45"/>
      <c r="M5" s="45"/>
      <c r="P5" s="16"/>
      <c r="Q5" s="15"/>
      <c r="R5" s="14"/>
      <c r="S5" s="17"/>
      <c r="T5" s="16"/>
      <c r="U5" s="15"/>
      <c r="V5" s="14"/>
      <c r="W5" s="17"/>
      <c r="X5" s="16"/>
      <c r="Y5" s="15"/>
      <c r="Z5" s="14"/>
      <c r="AA5" s="17"/>
      <c r="AB5" s="16"/>
      <c r="AC5" s="15"/>
      <c r="AD5" s="14"/>
      <c r="AE5" s="17"/>
      <c r="AF5" s="16"/>
      <c r="AG5" s="15"/>
      <c r="AH5" s="14"/>
      <c r="AI5" s="17"/>
      <c r="AJ5" s="16"/>
      <c r="AK5" s="15"/>
      <c r="AL5" s="14"/>
      <c r="AM5" s="41"/>
      <c r="AN5" s="44"/>
      <c r="AO5" s="43"/>
      <c r="AP5" s="42"/>
      <c r="AQ5" s="41"/>
      <c r="AR5" s="44"/>
      <c r="AS5" s="43"/>
      <c r="AT5" s="42"/>
      <c r="AU5" s="41"/>
    </row>
    <row r="6" spans="1:47">
      <c r="B6" s="3" t="s">
        <v>18</v>
      </c>
      <c r="C6" s="1" t="s">
        <v>385</v>
      </c>
      <c r="D6" s="33">
        <f ca="1">12*F6</f>
        <v>82480.316977090115</v>
      </c>
      <c r="E6" s="33">
        <f ca="1">D6/BIDU_IS!$L$256</f>
        <v>234.74606680713094</v>
      </c>
      <c r="F6" s="32">
        <f ca="1">BIDU_IS!M302*FX</f>
        <v>6873.3597480908429</v>
      </c>
      <c r="G6" s="2"/>
      <c r="H6" s="2"/>
      <c r="I6" s="2"/>
      <c r="J6" s="2"/>
    </row>
    <row r="7" spans="1:47">
      <c r="B7" s="3" t="s">
        <v>17</v>
      </c>
      <c r="C7" s="1" t="s">
        <v>16</v>
      </c>
      <c r="D7" s="33">
        <f>F7*13.1449175*8</f>
        <v>4515.5423750780201</v>
      </c>
      <c r="E7" s="33">
        <f ca="1">D7/BIDU_IS!$L$256</f>
        <v>12.851621464366158</v>
      </c>
      <c r="F7" s="32">
        <v>42.940002999999997</v>
      </c>
      <c r="G7" s="2">
        <f ca="1">_xll.ThomsonONEAddinShim.SpreadsheetFormulas.TF("CTRP-US","TF.PR.PriceClose(curn=USD)",TODAY())</f>
        <v>42.9</v>
      </c>
      <c r="H7" s="2"/>
      <c r="I7" s="2"/>
      <c r="J7" s="2"/>
    </row>
    <row r="8" spans="1:47">
      <c r="B8" s="3" t="s">
        <v>3</v>
      </c>
      <c r="C8" s="1" t="s">
        <v>652</v>
      </c>
      <c r="D8" s="33">
        <f ca="1">F8*3*0.588</f>
        <v>9150.6404867188048</v>
      </c>
      <c r="E8" s="33">
        <f ca="1">D8/BIDU_IS!$L$256</f>
        <v>26.043508824292996</v>
      </c>
      <c r="F8" s="32">
        <f ca="1">BIDU_IS!M87*FX</f>
        <v>5187.4379176410457</v>
      </c>
      <c r="G8" s="2"/>
      <c r="H8" s="2"/>
      <c r="I8" s="2"/>
      <c r="J8" s="2"/>
    </row>
    <row r="9" spans="1:47">
      <c r="B9" s="36" t="s">
        <v>14</v>
      </c>
      <c r="C9" s="36"/>
      <c r="D9" s="35">
        <f ca="1">SUM(D6:D8)</f>
        <v>96146.499838886943</v>
      </c>
      <c r="E9" s="35">
        <f ca="1">SUM(E6:E8)</f>
        <v>273.64119709579012</v>
      </c>
      <c r="F9" s="34"/>
      <c r="G9" s="40"/>
      <c r="H9" s="40"/>
      <c r="I9" s="40"/>
      <c r="J9" s="40"/>
    </row>
    <row r="10" spans="1:47">
      <c r="B10" s="3" t="s">
        <v>701</v>
      </c>
      <c r="D10" s="33">
        <f>F10</f>
        <v>13200.041505581001</v>
      </c>
      <c r="E10" s="33">
        <f ca="1">D10/BIDU_IS!$L$256</f>
        <v>37.568451949411248</v>
      </c>
      <c r="F10" s="32">
        <f>G10-G11*(1-0.588)</f>
        <v>13200.041505581001</v>
      </c>
      <c r="G10" s="32">
        <f>(('BIDU_BS + CFS'!AN7+'BIDU_BS + CFS'!AN9+'BIDU_BS + CFS'!AN15)-'BIDU_BS + CFS'!AN166-'BIDU_BS + CFS'!AN150)*FX+'IQ_BS + CFS'!AO105*FX</f>
        <v>14157.057422649999</v>
      </c>
      <c r="H10" s="32"/>
      <c r="J10" s="40"/>
    </row>
    <row r="11" spans="1:47">
      <c r="B11" s="1" t="s">
        <v>13</v>
      </c>
      <c r="D11" s="33">
        <f ca="1">SUM(D9:D10)</f>
        <v>109346.54134446794</v>
      </c>
      <c r="E11" s="33">
        <f ca="1">SUM(E9:E10)</f>
        <v>311.20964904520139</v>
      </c>
      <c r="F11" s="32"/>
      <c r="G11" s="32">
        <f>('IQ_BS + CFS'!AN7+'IQ_BS + CFS'!AN8-'IQ_BS + CFS'!AN29-'IQ_BS + CFS'!AN30-'IQ_BS + CFS'!AN39+'IQ_BS + CFS'!AO105)*FX</f>
        <v>2322.8541676432001</v>
      </c>
      <c r="H11" s="32"/>
      <c r="I11" s="38"/>
      <c r="J11" s="38"/>
    </row>
    <row r="12" spans="1:47">
      <c r="B12" s="3" t="s">
        <v>12</v>
      </c>
      <c r="D12" s="31">
        <v>0.1</v>
      </c>
      <c r="E12" s="170"/>
      <c r="F12" s="31"/>
      <c r="G12" s="38"/>
      <c r="H12" s="38"/>
      <c r="I12" s="38"/>
      <c r="J12" s="38"/>
    </row>
    <row r="13" spans="1:47">
      <c r="B13" s="30" t="s">
        <v>386</v>
      </c>
      <c r="C13" s="30"/>
      <c r="D13" s="29">
        <f ca="1">+D11*(1-D12)</f>
        <v>98411.887210021145</v>
      </c>
      <c r="E13" s="29">
        <f ca="1">+E11*(1-D12)</f>
        <v>280.08868414068127</v>
      </c>
      <c r="F13" s="28"/>
      <c r="G13" s="27">
        <f ca="1">E13/SP-1</f>
        <v>0.21030457238216793</v>
      </c>
      <c r="H13" s="26">
        <f ca="1">BIDU_IS!L251*FX</f>
        <v>9.2979124184142083</v>
      </c>
      <c r="I13" s="25">
        <f ca="1">+E13/H13</f>
        <v>30.123824740054001</v>
      </c>
      <c r="J13" s="38"/>
    </row>
    <row r="15" spans="1:47">
      <c r="B15" s="6" t="s">
        <v>24</v>
      </c>
      <c r="C15" s="6" t="s">
        <v>22</v>
      </c>
      <c r="D15" s="39" t="s">
        <v>21</v>
      </c>
      <c r="E15" s="39" t="s">
        <v>20</v>
      </c>
      <c r="F15" s="39" t="s">
        <v>19</v>
      </c>
    </row>
    <row r="16" spans="1:47">
      <c r="B16" s="3" t="s">
        <v>18</v>
      </c>
      <c r="C16" s="1" t="s">
        <v>653</v>
      </c>
      <c r="D16" s="33">
        <f>13*F16</f>
        <v>102424.45005721728</v>
      </c>
      <c r="E16" s="33">
        <f ca="1">D16/BIDU_IS!$L$256</f>
        <v>291.50878266500371</v>
      </c>
      <c r="F16" s="32">
        <v>7878.8038505551758</v>
      </c>
    </row>
    <row r="17" spans="2:10">
      <c r="B17" s="3" t="s">
        <v>17</v>
      </c>
      <c r="C17" s="1" t="s">
        <v>16</v>
      </c>
      <c r="D17" s="33">
        <f>F17*13.1449175*8</f>
        <v>4515.5423750780201</v>
      </c>
      <c r="E17" s="33">
        <f ca="1">D17/BIDU_IS!$L$256</f>
        <v>12.851621464366158</v>
      </c>
      <c r="F17" s="32">
        <v>42.940002999999997</v>
      </c>
    </row>
    <row r="18" spans="2:10">
      <c r="B18" s="3" t="s">
        <v>3</v>
      </c>
      <c r="C18" s="1" t="s">
        <v>676</v>
      </c>
      <c r="D18" s="33">
        <f>F18*3.5*0.588</f>
        <v>14678.678847303045</v>
      </c>
      <c r="E18" s="33">
        <f ca="1">D18/BIDU_IS!$L$256</f>
        <v>41.77678083228659</v>
      </c>
      <c r="F18" s="32">
        <v>7132.4970103513342</v>
      </c>
    </row>
    <row r="19" spans="2:10">
      <c r="B19" s="36" t="s">
        <v>14</v>
      </c>
      <c r="C19" s="36"/>
      <c r="D19" s="35">
        <f>SUM(D16:D18)</f>
        <v>121618.67127959835</v>
      </c>
      <c r="E19" s="35">
        <f ca="1">SUM(E16:E18)</f>
        <v>346.13718496165643</v>
      </c>
      <c r="F19" s="34"/>
    </row>
    <row r="20" spans="2:10">
      <c r="B20" s="3" t="s">
        <v>701</v>
      </c>
      <c r="D20" s="33">
        <f>F20</f>
        <v>13200.041505581001</v>
      </c>
      <c r="E20" s="33">
        <f ca="1">D20/BIDU_IS!$L$256</f>
        <v>37.568451949411248</v>
      </c>
      <c r="F20" s="32">
        <v>13200.041505581001</v>
      </c>
    </row>
    <row r="21" spans="2:10">
      <c r="B21" s="202" t="s">
        <v>13</v>
      </c>
      <c r="D21" s="33">
        <f>SUM(D19:D20)</f>
        <v>134818.71278517935</v>
      </c>
      <c r="E21" s="33">
        <f ca="1">SUM(E19:E20)</f>
        <v>383.7056369110677</v>
      </c>
      <c r="F21" s="32"/>
    </row>
    <row r="22" spans="2:10">
      <c r="B22" s="3" t="s">
        <v>12</v>
      </c>
      <c r="D22" s="31">
        <v>0.1</v>
      </c>
      <c r="E22" s="170"/>
      <c r="F22" s="31"/>
    </row>
    <row r="23" spans="2:10">
      <c r="B23" s="30" t="s">
        <v>386</v>
      </c>
      <c r="C23" s="30"/>
      <c r="D23" s="29">
        <f>+D21*(1-D22)</f>
        <v>121336.84150666141</v>
      </c>
      <c r="E23" s="29">
        <f ca="1">+E21*(1-D22)</f>
        <v>345.33507321996092</v>
      </c>
      <c r="F23" s="28"/>
      <c r="G23" s="27">
        <f ca="1">E23/SP-1</f>
        <v>0.49224385627845879</v>
      </c>
      <c r="H23" s="26">
        <v>10.612071643732001</v>
      </c>
      <c r="I23" s="25">
        <f ca="1">+E23/H23</f>
        <v>32.541720864081462</v>
      </c>
    </row>
    <row r="24" spans="2:10">
      <c r="E24" s="33"/>
    </row>
    <row r="25" spans="2:10">
      <c r="B25" s="6" t="s">
        <v>23</v>
      </c>
      <c r="C25" s="6" t="s">
        <v>22</v>
      </c>
      <c r="D25" s="39" t="s">
        <v>21</v>
      </c>
      <c r="E25" s="186" t="s">
        <v>20</v>
      </c>
      <c r="F25" s="39" t="s">
        <v>19</v>
      </c>
      <c r="H25" s="38"/>
      <c r="I25" s="38"/>
      <c r="J25" s="38"/>
    </row>
    <row r="26" spans="2:10">
      <c r="B26" s="3" t="s">
        <v>18</v>
      </c>
      <c r="C26" s="1" t="s">
        <v>654</v>
      </c>
      <c r="D26" s="33">
        <f>11*F26</f>
        <v>63690.141967399992</v>
      </c>
      <c r="E26" s="33">
        <f ca="1">D26/BIDU_IS!$L$256</f>
        <v>181.26761473755917</v>
      </c>
      <c r="F26" s="32">
        <v>5790.0129061272719</v>
      </c>
      <c r="H26" s="38"/>
      <c r="I26" s="38"/>
      <c r="J26" s="38"/>
    </row>
    <row r="27" spans="2:10">
      <c r="B27" s="3" t="s">
        <v>17</v>
      </c>
      <c r="C27" s="1" t="s">
        <v>16</v>
      </c>
      <c r="D27" s="33">
        <f>F27*13.1449175*8</f>
        <v>4515.5423750780201</v>
      </c>
      <c r="E27" s="33">
        <f ca="1">D27/BIDU_IS!$L$256</f>
        <v>12.851621464366158</v>
      </c>
      <c r="F27" s="32">
        <v>42.940002999999997</v>
      </c>
    </row>
    <row r="28" spans="2:10">
      <c r="B28" s="3" t="s">
        <v>3</v>
      </c>
      <c r="C28" s="1" t="s">
        <v>677</v>
      </c>
      <c r="D28" s="33">
        <f>F28*2.5*0.588</f>
        <v>5491.2198848517592</v>
      </c>
      <c r="E28" s="33">
        <f ca="1">D28/BIDU_IS!$L$256</f>
        <v>15.628483463516559</v>
      </c>
      <c r="F28" s="32">
        <v>3735.5237311916731</v>
      </c>
    </row>
    <row r="29" spans="2:10">
      <c r="B29" s="36" t="s">
        <v>14</v>
      </c>
      <c r="C29" s="36"/>
      <c r="D29" s="35">
        <f>SUM(D26:D28)</f>
        <v>73696.904227329767</v>
      </c>
      <c r="E29" s="35">
        <f ca="1">SUM(E26:E28)</f>
        <v>209.74771966544188</v>
      </c>
      <c r="F29" s="34"/>
    </row>
    <row r="30" spans="2:10">
      <c r="B30" s="3" t="s">
        <v>701</v>
      </c>
      <c r="D30" s="33">
        <f>F30</f>
        <v>13200.041505581001</v>
      </c>
      <c r="E30" s="33">
        <f ca="1">D30/BIDU_IS!$L$256</f>
        <v>37.568451949411248</v>
      </c>
      <c r="F30" s="32">
        <v>13200.041505581001</v>
      </c>
    </row>
    <row r="31" spans="2:10">
      <c r="B31" s="202" t="s">
        <v>13</v>
      </c>
      <c r="D31" s="33">
        <f>SUM(D29:D30)</f>
        <v>86896.945732910768</v>
      </c>
      <c r="E31" s="33">
        <f ca="1">SUM(E29:E30)</f>
        <v>247.31617161485312</v>
      </c>
      <c r="F31" s="32"/>
    </row>
    <row r="32" spans="2:10">
      <c r="B32" s="3" t="s">
        <v>12</v>
      </c>
      <c r="D32" s="31">
        <v>0.1</v>
      </c>
      <c r="E32" s="170"/>
      <c r="F32" s="31"/>
    </row>
    <row r="33" spans="2:10">
      <c r="B33" s="30" t="s">
        <v>386</v>
      </c>
      <c r="C33" s="30"/>
      <c r="D33" s="29">
        <f>+D31*(1-D32)</f>
        <v>78207.2511596197</v>
      </c>
      <c r="E33" s="29">
        <f ca="1">+E31*(1-D32)</f>
        <v>222.58455445336782</v>
      </c>
      <c r="F33" s="28"/>
      <c r="G33" s="27">
        <f ca="1">E33/SP-1</f>
        <v>-3.8179265174281274E-2</v>
      </c>
      <c r="H33" s="26">
        <v>8.5351893122653699</v>
      </c>
      <c r="I33" s="25">
        <f ca="1">+E33/H33</f>
        <v>26.07845547532331</v>
      </c>
    </row>
    <row r="34" spans="2:10">
      <c r="B34" s="8"/>
      <c r="C34" s="8"/>
      <c r="D34" s="185"/>
      <c r="E34" s="26"/>
      <c r="F34" s="26"/>
      <c r="G34" s="27"/>
      <c r="H34" s="26"/>
      <c r="I34" s="25"/>
    </row>
    <row r="35" spans="2:10">
      <c r="B35" s="8"/>
      <c r="C35" s="8"/>
      <c r="D35" s="185"/>
      <c r="E35" s="26"/>
      <c r="F35" s="26"/>
      <c r="G35" s="27"/>
      <c r="H35" s="26"/>
      <c r="I35" s="25"/>
    </row>
    <row r="36" spans="2:10">
      <c r="B36" s="8"/>
      <c r="C36" s="8"/>
      <c r="D36" s="185"/>
      <c r="E36" s="26"/>
      <c r="F36" s="26"/>
      <c r="G36" s="27"/>
      <c r="H36" s="26"/>
      <c r="I36" s="25"/>
    </row>
    <row r="37" spans="2:10">
      <c r="B37" s="8"/>
      <c r="C37" s="8"/>
      <c r="D37" s="185"/>
      <c r="E37" s="26"/>
      <c r="F37" s="26"/>
      <c r="G37" s="27"/>
      <c r="H37" s="26"/>
      <c r="I37" s="25"/>
    </row>
    <row r="38" spans="2:10">
      <c r="D38" s="1">
        <v>1</v>
      </c>
      <c r="E38" s="1">
        <v>10</v>
      </c>
      <c r="F38" s="175" t="s">
        <v>463</v>
      </c>
      <c r="G38" s="175"/>
      <c r="I38" s="175" t="s">
        <v>464</v>
      </c>
      <c r="J38" s="175"/>
    </row>
    <row r="39" spans="2:10">
      <c r="B39" s="1" t="s">
        <v>451</v>
      </c>
      <c r="D39" s="110" t="s">
        <v>457</v>
      </c>
      <c r="E39" s="110" t="s">
        <v>458</v>
      </c>
      <c r="F39" s="110" t="s">
        <v>466</v>
      </c>
      <c r="G39" s="110" t="s">
        <v>459</v>
      </c>
      <c r="I39" s="110" t="s">
        <v>466</v>
      </c>
      <c r="J39" s="110" t="s">
        <v>459</v>
      </c>
    </row>
    <row r="40" spans="2:10">
      <c r="B40" s="1" t="s">
        <v>452</v>
      </c>
      <c r="D40" s="173">
        <f>8.333333*7</f>
        <v>58.333331000000001</v>
      </c>
      <c r="E40" s="173">
        <v>2839.5307050000001</v>
      </c>
      <c r="F40" s="167">
        <f>SUM(D40:E40)/SUM($D$46:$E$46)</f>
        <v>0.58496950325313901</v>
      </c>
      <c r="G40" s="167">
        <f>SUMPRODUCT(D40:E40,$D$38:$E$38)/SUMPRODUCT($D$46:$E$46,$D$38:$E$38)</f>
        <v>0.93261122089774562</v>
      </c>
      <c r="I40" s="167">
        <f>SUM(D40:E40)/SUM($D$47:$E$47)</f>
        <v>0.56987109509633249</v>
      </c>
      <c r="J40" s="167">
        <f>SUMPRODUCT(D40:E40,$D$38:$E$38)/SUMPRODUCT($D$47:$E$47,$D$38:$E$38)</f>
        <v>0.92861638949911796</v>
      </c>
    </row>
    <row r="41" spans="2:10">
      <c r="B41" s="1" t="s">
        <v>453</v>
      </c>
      <c r="D41" s="173">
        <v>341.87488500000001</v>
      </c>
      <c r="E41" s="173">
        <v>0</v>
      </c>
      <c r="F41" s="167">
        <f t="shared" ref="F41:F46" si="0">SUM(D41:E41)/SUM($D$46:$E$46)</f>
        <v>6.9011651053587947E-2</v>
      </c>
      <c r="G41" s="167">
        <f t="shared" ref="G41:G46" si="1">SUMPRODUCT(D41:E41,$D$38:$E$38)/SUMPRODUCT($D$46:$E$46,$D$38:$E$38)</f>
        <v>1.1205467898829221E-2</v>
      </c>
      <c r="I41" s="167">
        <f t="shared" ref="I41:I47" si="2">SUM(D41:E41)/SUM($D$47:$E$47)</f>
        <v>6.7230419605815744E-2</v>
      </c>
      <c r="J41" s="167">
        <f t="shared" ref="J41:J47" si="3">SUMPRODUCT(D41:E41,$D$38:$E$38)/SUMPRODUCT($D$47:$E$47,$D$38:$E$38)</f>
        <v>1.1157469382410485E-2</v>
      </c>
    </row>
    <row r="42" spans="2:10">
      <c r="B42" s="1" t="s">
        <v>454</v>
      </c>
      <c r="D42" s="173">
        <f>232.060527+9.5*7</f>
        <v>298.56052699999998</v>
      </c>
      <c r="E42" s="173">
        <v>0</v>
      </c>
      <c r="F42" s="167">
        <f t="shared" si="0"/>
        <v>6.0268115067005641E-2</v>
      </c>
      <c r="G42" s="167">
        <f t="shared" si="1"/>
        <v>9.7857741177917613E-3</v>
      </c>
      <c r="I42" s="167">
        <f t="shared" si="2"/>
        <v>5.8712559443913175E-2</v>
      </c>
      <c r="J42" s="167">
        <f t="shared" si="3"/>
        <v>9.7438568463396741E-3</v>
      </c>
    </row>
    <row r="43" spans="2:10">
      <c r="B43" s="1" t="s">
        <v>455</v>
      </c>
      <c r="D43" s="173">
        <v>76.651114000000007</v>
      </c>
      <c r="E43" s="173">
        <v>0</v>
      </c>
      <c r="F43" s="167">
        <f t="shared" si="0"/>
        <v>1.5472970271673481E-2</v>
      </c>
      <c r="G43" s="167">
        <f t="shared" si="1"/>
        <v>2.5123565228738552E-3</v>
      </c>
      <c r="I43" s="167">
        <f t="shared" si="2"/>
        <v>1.5073603776051634E-2</v>
      </c>
      <c r="J43" s="167">
        <f t="shared" si="3"/>
        <v>2.5015948673230435E-3</v>
      </c>
    </row>
    <row r="44" spans="2:10">
      <c r="B44" s="1" t="s">
        <v>456</v>
      </c>
      <c r="D44" s="173">
        <f>106.810489-D43</f>
        <v>30.159374999999997</v>
      </c>
      <c r="E44" s="173">
        <v>0</v>
      </c>
      <c r="F44" s="167">
        <f t="shared" si="0"/>
        <v>6.0880408442237684E-3</v>
      </c>
      <c r="G44" s="167">
        <f t="shared" si="1"/>
        <v>9.8851926022952086E-4</v>
      </c>
      <c r="I44" s="167">
        <f t="shared" si="2"/>
        <v>5.930904916572474E-3</v>
      </c>
      <c r="J44" s="167">
        <f t="shared" si="3"/>
        <v>9.8428494726992351E-4</v>
      </c>
    </row>
    <row r="45" spans="2:10">
      <c r="B45" s="1" t="s">
        <v>460</v>
      </c>
      <c r="D45" s="174">
        <f>4078.871998-E45</f>
        <v>1239.341293</v>
      </c>
      <c r="E45" s="174">
        <f>E40</f>
        <v>2839.5307050000001</v>
      </c>
      <c r="F45" s="167">
        <f t="shared" si="0"/>
        <v>0.82337048835344273</v>
      </c>
      <c r="G45" s="167">
        <f t="shared" si="1"/>
        <v>0.97132054816070834</v>
      </c>
      <c r="I45" s="167">
        <f t="shared" si="2"/>
        <v>0.8021188100551816</v>
      </c>
      <c r="J45" s="167">
        <f t="shared" si="3"/>
        <v>0.96715990572259836</v>
      </c>
    </row>
    <row r="46" spans="2:10">
      <c r="B46" s="1" t="s">
        <v>461</v>
      </c>
      <c r="C46" s="174"/>
      <c r="D46" s="174">
        <f>4953.871988-E46</f>
        <v>2114.3412829999997</v>
      </c>
      <c r="E46" s="174">
        <f>E45</f>
        <v>2839.5307050000001</v>
      </c>
      <c r="F46" s="167">
        <f t="shared" si="0"/>
        <v>1</v>
      </c>
      <c r="G46" s="167">
        <f t="shared" si="1"/>
        <v>1</v>
      </c>
      <c r="I46" s="167">
        <f t="shared" si="2"/>
        <v>0.97418940975069468</v>
      </c>
      <c r="J46" s="167">
        <f t="shared" si="3"/>
        <v>0.99571650939950918</v>
      </c>
    </row>
    <row r="47" spans="2:10">
      <c r="B47" s="1" t="s">
        <v>462</v>
      </c>
      <c r="C47" s="174"/>
      <c r="D47" s="174">
        <v>2245.5912830000002</v>
      </c>
      <c r="E47" s="174">
        <f>E46</f>
        <v>2839.5307050000001</v>
      </c>
      <c r="F47" s="167"/>
      <c r="G47" s="167"/>
      <c r="I47" s="167">
        <f t="shared" si="2"/>
        <v>1</v>
      </c>
      <c r="J47" s="167">
        <f t="shared" si="3"/>
        <v>1</v>
      </c>
    </row>
    <row r="49" spans="2:10">
      <c r="B49" s="1" t="s">
        <v>465</v>
      </c>
    </row>
    <row r="50" spans="2:10">
      <c r="B50" s="1" t="s">
        <v>452</v>
      </c>
      <c r="D50" s="174">
        <f>D40</f>
        <v>58.333331000000001</v>
      </c>
      <c r="E50" s="174">
        <f>+E40+36.860691</f>
        <v>2876.391396</v>
      </c>
      <c r="F50" s="167">
        <f>SUM(D50:E50)/SUM($D$56:$E$56)</f>
        <v>0.58803484693715047</v>
      </c>
      <c r="G50" s="167">
        <f t="shared" ref="G50:G56" si="4">SUMPRODUCT(D50:E50,$D$38:$E$38)/SUMPRODUCT($D$56:$E$56,$D$38:$E$38)</f>
        <v>0.93341566951176458</v>
      </c>
      <c r="I50" s="167">
        <f>SUM(D50:E50)/SUM($D$57:$E$57)</f>
        <v>0.57296654653525025</v>
      </c>
      <c r="J50" s="167">
        <f t="shared" ref="J50:J57" si="5">SUMPRODUCT(D50:E50,$D$38:$E$38)/SUMPRODUCT($D$57:$E$57,$D$38:$E$38)</f>
        <v>0.92946491938971698</v>
      </c>
    </row>
    <row r="51" spans="2:10">
      <c r="B51" s="1" t="s">
        <v>453</v>
      </c>
      <c r="D51" s="174">
        <f t="shared" ref="D51:D57" si="6">D41</f>
        <v>341.87488500000001</v>
      </c>
      <c r="E51" s="174">
        <f>E41</f>
        <v>0</v>
      </c>
      <c r="F51" s="167">
        <f t="shared" ref="F51:F56" si="7">SUM(D51:E51)/SUM($D$56:$E$56)</f>
        <v>6.8501942898793369E-2</v>
      </c>
      <c r="G51" s="167">
        <f t="shared" si="4"/>
        <v>1.1071703446635054E-2</v>
      </c>
      <c r="I51" s="167">
        <f t="shared" ref="I51:I57" si="8">SUM(D51:E51)/SUM($D$57:$E$57)</f>
        <v>6.6746591393539528E-2</v>
      </c>
      <c r="J51" s="167">
        <f t="shared" si="5"/>
        <v>1.1024841651647245E-2</v>
      </c>
    </row>
    <row r="52" spans="2:10">
      <c r="B52" s="1" t="s">
        <v>454</v>
      </c>
      <c r="D52" s="174">
        <f t="shared" si="6"/>
        <v>298.56052699999998</v>
      </c>
      <c r="E52" s="174">
        <f t="shared" ref="E52:E54" si="9">E42</f>
        <v>0</v>
      </c>
      <c r="F52" s="167">
        <f t="shared" si="7"/>
        <v>5.9822985161333664E-2</v>
      </c>
      <c r="G52" s="167">
        <f t="shared" si="4"/>
        <v>9.6689571561101289E-3</v>
      </c>
      <c r="I52" s="167">
        <f t="shared" si="8"/>
        <v>5.8290030582120199E-2</v>
      </c>
      <c r="J52" s="167">
        <f t="shared" si="5"/>
        <v>9.6280325874401433E-3</v>
      </c>
    </row>
    <row r="53" spans="2:10">
      <c r="B53" s="1" t="s">
        <v>455</v>
      </c>
      <c r="D53" s="174">
        <f t="shared" si="6"/>
        <v>76.651114000000007</v>
      </c>
      <c r="E53" s="174">
        <f t="shared" si="9"/>
        <v>0</v>
      </c>
      <c r="F53" s="167">
        <f t="shared" si="7"/>
        <v>1.535868958129785E-2</v>
      </c>
      <c r="G53" s="167">
        <f t="shared" si="4"/>
        <v>2.4823654509228323E-3</v>
      </c>
      <c r="I53" s="167">
        <f t="shared" si="8"/>
        <v>1.4965125578082807E-2</v>
      </c>
      <c r="J53" s="167">
        <f t="shared" si="5"/>
        <v>2.4718586575096361E-3</v>
      </c>
    </row>
    <row r="54" spans="2:10">
      <c r="B54" s="1" t="s">
        <v>456</v>
      </c>
      <c r="D54" s="174">
        <f t="shared" si="6"/>
        <v>30.159374999999997</v>
      </c>
      <c r="E54" s="174">
        <f t="shared" si="9"/>
        <v>0</v>
      </c>
      <c r="F54" s="167">
        <f t="shared" si="7"/>
        <v>6.0430756243275837E-3</v>
      </c>
      <c r="G54" s="167">
        <f t="shared" si="4"/>
        <v>9.7671888397376431E-4</v>
      </c>
      <c r="I54" s="167">
        <f t="shared" si="8"/>
        <v>5.8882227625744752E-3</v>
      </c>
      <c r="J54" s="167">
        <f t="shared" si="5"/>
        <v>9.7258484982787948E-4</v>
      </c>
    </row>
    <row r="55" spans="2:10">
      <c r="B55" s="1" t="s">
        <v>460</v>
      </c>
      <c r="D55" s="174">
        <f t="shared" si="6"/>
        <v>1239.341293</v>
      </c>
      <c r="E55" s="174">
        <f>SUM(E50:E54)</f>
        <v>2876.391396</v>
      </c>
      <c r="F55" s="167">
        <f t="shared" si="7"/>
        <v>0.82467504346970466</v>
      </c>
      <c r="G55" s="167">
        <f t="shared" si="4"/>
        <v>0.97166290701614821</v>
      </c>
      <c r="I55" s="167">
        <f t="shared" si="8"/>
        <v>0.80354287527648238</v>
      </c>
      <c r="J55" s="167">
        <f t="shared" si="5"/>
        <v>0.96755027266269755</v>
      </c>
    </row>
    <row r="56" spans="2:10">
      <c r="B56" s="1" t="s">
        <v>461</v>
      </c>
      <c r="D56" s="174">
        <f t="shared" si="6"/>
        <v>2114.3412829999997</v>
      </c>
      <c r="E56" s="174">
        <f>E55</f>
        <v>2876.391396</v>
      </c>
      <c r="F56" s="167">
        <f t="shared" si="7"/>
        <v>1</v>
      </c>
      <c r="G56" s="167">
        <f t="shared" si="4"/>
        <v>1</v>
      </c>
      <c r="I56" s="167">
        <f t="shared" si="8"/>
        <v>0.97437515739010161</v>
      </c>
      <c r="J56" s="167">
        <f t="shared" si="5"/>
        <v>0.99576742682698471</v>
      </c>
    </row>
    <row r="57" spans="2:10">
      <c r="B57" s="1" t="s">
        <v>462</v>
      </c>
      <c r="D57" s="174">
        <f t="shared" si="6"/>
        <v>2245.5912830000002</v>
      </c>
      <c r="E57" s="174">
        <f>E56</f>
        <v>2876.391396</v>
      </c>
      <c r="I57" s="167">
        <f t="shared" si="8"/>
        <v>1</v>
      </c>
      <c r="J57" s="167">
        <f t="shared" si="5"/>
        <v>1</v>
      </c>
    </row>
  </sheetData>
  <pageMargins left="0.7" right="0.7" top="0.75" bottom="0.75" header="0.3" footer="0.3"/>
  <pageSetup orientation="portrait" horizontalDpi="1200" verticalDpi="1200" r:id="rId1"/>
  <ignoredErrors>
    <ignoredError sqref="E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H457"/>
  <sheetViews>
    <sheetView showGridLines="0" zoomScale="110" zoomScaleNormal="110" workbookViewId="0">
      <pane xSplit="2" ySplit="4" topLeftCell="F78" activePane="bottomRight" state="frozen"/>
      <selection activeCell="BB6" sqref="BB6"/>
      <selection pane="topRight" activeCell="BB6" sqref="BB6"/>
      <selection pane="bottomLeft" activeCell="BB6" sqref="BB6"/>
      <selection pane="bottomRight" activeCell="F78" sqref="F78"/>
    </sheetView>
  </sheetViews>
  <sheetFormatPr defaultColWidth="12.6640625" defaultRowHeight="11.25" outlineLevelRow="1" outlineLevelCol="1"/>
  <cols>
    <col min="1" max="1" width="12.6640625" style="296"/>
    <col min="2" max="2" width="59.83203125" style="1" customWidth="1"/>
    <col min="3" max="4" width="12.6640625" style="1" hidden="1" customWidth="1" outlineLevel="1"/>
    <col min="5" max="5" width="13.1640625" style="1" hidden="1" customWidth="1" outlineLevel="1"/>
    <col min="6" max="6" width="13.1640625" style="1" customWidth="1" collapsed="1"/>
    <col min="7" max="19" width="13.1640625" style="1" customWidth="1"/>
    <col min="20" max="20" width="13.1640625" style="209" customWidth="1"/>
    <col min="21" max="23" width="13.1640625" style="1" customWidth="1"/>
    <col min="24" max="24" width="13.1640625" style="209" customWidth="1"/>
    <col min="25" max="27" width="13.1640625" style="1" customWidth="1"/>
    <col min="28" max="28" width="13.1640625" style="209" customWidth="1"/>
    <col min="29" max="31" width="13.1640625" style="1" customWidth="1"/>
    <col min="32" max="32" width="13.1640625" style="209" customWidth="1"/>
    <col min="33" max="35" width="13.1640625" style="1" customWidth="1"/>
    <col min="36" max="36" width="13.1640625" style="209" customWidth="1"/>
    <col min="37" max="39" width="13.1640625" style="1" customWidth="1"/>
    <col min="40" max="40" width="13.1640625" style="209" customWidth="1"/>
    <col min="41" max="43" width="13.1640625" style="1" customWidth="1"/>
    <col min="44" max="44" width="13.1640625" style="209" customWidth="1"/>
    <col min="45" max="47" width="13.1640625" style="1" customWidth="1"/>
    <col min="48" max="48" width="13.1640625" style="209" customWidth="1"/>
    <col min="49" max="52" width="13.1640625" style="1" customWidth="1"/>
    <col min="53" max="53" width="12.6640625" style="1" customWidth="1"/>
    <col min="54" max="54" width="12.6640625" style="1"/>
    <col min="55" max="55" width="21.1640625" customWidth="1"/>
    <col min="61" max="16384" width="12.6640625" style="1"/>
  </cols>
  <sheetData>
    <row r="1" spans="1:60">
      <c r="D1" s="48" t="s">
        <v>140</v>
      </c>
      <c r="E1" s="48"/>
      <c r="F1" s="48">
        <v>1</v>
      </c>
      <c r="G1" s="49">
        <f t="shared" ref="G1:N1" si="0">F1+4</f>
        <v>5</v>
      </c>
      <c r="H1" s="49">
        <f t="shared" si="0"/>
        <v>9</v>
      </c>
      <c r="I1" s="49">
        <f t="shared" si="0"/>
        <v>13</v>
      </c>
      <c r="J1" s="49">
        <f t="shared" si="0"/>
        <v>17</v>
      </c>
      <c r="K1" s="49">
        <f t="shared" si="0"/>
        <v>21</v>
      </c>
      <c r="L1" s="49">
        <f t="shared" si="0"/>
        <v>25</v>
      </c>
      <c r="M1" s="49">
        <f t="shared" si="0"/>
        <v>29</v>
      </c>
      <c r="N1" s="49">
        <f t="shared" si="0"/>
        <v>33</v>
      </c>
    </row>
    <row r="2" spans="1:60">
      <c r="B2" s="19" t="s">
        <v>139</v>
      </c>
      <c r="D2" s="48" t="s">
        <v>138</v>
      </c>
      <c r="F2" s="48">
        <f t="shared" ref="F2:M2" si="1">F1+3</f>
        <v>4</v>
      </c>
      <c r="G2" s="48">
        <f t="shared" si="1"/>
        <v>8</v>
      </c>
      <c r="H2" s="48">
        <f t="shared" si="1"/>
        <v>12</v>
      </c>
      <c r="I2" s="48">
        <f t="shared" si="1"/>
        <v>16</v>
      </c>
      <c r="J2" s="48">
        <f t="shared" si="1"/>
        <v>20</v>
      </c>
      <c r="K2" s="48">
        <f t="shared" si="1"/>
        <v>24</v>
      </c>
      <c r="L2" s="48">
        <f t="shared" si="1"/>
        <v>28</v>
      </c>
      <c r="M2" s="48">
        <f t="shared" si="1"/>
        <v>32</v>
      </c>
      <c r="N2" s="48">
        <f t="shared" ref="N2" si="2">N1+3</f>
        <v>36</v>
      </c>
    </row>
    <row r="3" spans="1:60">
      <c r="B3" s="18" t="s">
        <v>88</v>
      </c>
    </row>
    <row r="4" spans="1:60">
      <c r="C4" s="1" t="s">
        <v>5</v>
      </c>
      <c r="D4" s="1" t="s">
        <v>4</v>
      </c>
      <c r="E4" s="106"/>
      <c r="F4" s="46">
        <v>2012</v>
      </c>
      <c r="G4" s="46">
        <f t="shared" ref="G4:N4" si="3">+F4+1</f>
        <v>2013</v>
      </c>
      <c r="H4" s="46">
        <f t="shared" si="3"/>
        <v>2014</v>
      </c>
      <c r="I4" s="46">
        <f t="shared" si="3"/>
        <v>2015</v>
      </c>
      <c r="J4" s="46">
        <f t="shared" si="3"/>
        <v>2016</v>
      </c>
      <c r="K4" s="46">
        <f t="shared" si="3"/>
        <v>2017</v>
      </c>
      <c r="L4" s="45">
        <f t="shared" si="3"/>
        <v>2018</v>
      </c>
      <c r="M4" s="45">
        <f t="shared" si="3"/>
        <v>2019</v>
      </c>
      <c r="N4" s="45">
        <f t="shared" si="3"/>
        <v>2020</v>
      </c>
      <c r="Q4" s="16">
        <v>12</v>
      </c>
      <c r="R4" s="15">
        <f>Q4</f>
        <v>12</v>
      </c>
      <c r="S4" s="14">
        <f>R4</f>
        <v>12</v>
      </c>
      <c r="T4" s="210">
        <f>S4</f>
        <v>12</v>
      </c>
      <c r="U4" s="16">
        <f t="shared" ref="U4:AV4" si="4">Q4+1</f>
        <v>13</v>
      </c>
      <c r="V4" s="15">
        <f t="shared" si="4"/>
        <v>13</v>
      </c>
      <c r="W4" s="14">
        <f t="shared" si="4"/>
        <v>13</v>
      </c>
      <c r="X4" s="210">
        <f t="shared" si="4"/>
        <v>13</v>
      </c>
      <c r="Y4" s="16">
        <f t="shared" si="4"/>
        <v>14</v>
      </c>
      <c r="Z4" s="15">
        <f t="shared" si="4"/>
        <v>14</v>
      </c>
      <c r="AA4" s="14">
        <f t="shared" si="4"/>
        <v>14</v>
      </c>
      <c r="AB4" s="210">
        <f t="shared" si="4"/>
        <v>14</v>
      </c>
      <c r="AC4" s="16">
        <f t="shared" si="4"/>
        <v>15</v>
      </c>
      <c r="AD4" s="15">
        <f t="shared" si="4"/>
        <v>15</v>
      </c>
      <c r="AE4" s="14">
        <f t="shared" si="4"/>
        <v>15</v>
      </c>
      <c r="AF4" s="210">
        <f t="shared" si="4"/>
        <v>15</v>
      </c>
      <c r="AG4" s="16">
        <f t="shared" si="4"/>
        <v>16</v>
      </c>
      <c r="AH4" s="15">
        <f t="shared" si="4"/>
        <v>16</v>
      </c>
      <c r="AI4" s="14">
        <f t="shared" si="4"/>
        <v>16</v>
      </c>
      <c r="AJ4" s="210">
        <f t="shared" si="4"/>
        <v>16</v>
      </c>
      <c r="AK4" s="16">
        <f t="shared" si="4"/>
        <v>17</v>
      </c>
      <c r="AL4" s="15">
        <f t="shared" si="4"/>
        <v>17</v>
      </c>
      <c r="AM4" s="14">
        <f t="shared" si="4"/>
        <v>17</v>
      </c>
      <c r="AN4" s="210">
        <f t="shared" si="4"/>
        <v>17</v>
      </c>
      <c r="AO4" s="44">
        <f t="shared" si="4"/>
        <v>18</v>
      </c>
      <c r="AP4" s="43">
        <f t="shared" si="4"/>
        <v>18</v>
      </c>
      <c r="AQ4" s="42">
        <f t="shared" si="4"/>
        <v>18</v>
      </c>
      <c r="AR4" s="243">
        <f t="shared" si="4"/>
        <v>18</v>
      </c>
      <c r="AS4" s="44">
        <f t="shared" si="4"/>
        <v>19</v>
      </c>
      <c r="AT4" s="43">
        <f t="shared" si="4"/>
        <v>19</v>
      </c>
      <c r="AU4" s="42">
        <f t="shared" si="4"/>
        <v>19</v>
      </c>
      <c r="AV4" s="243">
        <f t="shared" si="4"/>
        <v>19</v>
      </c>
      <c r="AW4" s="44">
        <f t="shared" ref="AW4" si="5">AS4+1</f>
        <v>20</v>
      </c>
      <c r="AX4" s="43">
        <f t="shared" ref="AX4" si="6">AT4+1</f>
        <v>20</v>
      </c>
      <c r="AY4" s="42">
        <f t="shared" ref="AY4" si="7">AU4+1</f>
        <v>20</v>
      </c>
      <c r="AZ4" s="41">
        <f t="shared" ref="AZ4" si="8">AV4+1</f>
        <v>20</v>
      </c>
    </row>
    <row r="5" spans="1:60" hidden="1" outlineLevel="1">
      <c r="B5" s="6" t="s">
        <v>387</v>
      </c>
      <c r="C5" s="6"/>
      <c r="D5" s="6"/>
      <c r="E5" s="105"/>
      <c r="F5" s="105"/>
      <c r="G5" s="105"/>
      <c r="H5" s="105"/>
      <c r="I5" s="105"/>
      <c r="J5" s="105"/>
      <c r="K5" s="104"/>
      <c r="L5" s="104"/>
      <c r="M5" s="104"/>
      <c r="N5" s="104"/>
      <c r="O5" s="6"/>
      <c r="P5" s="6"/>
      <c r="Q5" s="103"/>
      <c r="R5" s="102"/>
      <c r="S5" s="101"/>
      <c r="T5" s="211"/>
      <c r="U5" s="103"/>
      <c r="V5" s="102"/>
      <c r="W5" s="101"/>
      <c r="X5" s="211"/>
      <c r="Y5" s="103"/>
      <c r="Z5" s="102"/>
      <c r="AA5" s="101"/>
      <c r="AB5" s="211"/>
      <c r="AC5" s="103"/>
      <c r="AD5" s="102"/>
      <c r="AE5" s="101"/>
      <c r="AF5" s="211"/>
      <c r="AG5" s="103"/>
      <c r="AH5" s="102"/>
      <c r="AI5" s="101"/>
      <c r="AJ5" s="211"/>
      <c r="AK5" s="99"/>
      <c r="AL5" s="98"/>
      <c r="AM5" s="97"/>
      <c r="AN5" s="235"/>
      <c r="AO5" s="99"/>
      <c r="AP5" s="98"/>
      <c r="AQ5" s="97"/>
      <c r="AR5" s="235"/>
      <c r="AS5" s="99"/>
      <c r="AT5" s="98"/>
      <c r="AU5" s="97"/>
      <c r="AV5" s="235"/>
      <c r="AW5" s="96"/>
      <c r="AX5" s="96"/>
      <c r="AY5" s="96"/>
      <c r="AZ5" s="96"/>
    </row>
    <row r="6" spans="1:60" hidden="1" outlineLevel="1">
      <c r="B6" s="264" t="s">
        <v>136</v>
      </c>
      <c r="E6" s="106"/>
      <c r="F6" s="46"/>
      <c r="G6" s="46"/>
      <c r="H6" s="46"/>
      <c r="I6" s="46"/>
      <c r="J6" s="46"/>
      <c r="K6" s="46"/>
      <c r="L6" s="45"/>
      <c r="M6" s="45"/>
      <c r="N6" s="45"/>
      <c r="Q6" s="16"/>
      <c r="R6" s="15"/>
      <c r="S6" s="14"/>
      <c r="T6" s="210"/>
      <c r="U6" s="16"/>
      <c r="V6" s="15"/>
      <c r="W6" s="14"/>
      <c r="X6" s="210"/>
      <c r="Y6" s="16"/>
      <c r="Z6" s="15"/>
      <c r="AA6" s="14"/>
      <c r="AB6" s="210"/>
      <c r="AC6" s="16"/>
      <c r="AD6" s="15"/>
      <c r="AE6" s="14"/>
      <c r="AF6" s="210"/>
      <c r="AG6" s="16"/>
      <c r="AH6" s="15"/>
      <c r="AI6" s="14"/>
      <c r="AJ6" s="210"/>
      <c r="AK6" s="16"/>
      <c r="AL6" s="15"/>
      <c r="AM6" s="14"/>
      <c r="AN6" s="210"/>
      <c r="AO6" s="44"/>
      <c r="AP6" s="43"/>
      <c r="AQ6" s="42"/>
      <c r="AR6" s="243"/>
      <c r="AS6" s="44"/>
      <c r="AT6" s="43"/>
      <c r="AU6" s="42"/>
      <c r="AV6" s="243"/>
      <c r="AW6" s="41"/>
      <c r="AX6" s="41"/>
      <c r="AY6" s="41"/>
      <c r="AZ6" s="41"/>
    </row>
    <row r="7" spans="1:60" s="265" customFormat="1" hidden="1" outlineLevel="1">
      <c r="A7" s="296"/>
      <c r="B7" s="267" t="s">
        <v>18</v>
      </c>
      <c r="F7" s="262"/>
      <c r="G7" s="265">
        <f>G85</f>
        <v>29590.276000000002</v>
      </c>
      <c r="H7" s="265">
        <f t="shared" ref="H7:M7" si="9">H85</f>
        <v>43727.459000000003</v>
      </c>
      <c r="I7" s="265">
        <f t="shared" si="9"/>
        <v>55667.478000000003</v>
      </c>
      <c r="J7" s="265">
        <f t="shared" si="9"/>
        <v>55375.031000000003</v>
      </c>
      <c r="K7" s="265">
        <f t="shared" ca="1" si="9"/>
        <v>62162.542084177418</v>
      </c>
      <c r="L7" s="265">
        <f t="shared" ca="1" si="9"/>
        <v>74669.932567470314</v>
      </c>
      <c r="M7" s="265">
        <f t="shared" ca="1" si="9"/>
        <v>89734.394000721906</v>
      </c>
      <c r="N7" s="265">
        <f t="shared" ref="N7" ca="1" si="10">N85</f>
        <v>103931.64327677251</v>
      </c>
      <c r="Q7" s="265">
        <f t="shared" ref="Q7:AV7" si="11">Q85</f>
        <v>4172.9569999999994</v>
      </c>
      <c r="R7" s="265">
        <f t="shared" si="11"/>
        <v>5350.3850000000002</v>
      </c>
      <c r="S7" s="265">
        <f t="shared" si="11"/>
        <v>6101.9009999999998</v>
      </c>
      <c r="T7" s="268">
        <f t="shared" si="11"/>
        <v>6151.4960000000001</v>
      </c>
      <c r="U7" s="265">
        <f t="shared" si="11"/>
        <v>5623.2785507117924</v>
      </c>
      <c r="V7" s="265">
        <f t="shared" si="11"/>
        <v>7114.7081028187704</v>
      </c>
      <c r="W7" s="265">
        <f t="shared" si="11"/>
        <v>8245.0122299652066</v>
      </c>
      <c r="X7" s="268">
        <f t="shared" si="11"/>
        <v>8607.2771165042286</v>
      </c>
      <c r="Y7" s="265">
        <f t="shared" si="11"/>
        <v>8653.5691289591741</v>
      </c>
      <c r="Z7" s="265">
        <f t="shared" si="11"/>
        <v>10862.541085637542</v>
      </c>
      <c r="AA7" s="265">
        <f t="shared" si="11"/>
        <v>12130.891639432159</v>
      </c>
      <c r="AB7" s="268">
        <f t="shared" si="11"/>
        <v>12080.457145971128</v>
      </c>
      <c r="AC7" s="265">
        <f t="shared" si="11"/>
        <v>11311.389820992161</v>
      </c>
      <c r="AD7" s="265">
        <f t="shared" si="11"/>
        <v>14678.845938174265</v>
      </c>
      <c r="AE7" s="265">
        <f t="shared" si="11"/>
        <v>15529.358430817852</v>
      </c>
      <c r="AF7" s="268">
        <f t="shared" si="11"/>
        <v>14792.726410015723</v>
      </c>
      <c r="AG7" s="265">
        <f t="shared" si="11"/>
        <v>13246.699000000001</v>
      </c>
      <c r="AH7" s="265">
        <f t="shared" ca="1" si="11"/>
        <v>14513.594369405577</v>
      </c>
      <c r="AI7" s="265">
        <f t="shared" ca="1" si="11"/>
        <v>13909.846759044915</v>
      </c>
      <c r="AJ7" s="268">
        <f t="shared" ca="1" si="11"/>
        <v>13704.890871549513</v>
      </c>
      <c r="AK7" s="265">
        <f t="shared" si="11"/>
        <v>12420.545</v>
      </c>
      <c r="AL7" s="265">
        <f t="shared" si="11"/>
        <v>15157.260316498114</v>
      </c>
      <c r="AM7" s="265">
        <f t="shared" si="11"/>
        <v>17002.254001718098</v>
      </c>
      <c r="AN7" s="268">
        <f t="shared" si="11"/>
        <v>17582.482765961206</v>
      </c>
      <c r="AO7" s="265">
        <f t="shared" ca="1" si="11"/>
        <v>15429.569767841891</v>
      </c>
      <c r="AP7" s="265">
        <f t="shared" ca="1" si="11"/>
        <v>18649.224389548417</v>
      </c>
      <c r="AQ7" s="265">
        <f t="shared" ca="1" si="11"/>
        <v>20195.156454298623</v>
      </c>
      <c r="AR7" s="268">
        <f t="shared" ca="1" si="11"/>
        <v>20395.981955781386</v>
      </c>
      <c r="AS7" s="265">
        <f t="shared" ca="1" si="11"/>
        <v>19331.850244958681</v>
      </c>
      <c r="AT7" s="265">
        <f t="shared" ca="1" si="11"/>
        <v>22427.272851256563</v>
      </c>
      <c r="AU7" s="265">
        <f t="shared" ca="1" si="11"/>
        <v>24529.04541659739</v>
      </c>
      <c r="AV7" s="268">
        <f t="shared" ca="1" si="11"/>
        <v>23446.225487909262</v>
      </c>
      <c r="AW7" s="265">
        <f t="shared" ref="AW7:AZ7" ca="1" si="12">AW85</f>
        <v>22732.986137669712</v>
      </c>
      <c r="AX7" s="265">
        <f t="shared" ca="1" si="12"/>
        <v>25835.296257834423</v>
      </c>
      <c r="AY7" s="265">
        <f t="shared" ca="1" si="12"/>
        <v>28057.466611633678</v>
      </c>
      <c r="AZ7" s="265">
        <f t="shared" ca="1" si="12"/>
        <v>27305.894269634693</v>
      </c>
      <c r="BC7"/>
      <c r="BD7"/>
      <c r="BE7"/>
      <c r="BF7"/>
      <c r="BG7"/>
      <c r="BH7"/>
    </row>
    <row r="8" spans="1:60" s="265" customFormat="1" hidden="1" outlineLevel="1">
      <c r="A8" s="296"/>
      <c r="B8" s="267" t="s">
        <v>680</v>
      </c>
      <c r="F8" s="262"/>
      <c r="G8" s="265">
        <f>G7-G9</f>
        <v>29590.276000000002</v>
      </c>
      <c r="H8" s="265">
        <f t="shared" ref="H8:N8" si="13">H7-H9</f>
        <v>43727.459000000003</v>
      </c>
      <c r="I8" s="265">
        <f t="shared" si="13"/>
        <v>55667.478000000003</v>
      </c>
      <c r="J8" s="265">
        <f t="shared" ca="1" si="13"/>
        <v>55296.198993842801</v>
      </c>
      <c r="K8" s="265">
        <f t="shared" ca="1" si="13"/>
        <v>57175.82321056792</v>
      </c>
      <c r="L8" s="265">
        <f t="shared" ca="1" si="13"/>
        <v>64283.640438890478</v>
      </c>
      <c r="M8" s="265">
        <f t="shared" ca="1" si="13"/>
        <v>73562.282713583394</v>
      </c>
      <c r="N8" s="265">
        <f t="shared" ca="1" si="13"/>
        <v>81211.855634656793</v>
      </c>
      <c r="Q8" s="265">
        <f t="shared" ref="Q8:AY8" si="14">Q7-Q9</f>
        <v>4172.9569999999994</v>
      </c>
      <c r="R8" s="265">
        <f t="shared" si="14"/>
        <v>5350.3850000000002</v>
      </c>
      <c r="S8" s="265">
        <f t="shared" si="14"/>
        <v>6101.9009999999998</v>
      </c>
      <c r="T8" s="268">
        <f t="shared" si="14"/>
        <v>6151.4960000000001</v>
      </c>
      <c r="U8" s="265">
        <f t="shared" si="14"/>
        <v>5623.2785507117924</v>
      </c>
      <c r="V8" s="265">
        <f t="shared" si="14"/>
        <v>7114.7081028187704</v>
      </c>
      <c r="W8" s="265">
        <f t="shared" si="14"/>
        <v>8245.0122299652066</v>
      </c>
      <c r="X8" s="268">
        <f t="shared" si="14"/>
        <v>8607.2771165042286</v>
      </c>
      <c r="Y8" s="265">
        <f t="shared" si="14"/>
        <v>8653.5691289591741</v>
      </c>
      <c r="Z8" s="265">
        <f t="shared" si="14"/>
        <v>10862.541085637542</v>
      </c>
      <c r="AA8" s="265">
        <f t="shared" si="14"/>
        <v>12130.891639432159</v>
      </c>
      <c r="AB8" s="268">
        <f t="shared" si="14"/>
        <v>12080.457145971128</v>
      </c>
      <c r="AC8" s="265">
        <f t="shared" si="14"/>
        <v>11311.389820992161</v>
      </c>
      <c r="AD8" s="265">
        <f t="shared" si="14"/>
        <v>14678.845938174265</v>
      </c>
      <c r="AE8" s="265">
        <f t="shared" si="14"/>
        <v>15529.358430817852</v>
      </c>
      <c r="AF8" s="268">
        <f t="shared" si="14"/>
        <v>14792.726410015723</v>
      </c>
      <c r="AG8" s="265">
        <f t="shared" si="14"/>
        <v>13246.699000000001</v>
      </c>
      <c r="AH8" s="265">
        <f t="shared" ca="1" si="14"/>
        <v>14513.594369405577</v>
      </c>
      <c r="AI8" s="265">
        <f t="shared" ca="1" si="14"/>
        <v>13909.846759044915</v>
      </c>
      <c r="AJ8" s="268">
        <f t="shared" ca="1" si="14"/>
        <v>13626.05886539231</v>
      </c>
      <c r="AK8" s="265">
        <f t="shared" ca="1" si="14"/>
        <v>12133.195497751485</v>
      </c>
      <c r="AL8" s="265">
        <f t="shared" ca="1" si="14"/>
        <v>14133.839195137129</v>
      </c>
      <c r="AM8" s="265">
        <f t="shared" si="14"/>
        <v>15338.929001718097</v>
      </c>
      <c r="AN8" s="268">
        <f t="shared" si="14"/>
        <v>15569.859515961205</v>
      </c>
      <c r="AO8" s="265">
        <f t="shared" ca="1" si="14"/>
        <v>13476.795142063114</v>
      </c>
      <c r="AP8" s="265">
        <f t="shared" ca="1" si="14"/>
        <v>16311.720810104449</v>
      </c>
      <c r="AQ8" s="265">
        <f t="shared" ca="1" si="14"/>
        <v>17309.589844660171</v>
      </c>
      <c r="AR8" s="268">
        <f t="shared" ca="1" si="14"/>
        <v>17185.53464206275</v>
      </c>
      <c r="AS8" s="265">
        <f t="shared" ca="1" si="14"/>
        <v>15931.450476675587</v>
      </c>
      <c r="AT8" s="265">
        <f t="shared" ca="1" si="14"/>
        <v>18727.797214231374</v>
      </c>
      <c r="AU8" s="265">
        <f t="shared" ca="1" si="14"/>
        <v>20091.447852301248</v>
      </c>
      <c r="AV8" s="268">
        <f t="shared" ca="1" si="14"/>
        <v>18811.587170375176</v>
      </c>
      <c r="AW8" s="265">
        <f t="shared" ca="1" si="14"/>
        <v>17858.040170924793</v>
      </c>
      <c r="AX8" s="265">
        <f t="shared" ca="1" si="14"/>
        <v>20525.109416791292</v>
      </c>
      <c r="AY8" s="265">
        <f t="shared" ca="1" si="14"/>
        <v>21906.170287648227</v>
      </c>
      <c r="AZ8" s="265">
        <f ca="1">AZ7-AZ9</f>
        <v>20922.535759292485</v>
      </c>
      <c r="BC8"/>
      <c r="BD8"/>
      <c r="BE8"/>
      <c r="BF8"/>
      <c r="BG8"/>
      <c r="BH8"/>
    </row>
    <row r="9" spans="1:60" s="265" customFormat="1" hidden="1" outlineLevel="1">
      <c r="A9" s="296"/>
      <c r="B9" s="267" t="s">
        <v>681</v>
      </c>
      <c r="F9" s="262"/>
      <c r="G9" s="265">
        <f>Operating_Model!G81</f>
        <v>0</v>
      </c>
      <c r="H9" s="265">
        <f>Operating_Model!H81</f>
        <v>0</v>
      </c>
      <c r="I9" s="265">
        <f>Operating_Model!I81</f>
        <v>0</v>
      </c>
      <c r="J9" s="265">
        <f ca="1">Operating_Model!J81</f>
        <v>78.832006157203068</v>
      </c>
      <c r="K9" s="265">
        <f ca="1">Operating_Model!K81</f>
        <v>4986.7188736094995</v>
      </c>
      <c r="L9" s="265">
        <f ca="1">Operating_Model!L81</f>
        <v>10386.292128579833</v>
      </c>
      <c r="M9" s="265">
        <f ca="1">Operating_Model!M81</f>
        <v>16172.111287138512</v>
      </c>
      <c r="N9" s="265">
        <f ca="1">Operating_Model!N81</f>
        <v>22719.787642115705</v>
      </c>
      <c r="Q9" s="265">
        <f>Operating_Model!Q81</f>
        <v>0</v>
      </c>
      <c r="R9" s="265">
        <f>Operating_Model!R81</f>
        <v>0</v>
      </c>
      <c r="S9" s="265">
        <f>Operating_Model!S81</f>
        <v>0</v>
      </c>
      <c r="T9" s="268">
        <f>Operating_Model!T81</f>
        <v>0</v>
      </c>
      <c r="U9" s="265">
        <f>Operating_Model!U81</f>
        <v>0</v>
      </c>
      <c r="V9" s="265">
        <f>Operating_Model!V81</f>
        <v>0</v>
      </c>
      <c r="W9" s="265">
        <f>Operating_Model!W81</f>
        <v>0</v>
      </c>
      <c r="X9" s="268">
        <f>Operating_Model!X81</f>
        <v>0</v>
      </c>
      <c r="Y9" s="265">
        <f>Operating_Model!Y81</f>
        <v>0</v>
      </c>
      <c r="Z9" s="265">
        <f>Operating_Model!Z81</f>
        <v>0</v>
      </c>
      <c r="AA9" s="265">
        <f>Operating_Model!AA81</f>
        <v>0</v>
      </c>
      <c r="AB9" s="268">
        <f>Operating_Model!AB81</f>
        <v>0</v>
      </c>
      <c r="AC9" s="265">
        <f>Operating_Model!AC81</f>
        <v>0</v>
      </c>
      <c r="AD9" s="265">
        <f>Operating_Model!AD81</f>
        <v>0</v>
      </c>
      <c r="AE9" s="265">
        <f>Operating_Model!AE81</f>
        <v>0</v>
      </c>
      <c r="AF9" s="268">
        <f>Operating_Model!AF81</f>
        <v>0</v>
      </c>
      <c r="AG9" s="265">
        <f>Operating_Model!AG81</f>
        <v>0</v>
      </c>
      <c r="AH9" s="265">
        <f>Operating_Model!AH81</f>
        <v>0</v>
      </c>
      <c r="AI9" s="265">
        <f>Operating_Model!AI81</f>
        <v>0</v>
      </c>
      <c r="AJ9" s="268">
        <f ca="1">Operating_Model!AJ81</f>
        <v>78.832006157203068</v>
      </c>
      <c r="AK9" s="265">
        <f ca="1">Operating_Model!AK81</f>
        <v>287.34950224851514</v>
      </c>
      <c r="AL9" s="265">
        <f ca="1">Operating_Model!AL81</f>
        <v>1023.4211213609847</v>
      </c>
      <c r="AM9" s="265">
        <f>Operating_Model!AM81</f>
        <v>1663.325</v>
      </c>
      <c r="AN9" s="268">
        <f>Operating_Model!AN81</f>
        <v>2012.6232500000001</v>
      </c>
      <c r="AO9" s="265">
        <f ca="1">Operating_Model!AO81</f>
        <v>1952.774625778776</v>
      </c>
      <c r="AP9" s="265">
        <f ca="1">Operating_Model!AP81</f>
        <v>2337.5035794439691</v>
      </c>
      <c r="AQ9" s="265">
        <f ca="1">Operating_Model!AQ81</f>
        <v>2885.5666096384534</v>
      </c>
      <c r="AR9" s="268">
        <f ca="1">Operating_Model!AR81</f>
        <v>3210.4473137186346</v>
      </c>
      <c r="AS9" s="265">
        <f ca="1">Operating_Model!AS81</f>
        <v>3400.3997682830941</v>
      </c>
      <c r="AT9" s="265">
        <f ca="1">Operating_Model!AT81</f>
        <v>3699.4756370251898</v>
      </c>
      <c r="AU9" s="265">
        <f ca="1">Operating_Model!AU81</f>
        <v>4437.597564296143</v>
      </c>
      <c r="AV9" s="268">
        <f ca="1">Operating_Model!AV81</f>
        <v>4634.6383175340861</v>
      </c>
      <c r="AW9" s="265">
        <f ca="1">Operating_Model!AW81</f>
        <v>4874.9459667449182</v>
      </c>
      <c r="AX9" s="265">
        <f ca="1">Operating_Model!AX81</f>
        <v>5310.1868410431316</v>
      </c>
      <c r="AY9" s="265">
        <f ca="1">Operating_Model!AY81</f>
        <v>6151.2963239854516</v>
      </c>
      <c r="AZ9" s="265">
        <f ca="1">Operating_Model!AZ81</f>
        <v>6383.3585103422065</v>
      </c>
      <c r="BC9"/>
      <c r="BD9"/>
      <c r="BE9"/>
      <c r="BF9"/>
      <c r="BG9"/>
      <c r="BH9"/>
    </row>
    <row r="10" spans="1:60" s="265" customFormat="1" hidden="1" outlineLevel="1">
      <c r="A10" s="296"/>
      <c r="B10" s="267" t="s">
        <v>613</v>
      </c>
      <c r="F10" s="262"/>
      <c r="G10" s="265">
        <f t="shared" ref="G10:M10" si="15">G86</f>
        <v>1319.1869999999999</v>
      </c>
      <c r="H10" s="265">
        <f t="shared" si="15"/>
        <v>3822.4560000000001</v>
      </c>
      <c r="I10" s="265">
        <f t="shared" si="15"/>
        <v>7005.9409999999998</v>
      </c>
      <c r="J10" s="265">
        <f t="shared" si="15"/>
        <v>4894.4859999999999</v>
      </c>
      <c r="K10" s="265">
        <f t="shared" ca="1" si="15"/>
        <v>6122.3167896783161</v>
      </c>
      <c r="L10" s="265">
        <f t="shared" ca="1" si="15"/>
        <v>6539.2762734472126</v>
      </c>
      <c r="M10" s="265">
        <f t="shared" ca="1" si="15"/>
        <v>7479.0389689758922</v>
      </c>
      <c r="N10" s="265">
        <f t="shared" ref="N10" ca="1" si="16">N86</f>
        <v>10639.281458237821</v>
      </c>
      <c r="Q10" s="265">
        <f t="shared" ref="Q10:AV10" si="17">Q86</f>
        <v>90.770000000000437</v>
      </c>
      <c r="R10" s="265">
        <f t="shared" si="17"/>
        <v>105.84699999999975</v>
      </c>
      <c r="S10" s="265">
        <f t="shared" si="17"/>
        <v>148.81900000000041</v>
      </c>
      <c r="T10" s="268">
        <f t="shared" si="17"/>
        <v>183.84999999999945</v>
      </c>
      <c r="U10" s="265">
        <f t="shared" ca="1" si="17"/>
        <v>249.10219772103477</v>
      </c>
      <c r="V10" s="265">
        <f t="shared" ca="1" si="17"/>
        <v>276.34486966228076</v>
      </c>
      <c r="W10" s="265">
        <f t="shared" ca="1" si="17"/>
        <v>373.28195721580227</v>
      </c>
      <c r="X10" s="268">
        <f t="shared" ca="1" si="17"/>
        <v>420.45797540088074</v>
      </c>
      <c r="Y10" s="265">
        <f t="shared" ca="1" si="17"/>
        <v>605.33205258030762</v>
      </c>
      <c r="Z10" s="265">
        <f t="shared" ca="1" si="17"/>
        <v>724.61370945496924</v>
      </c>
      <c r="AA10" s="265">
        <f t="shared" ca="1" si="17"/>
        <v>762.49391085154309</v>
      </c>
      <c r="AB10" s="268">
        <f t="shared" ca="1" si="17"/>
        <v>827.58635523024714</v>
      </c>
      <c r="AC10" s="265">
        <f t="shared" ca="1" si="17"/>
        <v>738.62768578449663</v>
      </c>
      <c r="AD10" s="265">
        <f t="shared" ca="1" si="17"/>
        <v>1023.4594288136989</v>
      </c>
      <c r="AE10" s="265">
        <f t="shared" ca="1" si="17"/>
        <v>1644.607229226342</v>
      </c>
      <c r="AF10" s="268">
        <f t="shared" ca="1" si="17"/>
        <v>1963.9256629968097</v>
      </c>
      <c r="AG10" s="265">
        <f t="shared" si="17"/>
        <v>900.06200000000001</v>
      </c>
      <c r="AH10" s="265">
        <f t="shared" si="17"/>
        <v>1089.07502</v>
      </c>
      <c r="AI10" s="265">
        <f t="shared" si="17"/>
        <v>1317.7807742</v>
      </c>
      <c r="AJ10" s="268">
        <f t="shared" si="17"/>
        <v>1587.5682057999998</v>
      </c>
      <c r="AK10" s="265">
        <f t="shared" si="17"/>
        <v>1362.0060000000001</v>
      </c>
      <c r="AL10" s="265">
        <f t="shared" si="17"/>
        <v>1601.4906312786081</v>
      </c>
      <c r="AM10" s="265">
        <f t="shared" si="17"/>
        <v>1769.6471475628618</v>
      </c>
      <c r="AN10" s="268">
        <f t="shared" si="17"/>
        <v>1389.1730108368465</v>
      </c>
      <c r="AO10" s="265">
        <f t="shared" si="17"/>
        <v>1562.8196371914523</v>
      </c>
      <c r="AP10" s="265">
        <f t="shared" si="17"/>
        <v>1640.9606190510251</v>
      </c>
      <c r="AQ10" s="265">
        <f t="shared" si="17"/>
        <v>1727.2301809729086</v>
      </c>
      <c r="AR10" s="268">
        <f t="shared" si="17"/>
        <v>1608.2658362318257</v>
      </c>
      <c r="AS10" s="265">
        <f t="shared" si="17"/>
        <v>1787.1364437515058</v>
      </c>
      <c r="AT10" s="265">
        <f t="shared" si="17"/>
        <v>1865.8157616978358</v>
      </c>
      <c r="AU10" s="265">
        <f t="shared" si="17"/>
        <v>1935.9777126214726</v>
      </c>
      <c r="AV10" s="268">
        <f t="shared" si="17"/>
        <v>1890.1090509050769</v>
      </c>
      <c r="AW10" s="265">
        <f t="shared" ref="AW10:AZ10" si="18">AW86</f>
        <v>2287.7840410770004</v>
      </c>
      <c r="AX10" s="265">
        <f t="shared" si="18"/>
        <v>2512.6645782663281</v>
      </c>
      <c r="AY10" s="265">
        <f t="shared" si="18"/>
        <v>2728.6870537520549</v>
      </c>
      <c r="AZ10" s="265">
        <f t="shared" si="18"/>
        <v>3110.1457851424379</v>
      </c>
      <c r="BC10"/>
      <c r="BD10"/>
      <c r="BE10"/>
      <c r="BF10"/>
      <c r="BG10"/>
      <c r="BH10"/>
    </row>
    <row r="11" spans="1:60" s="265" customFormat="1" hidden="1" outlineLevel="1">
      <c r="A11" s="296"/>
      <c r="B11" s="267" t="s">
        <v>3</v>
      </c>
      <c r="F11" s="262"/>
      <c r="G11" s="265">
        <f t="shared" ref="G11:M11" si="19">G87</f>
        <v>1345.0419999999999</v>
      </c>
      <c r="H11" s="265">
        <f t="shared" si="19"/>
        <v>2873.5520000000001</v>
      </c>
      <c r="I11" s="265">
        <f t="shared" si="19"/>
        <v>5319</v>
      </c>
      <c r="J11" s="265">
        <f t="shared" si="19"/>
        <v>11237</v>
      </c>
      <c r="K11" s="265">
        <f t="shared" si="19"/>
        <v>17378</v>
      </c>
      <c r="L11" s="265">
        <f t="shared" ca="1" si="19"/>
        <v>25086.789113457951</v>
      </c>
      <c r="M11" s="265">
        <f t="shared" ca="1" si="19"/>
        <v>32581.779156902514</v>
      </c>
      <c r="N11" s="265">
        <f t="shared" ref="N11" ca="1" si="20">N87</f>
        <v>41537.038351479554</v>
      </c>
      <c r="Q11" s="265">
        <f t="shared" ref="Q11:AV11" si="21">Q87</f>
        <v>0</v>
      </c>
      <c r="R11" s="265">
        <f t="shared" si="21"/>
        <v>0</v>
      </c>
      <c r="S11" s="265">
        <f t="shared" si="21"/>
        <v>0</v>
      </c>
      <c r="T11" s="268">
        <f t="shared" si="21"/>
        <v>0</v>
      </c>
      <c r="U11" s="265">
        <f t="shared" si="21"/>
        <v>155.163449288208</v>
      </c>
      <c r="V11" s="265">
        <f t="shared" si="21"/>
        <v>244.02797718122903</v>
      </c>
      <c r="W11" s="265">
        <f t="shared" si="21"/>
        <v>359.96119003479174</v>
      </c>
      <c r="X11" s="268">
        <f t="shared" si="21"/>
        <v>585.88938349577109</v>
      </c>
      <c r="Y11" s="265">
        <f t="shared" si="21"/>
        <v>330.68507104082636</v>
      </c>
      <c r="Z11" s="265">
        <f t="shared" si="21"/>
        <v>515.05595436245801</v>
      </c>
      <c r="AA11" s="265">
        <f t="shared" si="21"/>
        <v>755.92432056784367</v>
      </c>
      <c r="AB11" s="268">
        <f t="shared" si="21"/>
        <v>1271.8866540288723</v>
      </c>
      <c r="AC11" s="265">
        <f t="shared" si="21"/>
        <v>795.67812787348771</v>
      </c>
      <c r="AD11" s="265">
        <f t="shared" si="21"/>
        <v>1030.7107769799331</v>
      </c>
      <c r="AE11" s="265">
        <f t="shared" si="21"/>
        <v>1381.6808558517662</v>
      </c>
      <c r="AF11" s="268">
        <f t="shared" si="21"/>
        <v>2110.5142392948128</v>
      </c>
      <c r="AG11" s="265">
        <f t="shared" si="21"/>
        <v>1925.405</v>
      </c>
      <c r="AH11" s="265">
        <f t="shared" si="21"/>
        <v>2899.2299999999996</v>
      </c>
      <c r="AI11" s="265">
        <f t="shared" si="21"/>
        <v>3257.6559999999999</v>
      </c>
      <c r="AJ11" s="268">
        <f t="shared" si="21"/>
        <v>3155.116</v>
      </c>
      <c r="AK11" s="265">
        <f t="shared" si="21"/>
        <v>3284.0340000000006</v>
      </c>
      <c r="AL11" s="265">
        <f t="shared" si="21"/>
        <v>4326.3190000000004</v>
      </c>
      <c r="AM11" s="265">
        <f t="shared" si="21"/>
        <v>4950.5829999999996</v>
      </c>
      <c r="AN11" s="268">
        <f t="shared" si="21"/>
        <v>4817.4139999999998</v>
      </c>
      <c r="AO11" s="265">
        <f t="shared" si="21"/>
        <v>5113.3945998747795</v>
      </c>
      <c r="AP11" s="265">
        <f t="shared" si="21"/>
        <v>6172.2678767450325</v>
      </c>
      <c r="AQ11" s="265">
        <f t="shared" si="21"/>
        <v>6973.8501308370242</v>
      </c>
      <c r="AR11" s="268">
        <f t="shared" si="21"/>
        <v>6827.2765060011143</v>
      </c>
      <c r="AS11" s="265">
        <f t="shared" si="21"/>
        <v>6880.4392926215614</v>
      </c>
      <c r="AT11" s="265">
        <f t="shared" si="21"/>
        <v>7996.2146101674343</v>
      </c>
      <c r="AU11" s="265">
        <f t="shared" si="21"/>
        <v>8876.671232227889</v>
      </c>
      <c r="AV11" s="268">
        <f t="shared" si="21"/>
        <v>8828.4540218856273</v>
      </c>
      <c r="AW11" s="265">
        <f t="shared" ref="AW11:AZ11" si="22">AW87</f>
        <v>8965.4944183851949</v>
      </c>
      <c r="AX11" s="265">
        <f t="shared" si="22"/>
        <v>10193.498094495686</v>
      </c>
      <c r="AY11" s="265">
        <f t="shared" si="22"/>
        <v>11139.241401344339</v>
      </c>
      <c r="AZ11" s="265">
        <f t="shared" si="22"/>
        <v>11238.80443725433</v>
      </c>
      <c r="BC11"/>
      <c r="BD11"/>
      <c r="BE11"/>
      <c r="BF11"/>
      <c r="BG11"/>
      <c r="BH11"/>
    </row>
    <row r="12" spans="1:60" s="265" customFormat="1" hidden="1" outlineLevel="1">
      <c r="A12" s="296"/>
      <c r="B12" s="267" t="s">
        <v>73</v>
      </c>
      <c r="F12" s="262"/>
      <c r="G12" s="265">
        <f t="shared" ref="G12:M12" si="23">G88</f>
        <v>-310.58100000000559</v>
      </c>
      <c r="H12" s="265">
        <f t="shared" si="23"/>
        <v>-1371.1490000000049</v>
      </c>
      <c r="I12" s="265">
        <f t="shared" si="23"/>
        <v>-1610.6899999999878</v>
      </c>
      <c r="J12" s="265">
        <f t="shared" si="23"/>
        <v>-957.15299999999115</v>
      </c>
      <c r="K12" s="265">
        <f t="shared" ca="1" si="23"/>
        <v>-853.42387385573238</v>
      </c>
      <c r="L12" s="265">
        <f t="shared" ca="1" si="23"/>
        <v>-1005.0874237609028</v>
      </c>
      <c r="M12" s="265">
        <f t="shared" ca="1" si="23"/>
        <v>-1196.295199973199</v>
      </c>
      <c r="N12" s="265">
        <f t="shared" ref="N12" ca="1" si="24">N88</f>
        <v>-1375.6519552523812</v>
      </c>
      <c r="Q12" s="265">
        <f t="shared" ref="Q12:AV12" si="25">Q88</f>
        <v>0</v>
      </c>
      <c r="R12" s="265">
        <f t="shared" si="25"/>
        <v>0</v>
      </c>
      <c r="S12" s="265">
        <f t="shared" si="25"/>
        <v>0</v>
      </c>
      <c r="T12" s="268">
        <f t="shared" si="25"/>
        <v>0</v>
      </c>
      <c r="U12" s="265">
        <f t="shared" ca="1" si="25"/>
        <v>-59.006197721034368</v>
      </c>
      <c r="V12" s="265">
        <f t="shared" ca="1" si="25"/>
        <v>-74.265949662280946</v>
      </c>
      <c r="W12" s="265">
        <f t="shared" ca="1" si="25"/>
        <v>-86.597377215801316</v>
      </c>
      <c r="X12" s="268">
        <f t="shared" ca="1" si="25"/>
        <v>-90.711475400881682</v>
      </c>
      <c r="Y12" s="265">
        <f t="shared" ca="1" si="25"/>
        <v>-93.03425258030984</v>
      </c>
      <c r="Z12" s="265">
        <f t="shared" ca="1" si="25"/>
        <v>-116.42874945496806</v>
      </c>
      <c r="AA12" s="265">
        <f t="shared" ca="1" si="25"/>
        <v>-129.55387085154507</v>
      </c>
      <c r="AB12" s="268">
        <f t="shared" ca="1" si="25"/>
        <v>-129.70115523024833</v>
      </c>
      <c r="AC12" s="265">
        <f t="shared" ca="1" si="25"/>
        <v>-121.07963465014473</v>
      </c>
      <c r="AD12" s="265">
        <f t="shared" ca="1" si="25"/>
        <v>-157.778143967902</v>
      </c>
      <c r="AE12" s="265">
        <f t="shared" ca="1" si="25"/>
        <v>-172.56551589596347</v>
      </c>
      <c r="AF12" s="268">
        <f t="shared" ca="1" si="25"/>
        <v>-168.37231230734324</v>
      </c>
      <c r="AG12" s="265">
        <f t="shared" si="25"/>
        <v>-251.59400000000096</v>
      </c>
      <c r="AH12" s="265">
        <f t="shared" ca="1" si="25"/>
        <v>-238.25138940557372</v>
      </c>
      <c r="AI12" s="265">
        <f t="shared" ca="1" si="25"/>
        <v>-232.52453324491216</v>
      </c>
      <c r="AJ12" s="268">
        <f t="shared" ca="1" si="25"/>
        <v>-235.19007734951083</v>
      </c>
      <c r="AK12" s="265">
        <f t="shared" si="25"/>
        <v>-175.79999999999927</v>
      </c>
      <c r="AL12" s="265">
        <f t="shared" si="25"/>
        <v>-211.06994777672298</v>
      </c>
      <c r="AM12" s="265">
        <f t="shared" si="25"/>
        <v>-233.48414928095735</v>
      </c>
      <c r="AN12" s="268">
        <f t="shared" si="25"/>
        <v>-233.06977679805277</v>
      </c>
      <c r="AO12" s="265">
        <f t="shared" ca="1" si="25"/>
        <v>-210.65327273175217</v>
      </c>
      <c r="AP12" s="265">
        <f t="shared" ca="1" si="25"/>
        <v>-251.53577725379463</v>
      </c>
      <c r="AQ12" s="265">
        <f t="shared" ca="1" si="25"/>
        <v>-271.10742874023106</v>
      </c>
      <c r="AR12" s="268">
        <f t="shared" ca="1" si="25"/>
        <v>-271.79094503512493</v>
      </c>
      <c r="AS12" s="265">
        <f t="shared" ca="1" si="25"/>
        <v>-260.48258830263086</v>
      </c>
      <c r="AT12" s="265">
        <f t="shared" ca="1" si="25"/>
        <v>-299.38908027417341</v>
      </c>
      <c r="AU12" s="265">
        <f t="shared" ca="1" si="25"/>
        <v>-325.87178420249359</v>
      </c>
      <c r="AV12" s="268">
        <f t="shared" ca="1" si="25"/>
        <v>-310.55174719390118</v>
      </c>
      <c r="AW12" s="265">
        <f t="shared" ref="AW12:AZ12" ca="1" si="26">AW88</f>
        <v>-303.47928237868211</v>
      </c>
      <c r="AX12" s="265">
        <f t="shared" ca="1" si="26"/>
        <v>-342.49246986385771</v>
      </c>
      <c r="AY12" s="265">
        <f t="shared" ca="1" si="26"/>
        <v>-370.48482340565067</v>
      </c>
      <c r="AZ12" s="265">
        <f t="shared" ca="1" si="26"/>
        <v>-359.19537960419058</v>
      </c>
      <c r="BC12"/>
      <c r="BD12"/>
      <c r="BE12"/>
      <c r="BF12"/>
      <c r="BG12"/>
      <c r="BH12"/>
    </row>
    <row r="13" spans="1:60" s="265" customFormat="1" hidden="1" outlineLevel="1">
      <c r="A13" s="296"/>
      <c r="B13" s="269" t="s">
        <v>87</v>
      </c>
      <c r="C13" s="266"/>
      <c r="D13" s="266"/>
      <c r="E13" s="266"/>
      <c r="F13" s="266"/>
      <c r="G13" s="266">
        <f>SUM(G8:G12)</f>
        <v>31943.923999999999</v>
      </c>
      <c r="H13" s="266">
        <f t="shared" ref="H13:N13" si="27">SUM(H8:H12)</f>
        <v>49052.317999999999</v>
      </c>
      <c r="I13" s="266">
        <f t="shared" si="27"/>
        <v>66381.729000000007</v>
      </c>
      <c r="J13" s="266">
        <f t="shared" ca="1" si="27"/>
        <v>70549.364000000001</v>
      </c>
      <c r="K13" s="266">
        <f t="shared" ca="1" si="27"/>
        <v>84809.434999999998</v>
      </c>
      <c r="L13" s="266">
        <f t="shared" ca="1" si="27"/>
        <v>105290.91053061458</v>
      </c>
      <c r="M13" s="266">
        <f t="shared" ca="1" si="27"/>
        <v>128598.91692662711</v>
      </c>
      <c r="N13" s="266">
        <f t="shared" ca="1" si="27"/>
        <v>154732.31113123751</v>
      </c>
      <c r="Q13" s="266">
        <f>SUM(Q8:Q12)</f>
        <v>4263.7269999999999</v>
      </c>
      <c r="R13" s="266">
        <f t="shared" ref="R13:AZ13" si="28">SUM(R8:R12)</f>
        <v>5456.232</v>
      </c>
      <c r="S13" s="266">
        <f t="shared" si="28"/>
        <v>6250.72</v>
      </c>
      <c r="T13" s="270">
        <f t="shared" si="28"/>
        <v>6335.3459999999995</v>
      </c>
      <c r="U13" s="266">
        <f t="shared" ca="1" si="28"/>
        <v>5968.5380000000005</v>
      </c>
      <c r="V13" s="266">
        <f t="shared" ca="1" si="28"/>
        <v>7560.8149999999996</v>
      </c>
      <c r="W13" s="266">
        <f t="shared" ca="1" si="28"/>
        <v>8891.6579999999994</v>
      </c>
      <c r="X13" s="270">
        <f t="shared" ca="1" si="28"/>
        <v>9522.9129999999986</v>
      </c>
      <c r="Y13" s="266">
        <f t="shared" ca="1" si="28"/>
        <v>9496.5519999999997</v>
      </c>
      <c r="Z13" s="266">
        <f t="shared" ca="1" si="28"/>
        <v>11985.782000000001</v>
      </c>
      <c r="AA13" s="266">
        <f t="shared" ca="1" si="28"/>
        <v>13519.755999999999</v>
      </c>
      <c r="AB13" s="270">
        <f t="shared" ca="1" si="28"/>
        <v>14050.228999999999</v>
      </c>
      <c r="AC13" s="266">
        <f t="shared" ca="1" si="28"/>
        <v>12724.616</v>
      </c>
      <c r="AD13" s="266">
        <f t="shared" ca="1" si="28"/>
        <v>16575.237999999998</v>
      </c>
      <c r="AE13" s="266">
        <f t="shared" ca="1" si="28"/>
        <v>18383.080999999998</v>
      </c>
      <c r="AF13" s="270">
        <f t="shared" ca="1" si="28"/>
        <v>18698.794000000002</v>
      </c>
      <c r="AG13" s="266">
        <f t="shared" si="28"/>
        <v>15820.572</v>
      </c>
      <c r="AH13" s="266">
        <f t="shared" ca="1" si="28"/>
        <v>18263.648000000001</v>
      </c>
      <c r="AI13" s="266">
        <f t="shared" ca="1" si="28"/>
        <v>18252.759000000002</v>
      </c>
      <c r="AJ13" s="270">
        <f t="shared" ca="1" si="28"/>
        <v>18212.385000000002</v>
      </c>
      <c r="AK13" s="266">
        <f t="shared" ca="1" si="28"/>
        <v>16890.785</v>
      </c>
      <c r="AL13" s="266">
        <f t="shared" ca="1" si="28"/>
        <v>20874</v>
      </c>
      <c r="AM13" s="266">
        <f t="shared" si="28"/>
        <v>23489</v>
      </c>
      <c r="AN13" s="270">
        <f t="shared" si="28"/>
        <v>23556</v>
      </c>
      <c r="AO13" s="266">
        <f t="shared" ca="1" si="28"/>
        <v>21895.130732176371</v>
      </c>
      <c r="AP13" s="266">
        <f t="shared" ca="1" si="28"/>
        <v>26210.917108090678</v>
      </c>
      <c r="AQ13" s="266">
        <f t="shared" ca="1" si="28"/>
        <v>28625.129337368326</v>
      </c>
      <c r="AR13" s="270">
        <f t="shared" ca="1" si="28"/>
        <v>28559.733352979201</v>
      </c>
      <c r="AS13" s="266">
        <f t="shared" ca="1" si="28"/>
        <v>27738.94339302912</v>
      </c>
      <c r="AT13" s="266">
        <f t="shared" ca="1" si="28"/>
        <v>31989.914142847658</v>
      </c>
      <c r="AU13" s="266">
        <f t="shared" ca="1" si="28"/>
        <v>35015.82257724426</v>
      </c>
      <c r="AV13" s="270">
        <f t="shared" ca="1" si="28"/>
        <v>33854.236813506061</v>
      </c>
      <c r="AW13" s="266">
        <f t="shared" ca="1" si="28"/>
        <v>33682.785314753222</v>
      </c>
      <c r="AX13" s="266">
        <f t="shared" ca="1" si="28"/>
        <v>38198.966460732583</v>
      </c>
      <c r="AY13" s="266">
        <f t="shared" ca="1" si="28"/>
        <v>41554.910243324426</v>
      </c>
      <c r="AZ13" s="266">
        <f t="shared" ca="1" si="28"/>
        <v>41295.649112427272</v>
      </c>
      <c r="BC13"/>
      <c r="BD13"/>
      <c r="BE13"/>
      <c r="BF13"/>
      <c r="BG13"/>
      <c r="BH13"/>
    </row>
    <row r="14" spans="1:60" hidden="1" outlineLevel="1">
      <c r="E14" s="106"/>
      <c r="F14" s="46"/>
      <c r="G14" s="46"/>
      <c r="H14" s="46"/>
      <c r="I14" s="46"/>
      <c r="J14" s="262"/>
      <c r="K14" s="262"/>
      <c r="L14" s="262"/>
      <c r="M14" s="278"/>
      <c r="N14" s="262"/>
      <c r="Q14" s="45"/>
      <c r="R14" s="45"/>
      <c r="S14" s="45"/>
      <c r="T14" s="214"/>
      <c r="U14" s="45"/>
      <c r="V14" s="45"/>
      <c r="W14" s="45"/>
      <c r="X14" s="214"/>
      <c r="Y14" s="45"/>
      <c r="Z14" s="45"/>
      <c r="AA14" s="45"/>
      <c r="AB14" s="214"/>
      <c r="AC14" s="45"/>
      <c r="AD14" s="45"/>
      <c r="AE14" s="45"/>
      <c r="AF14" s="214"/>
      <c r="AG14" s="45"/>
      <c r="AH14" s="45"/>
      <c r="AI14" s="45"/>
      <c r="AJ14" s="214"/>
      <c r="AK14" s="45"/>
      <c r="AL14" s="45"/>
      <c r="AM14" s="45"/>
      <c r="AN14" s="214"/>
      <c r="AO14" s="45"/>
      <c r="AP14" s="45"/>
      <c r="AQ14" s="45"/>
      <c r="AR14" s="214"/>
      <c r="AS14" s="45"/>
      <c r="AT14" s="45"/>
      <c r="AU14" s="45"/>
      <c r="AV14" s="214"/>
      <c r="AW14" s="45"/>
      <c r="AX14" s="45"/>
      <c r="AY14" s="45"/>
      <c r="AZ14" s="45"/>
    </row>
    <row r="15" spans="1:60" hidden="1" outlineLevel="1">
      <c r="B15" s="203" t="s">
        <v>388</v>
      </c>
      <c r="E15" s="106"/>
      <c r="F15" s="46"/>
      <c r="G15" s="46"/>
      <c r="H15" s="46"/>
      <c r="I15" s="46"/>
      <c r="J15" s="46"/>
      <c r="K15" s="263"/>
      <c r="L15" s="263"/>
      <c r="M15" s="263"/>
      <c r="N15" s="263"/>
      <c r="Q15" s="45"/>
      <c r="R15" s="45"/>
      <c r="S15" s="45"/>
      <c r="T15" s="214"/>
      <c r="U15" s="45"/>
      <c r="V15" s="45"/>
      <c r="W15" s="45"/>
      <c r="X15" s="214"/>
      <c r="Y15" s="45"/>
      <c r="Z15" s="45"/>
      <c r="AA15" s="45"/>
      <c r="AB15" s="214"/>
      <c r="AC15" s="45"/>
      <c r="AD15" s="45"/>
      <c r="AE15" s="45"/>
      <c r="AF15" s="214"/>
      <c r="AG15" s="45"/>
      <c r="AH15" s="45"/>
      <c r="AI15" s="45"/>
      <c r="AJ15" s="214"/>
      <c r="AK15" s="45"/>
      <c r="AL15" s="45"/>
      <c r="AM15" s="45"/>
      <c r="AN15" s="214"/>
      <c r="AO15" s="45"/>
      <c r="AP15" s="45"/>
      <c r="AQ15" s="45"/>
      <c r="AR15" s="214"/>
      <c r="AS15" s="45"/>
      <c r="AT15" s="45"/>
      <c r="AU15" s="45"/>
      <c r="AV15" s="214"/>
      <c r="AW15" s="45"/>
      <c r="AX15" s="45"/>
      <c r="AY15" s="45"/>
      <c r="AZ15" s="45"/>
    </row>
    <row r="16" spans="1:60" hidden="1" outlineLevel="1">
      <c r="B16" s="3" t="s">
        <v>18</v>
      </c>
      <c r="C16" s="58"/>
      <c r="D16" s="58"/>
      <c r="E16" s="58"/>
      <c r="F16" s="58"/>
      <c r="G16" s="4">
        <f>G7/G$13</f>
        <v>0.92631938393041513</v>
      </c>
      <c r="H16" s="4">
        <f t="shared" ref="H16:N16" si="29">H7/H$13</f>
        <v>0.89144531355276635</v>
      </c>
      <c r="I16" s="4">
        <f t="shared" si="29"/>
        <v>0.83859638546022197</v>
      </c>
      <c r="J16" s="4">
        <f t="shared" ca="1" si="29"/>
        <v>0.78491183846816825</v>
      </c>
      <c r="K16" s="4">
        <f t="shared" ca="1" si="29"/>
        <v>0.73296729407733252</v>
      </c>
      <c r="L16" s="4">
        <f t="shared" ca="1" si="29"/>
        <v>0.7091773847445183</v>
      </c>
      <c r="M16" s="4">
        <f t="shared" ca="1" si="29"/>
        <v>0.69778499030377072</v>
      </c>
      <c r="N16" s="4">
        <f t="shared" ca="1" si="29"/>
        <v>0.67168675060131433</v>
      </c>
      <c r="Q16" s="4">
        <f t="shared" ref="Q16:AV16" si="30">Q7/Q$13</f>
        <v>0.97871111353986773</v>
      </c>
      <c r="R16" s="4">
        <f t="shared" si="30"/>
        <v>0.98060071492561174</v>
      </c>
      <c r="S16" s="4">
        <f t="shared" si="30"/>
        <v>0.9761917027158471</v>
      </c>
      <c r="T16" s="215">
        <f t="shared" si="30"/>
        <v>0.97098027479477844</v>
      </c>
      <c r="U16" s="4">
        <f t="shared" ca="1" si="30"/>
        <v>0.94215343032276777</v>
      </c>
      <c r="V16" s="4">
        <f t="shared" ca="1" si="30"/>
        <v>0.9409975118844689</v>
      </c>
      <c r="W16" s="4">
        <f t="shared" ca="1" si="30"/>
        <v>0.9272750065246782</v>
      </c>
      <c r="X16" s="215">
        <f t="shared" ca="1" si="30"/>
        <v>0.90384918107560464</v>
      </c>
      <c r="Y16" s="4">
        <f t="shared" ca="1" si="30"/>
        <v>0.91123274310077751</v>
      </c>
      <c r="Z16" s="4">
        <f t="shared" ca="1" si="30"/>
        <v>0.90628555447091741</v>
      </c>
      <c r="AA16" s="4">
        <f t="shared" ca="1" si="30"/>
        <v>0.89727149213581658</v>
      </c>
      <c r="AB16" s="215">
        <f t="shared" ca="1" si="30"/>
        <v>0.85980500004456362</v>
      </c>
      <c r="AC16" s="4">
        <f t="shared" ca="1" si="30"/>
        <v>0.8889376167416102</v>
      </c>
      <c r="AD16" s="4">
        <f t="shared" ca="1" si="30"/>
        <v>0.88558884874981991</v>
      </c>
      <c r="AE16" s="4">
        <f t="shared" ca="1" si="30"/>
        <v>0.84476364058983655</v>
      </c>
      <c r="AF16" s="215">
        <f t="shared" ca="1" si="30"/>
        <v>0.79110590822144577</v>
      </c>
      <c r="AG16" s="4">
        <f t="shared" si="30"/>
        <v>0.83730847405517328</v>
      </c>
      <c r="AH16" s="4">
        <f t="shared" ca="1" si="30"/>
        <v>0.7946711615010088</v>
      </c>
      <c r="AI16" s="4">
        <f t="shared" ca="1" si="30"/>
        <v>0.76206817605190058</v>
      </c>
      <c r="AJ16" s="215">
        <f t="shared" ca="1" si="30"/>
        <v>0.75250390717907134</v>
      </c>
      <c r="AK16" s="4">
        <f t="shared" ca="1" si="30"/>
        <v>0.7353444496510968</v>
      </c>
      <c r="AL16" s="4">
        <f t="shared" ca="1" si="30"/>
        <v>0.72613108730948139</v>
      </c>
      <c r="AM16" s="4">
        <f t="shared" si="30"/>
        <v>0.72383898853582951</v>
      </c>
      <c r="AN16" s="215">
        <f t="shared" si="30"/>
        <v>0.74641207191209058</v>
      </c>
      <c r="AO16" s="4">
        <f t="shared" ca="1" si="30"/>
        <v>0.70470324916430382</v>
      </c>
      <c r="AP16" s="4">
        <f t="shared" ca="1" si="30"/>
        <v>0.71150598480172411</v>
      </c>
      <c r="AQ16" s="4">
        <f t="shared" ca="1" si="30"/>
        <v>0.70550446135225331</v>
      </c>
      <c r="AR16" s="215">
        <f t="shared" ca="1" si="30"/>
        <v>0.714151694054727</v>
      </c>
      <c r="AS16" s="4">
        <f t="shared" ca="1" si="30"/>
        <v>0.69692093065869387</v>
      </c>
      <c r="AT16" s="4">
        <f t="shared" ca="1" si="30"/>
        <v>0.70107324299496065</v>
      </c>
      <c r="AU16" s="4">
        <f t="shared" ca="1" si="30"/>
        <v>0.70051318550311836</v>
      </c>
      <c r="AV16" s="215">
        <f t="shared" ca="1" si="30"/>
        <v>0.69256399478352593</v>
      </c>
      <c r="AW16" s="4">
        <f t="shared" ref="AW16:AZ16" ca="1" si="31">AW7/AW$13</f>
        <v>0.67491408223038352</v>
      </c>
      <c r="AX16" s="4">
        <f t="shared" ca="1" si="31"/>
        <v>0.67633495488398487</v>
      </c>
      <c r="AY16" s="4">
        <f t="shared" ca="1" si="31"/>
        <v>0.67519016278325272</v>
      </c>
      <c r="AZ16" s="4">
        <f t="shared" ca="1" si="31"/>
        <v>0.66122932697569381</v>
      </c>
    </row>
    <row r="17" spans="1:60" s="202" customFormat="1" hidden="1" outlineLevel="1">
      <c r="A17" s="296"/>
      <c r="B17" s="271" t="str">
        <f>B8</f>
        <v xml:space="preserve">     Core Search</v>
      </c>
      <c r="C17" s="200"/>
      <c r="D17" s="200"/>
      <c r="E17" s="200"/>
      <c r="F17" s="200"/>
      <c r="G17" s="4">
        <f t="shared" ref="G17:N17" si="32">G8/G$13</f>
        <v>0.92631938393041513</v>
      </c>
      <c r="H17" s="4">
        <f t="shared" si="32"/>
        <v>0.89144531355276635</v>
      </c>
      <c r="I17" s="4">
        <f t="shared" si="32"/>
        <v>0.83859638546022197</v>
      </c>
      <c r="J17" s="4">
        <f t="shared" ca="1" si="32"/>
        <v>0.78379443638702118</v>
      </c>
      <c r="K17" s="4">
        <f t="shared" ca="1" si="32"/>
        <v>0.67416818907669795</v>
      </c>
      <c r="L17" s="4">
        <f t="shared" ca="1" si="32"/>
        <v>0.61053361695641573</v>
      </c>
      <c r="M17" s="4">
        <f t="shared" ca="1" si="32"/>
        <v>0.57202878897926335</v>
      </c>
      <c r="N17" s="4">
        <f t="shared" ca="1" si="32"/>
        <v>0.52485389147827222</v>
      </c>
      <c r="Q17" s="4">
        <f t="shared" ref="Q17:AZ17" si="33">Q8/Q$13</f>
        <v>0.97871111353986773</v>
      </c>
      <c r="R17" s="4">
        <f t="shared" si="33"/>
        <v>0.98060071492561174</v>
      </c>
      <c r="S17" s="4">
        <f t="shared" si="33"/>
        <v>0.9761917027158471</v>
      </c>
      <c r="T17" s="215">
        <f t="shared" si="33"/>
        <v>0.97098027479477844</v>
      </c>
      <c r="U17" s="4">
        <f t="shared" ca="1" si="33"/>
        <v>0.94215343032276777</v>
      </c>
      <c r="V17" s="4">
        <f t="shared" ca="1" si="33"/>
        <v>0.9409975118844689</v>
      </c>
      <c r="W17" s="4">
        <f t="shared" ca="1" si="33"/>
        <v>0.9272750065246782</v>
      </c>
      <c r="X17" s="215">
        <f t="shared" ca="1" si="33"/>
        <v>0.90384918107560464</v>
      </c>
      <c r="Y17" s="4">
        <f t="shared" ca="1" si="33"/>
        <v>0.91123274310077751</v>
      </c>
      <c r="Z17" s="4">
        <f t="shared" ca="1" si="33"/>
        <v>0.90628555447091741</v>
      </c>
      <c r="AA17" s="4">
        <f t="shared" ca="1" si="33"/>
        <v>0.89727149213581658</v>
      </c>
      <c r="AB17" s="215">
        <f t="shared" ca="1" si="33"/>
        <v>0.85980500004456362</v>
      </c>
      <c r="AC17" s="4">
        <f t="shared" ca="1" si="33"/>
        <v>0.8889376167416102</v>
      </c>
      <c r="AD17" s="4">
        <f t="shared" ca="1" si="33"/>
        <v>0.88558884874981991</v>
      </c>
      <c r="AE17" s="4">
        <f t="shared" ca="1" si="33"/>
        <v>0.84476364058983655</v>
      </c>
      <c r="AF17" s="215">
        <f t="shared" ca="1" si="33"/>
        <v>0.79110590822144577</v>
      </c>
      <c r="AG17" s="4">
        <f t="shared" si="33"/>
        <v>0.83730847405517328</v>
      </c>
      <c r="AH17" s="4">
        <f t="shared" ca="1" si="33"/>
        <v>0.7946711615010088</v>
      </c>
      <c r="AI17" s="4">
        <f t="shared" ca="1" si="33"/>
        <v>0.76206817605190058</v>
      </c>
      <c r="AJ17" s="215">
        <f t="shared" ca="1" si="33"/>
        <v>0.7481754237785061</v>
      </c>
      <c r="AK17" s="4">
        <f t="shared" ca="1" si="33"/>
        <v>0.71833224434219523</v>
      </c>
      <c r="AL17" s="4">
        <f t="shared" ca="1" si="33"/>
        <v>0.67710257713601263</v>
      </c>
      <c r="AM17" s="4">
        <f t="shared" si="33"/>
        <v>0.65302605482217624</v>
      </c>
      <c r="AN17" s="215">
        <f t="shared" si="33"/>
        <v>0.66097213092041118</v>
      </c>
      <c r="AO17" s="4">
        <f t="shared" ca="1" si="33"/>
        <v>0.61551562796827952</v>
      </c>
      <c r="AP17" s="4">
        <f t="shared" ca="1" si="33"/>
        <v>0.6223254509881081</v>
      </c>
      <c r="AQ17" s="4">
        <f t="shared" ca="1" si="33"/>
        <v>0.60469909640071318</v>
      </c>
      <c r="AR17" s="215">
        <f t="shared" ca="1" si="33"/>
        <v>0.6017400243083868</v>
      </c>
      <c r="AS17" s="4">
        <f t="shared" ca="1" si="33"/>
        <v>0.5743351594523679</v>
      </c>
      <c r="AT17" s="4">
        <f t="shared" ca="1" si="33"/>
        <v>0.58542817997586138</v>
      </c>
      <c r="AU17" s="4">
        <f t="shared" ca="1" si="33"/>
        <v>0.57378197550492738</v>
      </c>
      <c r="AV17" s="215">
        <f t="shared" ca="1" si="33"/>
        <v>0.55566419275682333</v>
      </c>
      <c r="AW17" s="4">
        <f t="shared" ca="1" si="33"/>
        <v>0.5301830001304223</v>
      </c>
      <c r="AX17" s="4">
        <f t="shared" ca="1" si="33"/>
        <v>0.53732106699511106</v>
      </c>
      <c r="AY17" s="4">
        <f t="shared" ca="1" si="33"/>
        <v>0.52716201669975538</v>
      </c>
      <c r="AZ17" s="4">
        <f t="shared" ca="1" si="33"/>
        <v>0.50665230378946091</v>
      </c>
      <c r="BC17"/>
      <c r="BD17"/>
      <c r="BE17"/>
      <c r="BF17"/>
      <c r="BG17"/>
      <c r="BH17"/>
    </row>
    <row r="18" spans="1:60" s="202" customFormat="1" hidden="1" outlineLevel="1">
      <c r="A18" s="296"/>
      <c r="B18" s="271" t="str">
        <f>B9</f>
        <v xml:space="preserve">     News Feed</v>
      </c>
      <c r="C18" s="200"/>
      <c r="D18" s="200"/>
      <c r="E18" s="200"/>
      <c r="F18" s="200"/>
      <c r="G18" s="4">
        <f t="shared" ref="G18:N18" si="34">G9/G$13</f>
        <v>0</v>
      </c>
      <c r="H18" s="4">
        <f t="shared" si="34"/>
        <v>0</v>
      </c>
      <c r="I18" s="4">
        <f t="shared" si="34"/>
        <v>0</v>
      </c>
      <c r="J18" s="4">
        <f t="shared" ca="1" si="34"/>
        <v>1.1174020811470825E-3</v>
      </c>
      <c r="K18" s="4">
        <f t="shared" ca="1" si="34"/>
        <v>5.8799105000634656E-2</v>
      </c>
      <c r="L18" s="4">
        <f t="shared" ca="1" si="34"/>
        <v>9.8643767788102618E-2</v>
      </c>
      <c r="M18" s="4">
        <f t="shared" ca="1" si="34"/>
        <v>0.12575620132450732</v>
      </c>
      <c r="N18" s="4">
        <f t="shared" ca="1" si="34"/>
        <v>0.14683285912304203</v>
      </c>
      <c r="Q18" s="4">
        <f t="shared" ref="Q18:AZ18" si="35">Q9/Q$13</f>
        <v>0</v>
      </c>
      <c r="R18" s="4">
        <f t="shared" si="35"/>
        <v>0</v>
      </c>
      <c r="S18" s="4">
        <f t="shared" si="35"/>
        <v>0</v>
      </c>
      <c r="T18" s="215">
        <f t="shared" si="35"/>
        <v>0</v>
      </c>
      <c r="U18" s="4">
        <f t="shared" ca="1" si="35"/>
        <v>0</v>
      </c>
      <c r="V18" s="4">
        <f t="shared" ca="1" si="35"/>
        <v>0</v>
      </c>
      <c r="W18" s="4">
        <f t="shared" ca="1" si="35"/>
        <v>0</v>
      </c>
      <c r="X18" s="215">
        <f t="shared" ca="1" si="35"/>
        <v>0</v>
      </c>
      <c r="Y18" s="4">
        <f t="shared" ca="1" si="35"/>
        <v>0</v>
      </c>
      <c r="Z18" s="4">
        <f t="shared" ca="1" si="35"/>
        <v>0</v>
      </c>
      <c r="AA18" s="4">
        <f t="shared" ca="1" si="35"/>
        <v>0</v>
      </c>
      <c r="AB18" s="215">
        <f t="shared" ca="1" si="35"/>
        <v>0</v>
      </c>
      <c r="AC18" s="4">
        <f t="shared" ca="1" si="35"/>
        <v>0</v>
      </c>
      <c r="AD18" s="4">
        <f t="shared" ca="1" si="35"/>
        <v>0</v>
      </c>
      <c r="AE18" s="4">
        <f t="shared" ca="1" si="35"/>
        <v>0</v>
      </c>
      <c r="AF18" s="215">
        <f t="shared" ca="1" si="35"/>
        <v>0</v>
      </c>
      <c r="AG18" s="4">
        <f t="shared" si="35"/>
        <v>0</v>
      </c>
      <c r="AH18" s="4">
        <f t="shared" ca="1" si="35"/>
        <v>0</v>
      </c>
      <c r="AI18" s="4">
        <f t="shared" ca="1" si="35"/>
        <v>0</v>
      </c>
      <c r="AJ18" s="215">
        <f t="shared" ca="1" si="35"/>
        <v>4.3284834005652226E-3</v>
      </c>
      <c r="AK18" s="4">
        <f t="shared" ca="1" si="35"/>
        <v>1.7012205308901577E-2</v>
      </c>
      <c r="AL18" s="4">
        <f t="shared" ca="1" si="35"/>
        <v>4.9028510173468653E-2</v>
      </c>
      <c r="AM18" s="4">
        <f t="shared" si="35"/>
        <v>7.0812933713653201E-2</v>
      </c>
      <c r="AN18" s="215">
        <f t="shared" si="35"/>
        <v>8.5439940991679411E-2</v>
      </c>
      <c r="AO18" s="4">
        <f t="shared" ca="1" si="35"/>
        <v>8.9187621196024289E-2</v>
      </c>
      <c r="AP18" s="4">
        <f t="shared" ca="1" si="35"/>
        <v>8.9180533813616084E-2</v>
      </c>
      <c r="AQ18" s="4">
        <f t="shared" ca="1" si="35"/>
        <v>0.10080536495154017</v>
      </c>
      <c r="AR18" s="215">
        <f t="shared" ca="1" si="35"/>
        <v>0.11241166974634018</v>
      </c>
      <c r="AS18" s="4">
        <f t="shared" ca="1" si="35"/>
        <v>0.12258577120632594</v>
      </c>
      <c r="AT18" s="4">
        <f t="shared" ca="1" si="35"/>
        <v>0.11564506301909919</v>
      </c>
      <c r="AU18" s="4">
        <f t="shared" ca="1" si="35"/>
        <v>0.1267312099981911</v>
      </c>
      <c r="AV18" s="215">
        <f t="shared" ca="1" si="35"/>
        <v>0.13689980202670257</v>
      </c>
      <c r="AW18" s="4">
        <f t="shared" ca="1" si="35"/>
        <v>0.14473108209996127</v>
      </c>
      <c r="AX18" s="4">
        <f t="shared" ca="1" si="35"/>
        <v>0.13901388788887384</v>
      </c>
      <c r="AY18" s="4">
        <f t="shared" ca="1" si="35"/>
        <v>0.14802814608349743</v>
      </c>
      <c r="AZ18" s="4">
        <f t="shared" ca="1" si="35"/>
        <v>0.15457702318623284</v>
      </c>
      <c r="BC18"/>
      <c r="BD18"/>
      <c r="BE18"/>
      <c r="BF18"/>
      <c r="BG18"/>
      <c r="BH18"/>
    </row>
    <row r="19" spans="1:60" hidden="1" outlineLevel="1">
      <c r="B19" s="3" t="s">
        <v>613</v>
      </c>
      <c r="C19" s="58"/>
      <c r="D19" s="58"/>
      <c r="E19" s="58"/>
      <c r="F19" s="58"/>
      <c r="G19" s="4">
        <f t="shared" ref="G19:N19" si="36">G10/G$13</f>
        <v>4.1296961512931218E-2</v>
      </c>
      <c r="H19" s="4">
        <f t="shared" si="36"/>
        <v>7.7926103308716216E-2</v>
      </c>
      <c r="I19" s="4">
        <f t="shared" si="36"/>
        <v>0.10554020067780999</v>
      </c>
      <c r="J19" s="4">
        <f t="shared" ca="1" si="36"/>
        <v>6.9376755827309788E-2</v>
      </c>
      <c r="K19" s="4">
        <f t="shared" ca="1" si="36"/>
        <v>7.218910006508493E-2</v>
      </c>
      <c r="L19" s="4">
        <f t="shared" ca="1" si="36"/>
        <v>6.2106750150534983E-2</v>
      </c>
      <c r="M19" s="4">
        <f t="shared" ca="1" si="36"/>
        <v>5.8157869037443785E-2</v>
      </c>
      <c r="N19" s="4">
        <f t="shared" ca="1" si="36"/>
        <v>6.8759274520329663E-2</v>
      </c>
      <c r="Q19" s="4">
        <f t="shared" ref="Q19:AZ19" si="37">Q10/Q$13</f>
        <v>2.1288886460132283E-2</v>
      </c>
      <c r="R19" s="4">
        <f t="shared" si="37"/>
        <v>1.9399285074388286E-2</v>
      </c>
      <c r="S19" s="4">
        <f t="shared" si="37"/>
        <v>2.3808297284152929E-2</v>
      </c>
      <c r="T19" s="215">
        <f t="shared" si="37"/>
        <v>2.9019725205221541E-2</v>
      </c>
      <c r="U19" s="4">
        <f t="shared" ca="1" si="37"/>
        <v>4.1735882006788724E-2</v>
      </c>
      <c r="V19" s="4">
        <f t="shared" ca="1" si="37"/>
        <v>3.6549613985037428E-2</v>
      </c>
      <c r="W19" s="4">
        <f t="shared" ca="1" si="37"/>
        <v>4.1981142011512623E-2</v>
      </c>
      <c r="X19" s="215">
        <f t="shared" ca="1" si="37"/>
        <v>4.4152243688552105E-2</v>
      </c>
      <c r="Y19" s="4">
        <f t="shared" ca="1" si="37"/>
        <v>6.374229852901428E-2</v>
      </c>
      <c r="Z19" s="4">
        <f t="shared" ca="1" si="37"/>
        <v>6.0456106197740722E-2</v>
      </c>
      <c r="AA19" s="4">
        <f t="shared" ca="1" si="37"/>
        <v>5.6398496455967333E-2</v>
      </c>
      <c r="AB19" s="215">
        <f t="shared" ca="1" si="37"/>
        <v>5.8901983393313172E-2</v>
      </c>
      <c r="AC19" s="4">
        <f t="shared" ca="1" si="37"/>
        <v>5.8047149382307227E-2</v>
      </c>
      <c r="AD19" s="4">
        <f t="shared" ca="1" si="37"/>
        <v>6.1746288579005562E-2</v>
      </c>
      <c r="AE19" s="4">
        <f t="shared" ca="1" si="37"/>
        <v>8.9463089958986858E-2</v>
      </c>
      <c r="AF19" s="215">
        <f t="shared" ca="1" si="37"/>
        <v>0.10502953628970989</v>
      </c>
      <c r="AG19" s="4">
        <f t="shared" si="37"/>
        <v>5.6891874705920872E-2</v>
      </c>
      <c r="AH19" s="4">
        <f t="shared" ca="1" si="37"/>
        <v>5.9630749563285491E-2</v>
      </c>
      <c r="AI19" s="4">
        <f t="shared" ca="1" si="37"/>
        <v>7.2196251218788338E-2</v>
      </c>
      <c r="AJ19" s="215">
        <f t="shared" ca="1" si="37"/>
        <v>8.7169703792227077E-2</v>
      </c>
      <c r="AK19" s="4">
        <f t="shared" ca="1" si="37"/>
        <v>8.0636039118371361E-2</v>
      </c>
      <c r="AL19" s="4">
        <f t="shared" ca="1" si="37"/>
        <v>7.6721789368525833E-2</v>
      </c>
      <c r="AM19" s="4">
        <f t="shared" si="37"/>
        <v>7.5339399189529643E-2</v>
      </c>
      <c r="AN19" s="215">
        <f t="shared" si="37"/>
        <v>5.897321322961651E-2</v>
      </c>
      <c r="AO19" s="4">
        <f t="shared" ca="1" si="37"/>
        <v>7.1377497412919461E-2</v>
      </c>
      <c r="AP19" s="4">
        <f t="shared" ca="1" si="37"/>
        <v>6.2605997809382266E-2</v>
      </c>
      <c r="AQ19" s="4">
        <f t="shared" ca="1" si="37"/>
        <v>6.0339646351156115E-2</v>
      </c>
      <c r="AR19" s="215">
        <f t="shared" ca="1" si="37"/>
        <v>5.6312354753272224E-2</v>
      </c>
      <c r="AS19" s="4">
        <f t="shared" ca="1" si="37"/>
        <v>6.4426983336381097E-2</v>
      </c>
      <c r="AT19" s="4">
        <f t="shared" ca="1" si="37"/>
        <v>5.8325125643233305E-2</v>
      </c>
      <c r="AU19" s="4">
        <f t="shared" ca="1" si="37"/>
        <v>5.5288654389047731E-2</v>
      </c>
      <c r="AV19" s="215">
        <f t="shared" ca="1" si="37"/>
        <v>5.5830797820585421E-2</v>
      </c>
      <c r="AW19" s="4">
        <f t="shared" ca="1" si="37"/>
        <v>6.7921462542319497E-2</v>
      </c>
      <c r="AX19" s="4">
        <f t="shared" ca="1" si="37"/>
        <v>6.5778339339345043E-2</v>
      </c>
      <c r="AY19" s="4">
        <f t="shared" ca="1" si="37"/>
        <v>6.5664611902041203E-2</v>
      </c>
      <c r="AZ19" s="4">
        <f t="shared" ca="1" si="37"/>
        <v>7.5314127565232744E-2</v>
      </c>
    </row>
    <row r="20" spans="1:60" hidden="1" outlineLevel="1">
      <c r="B20" s="3" t="s">
        <v>3</v>
      </c>
      <c r="C20" s="58"/>
      <c r="D20" s="58"/>
      <c r="E20" s="58"/>
      <c r="F20" s="58"/>
      <c r="G20" s="4">
        <f t="shared" ref="G20:N20" si="38">G11/G$13</f>
        <v>4.2106348612650092E-2</v>
      </c>
      <c r="H20" s="4">
        <f t="shared" si="38"/>
        <v>5.8581370201506076E-2</v>
      </c>
      <c r="I20" s="4">
        <f t="shared" si="38"/>
        <v>8.0127470015130209E-2</v>
      </c>
      <c r="J20" s="4">
        <f t="shared" ca="1" si="38"/>
        <v>0.15927854431118613</v>
      </c>
      <c r="K20" s="4">
        <f t="shared" ca="1" si="38"/>
        <v>0.2049064470244378</v>
      </c>
      <c r="L20" s="4">
        <f t="shared" ca="1" si="38"/>
        <v>0.2382616788764845</v>
      </c>
      <c r="M20" s="4">
        <f t="shared" ca="1" si="38"/>
        <v>0.25335967001566778</v>
      </c>
      <c r="N20" s="4">
        <f t="shared" ca="1" si="38"/>
        <v>0.2684445029470901</v>
      </c>
      <c r="Q20" s="4">
        <f t="shared" ref="Q20:AZ20" si="39">Q11/Q$13</f>
        <v>0</v>
      </c>
      <c r="R20" s="4">
        <f t="shared" si="39"/>
        <v>0</v>
      </c>
      <c r="S20" s="4">
        <f t="shared" si="39"/>
        <v>0</v>
      </c>
      <c r="T20" s="215">
        <f t="shared" si="39"/>
        <v>0</v>
      </c>
      <c r="U20" s="4">
        <f t="shared" ca="1" si="39"/>
        <v>2.5996893927492458E-2</v>
      </c>
      <c r="V20" s="4">
        <f t="shared" ca="1" si="39"/>
        <v>3.2275353540753088E-2</v>
      </c>
      <c r="W20" s="4">
        <f t="shared" ca="1" si="39"/>
        <v>4.0483022405359247E-2</v>
      </c>
      <c r="X20" s="215">
        <f t="shared" ca="1" si="39"/>
        <v>6.1524176845443319E-2</v>
      </c>
      <c r="Y20" s="4">
        <f t="shared" ca="1" si="39"/>
        <v>3.4821593252037833E-2</v>
      </c>
      <c r="Z20" s="4">
        <f t="shared" ca="1" si="39"/>
        <v>4.2972244477870361E-2</v>
      </c>
      <c r="AA20" s="4">
        <f t="shared" ca="1" si="39"/>
        <v>5.5912571245209139E-2</v>
      </c>
      <c r="AB20" s="215">
        <f t="shared" ca="1" si="39"/>
        <v>9.052426505140039E-2</v>
      </c>
      <c r="AC20" s="4">
        <f t="shared" ca="1" si="39"/>
        <v>6.2530620010339627E-2</v>
      </c>
      <c r="AD20" s="4">
        <f t="shared" ca="1" si="39"/>
        <v>6.2183769366082907E-2</v>
      </c>
      <c r="AE20" s="4">
        <f t="shared" ca="1" si="39"/>
        <v>7.5160461723024902E-2</v>
      </c>
      <c r="AF20" s="215">
        <f t="shared" ca="1" si="39"/>
        <v>0.11286900317179881</v>
      </c>
      <c r="AG20" s="4">
        <f t="shared" si="39"/>
        <v>0.12170261606217525</v>
      </c>
      <c r="AH20" s="4">
        <f t="shared" ca="1" si="39"/>
        <v>0.15874320398641056</v>
      </c>
      <c r="AI20" s="4">
        <f t="shared" ca="1" si="39"/>
        <v>0.17847471716467628</v>
      </c>
      <c r="AJ20" s="215">
        <f t="shared" ca="1" si="39"/>
        <v>0.17324013301937113</v>
      </c>
      <c r="AK20" s="4">
        <f t="shared" ca="1" si="39"/>
        <v>0.19442755324870931</v>
      </c>
      <c r="AL20" s="4">
        <f t="shared" ca="1" si="39"/>
        <v>0.20725874293379326</v>
      </c>
      <c r="AM20" s="4">
        <f t="shared" si="39"/>
        <v>0.21076176082421558</v>
      </c>
      <c r="AN20" s="215">
        <f t="shared" si="39"/>
        <v>0.20450899983019188</v>
      </c>
      <c r="AO20" s="4">
        <f t="shared" ca="1" si="39"/>
        <v>0.23354026346873102</v>
      </c>
      <c r="AP20" s="4">
        <f t="shared" ca="1" si="39"/>
        <v>0.23548462082770091</v>
      </c>
      <c r="AQ20" s="4">
        <f t="shared" ca="1" si="39"/>
        <v>0.24362685138100307</v>
      </c>
      <c r="AR20" s="215">
        <f t="shared" ca="1" si="39"/>
        <v>0.239052529714495</v>
      </c>
      <c r="AS20" s="4">
        <f t="shared" ca="1" si="39"/>
        <v>0.2480425874602937</v>
      </c>
      <c r="AT20" s="4">
        <f t="shared" ca="1" si="39"/>
        <v>0.24996048987381347</v>
      </c>
      <c r="AU20" s="4">
        <f t="shared" ca="1" si="39"/>
        <v>0.2535045753286565</v>
      </c>
      <c r="AV20" s="215">
        <f t="shared" ca="1" si="39"/>
        <v>0.26077840922893109</v>
      </c>
      <c r="AW20" s="4">
        <f t="shared" ca="1" si="39"/>
        <v>0.26617437764145546</v>
      </c>
      <c r="AX20" s="4">
        <f t="shared" ca="1" si="39"/>
        <v>0.26685271982356651</v>
      </c>
      <c r="AY20" s="4">
        <f t="shared" ca="1" si="39"/>
        <v>0.26806077395231048</v>
      </c>
      <c r="AZ20" s="4">
        <f t="shared" ca="1" si="39"/>
        <v>0.27215468648178215</v>
      </c>
    </row>
    <row r="21" spans="1:60" hidden="1" outlineLevel="1">
      <c r="B21" s="3" t="s">
        <v>73</v>
      </c>
      <c r="C21" s="58"/>
      <c r="D21" s="58"/>
      <c r="E21" s="58"/>
      <c r="F21" s="58"/>
      <c r="G21" s="272">
        <f t="shared" ref="G21:N21" si="40">G12/G$13</f>
        <v>-9.7226940559965516E-3</v>
      </c>
      <c r="H21" s="272">
        <f t="shared" si="40"/>
        <v>-2.7952787062988642E-2</v>
      </c>
      <c r="I21" s="272">
        <f t="shared" si="40"/>
        <v>-2.4264056153162079E-2</v>
      </c>
      <c r="J21" s="272">
        <f t="shared" ca="1" si="40"/>
        <v>-1.3567138606663996E-2</v>
      </c>
      <c r="K21" s="272">
        <f t="shared" ca="1" si="40"/>
        <v>-1.0062841166855225E-2</v>
      </c>
      <c r="L21" s="272">
        <f t="shared" ca="1" si="40"/>
        <v>-9.5458137715378737E-3</v>
      </c>
      <c r="M21" s="272">
        <f t="shared" ca="1" si="40"/>
        <v>-9.3025293568821613E-3</v>
      </c>
      <c r="N21" s="272">
        <f t="shared" ca="1" si="40"/>
        <v>-8.8905280687342058E-3</v>
      </c>
      <c r="Q21" s="272">
        <f t="shared" ref="Q21:AZ21" si="41">Q12/Q$13</f>
        <v>0</v>
      </c>
      <c r="R21" s="272">
        <f t="shared" si="41"/>
        <v>0</v>
      </c>
      <c r="S21" s="272">
        <f t="shared" si="41"/>
        <v>0</v>
      </c>
      <c r="T21" s="273">
        <f t="shared" si="41"/>
        <v>0</v>
      </c>
      <c r="U21" s="272">
        <f t="shared" ca="1" si="41"/>
        <v>-9.8862062570489392E-3</v>
      </c>
      <c r="V21" s="272">
        <f t="shared" ca="1" si="41"/>
        <v>-9.822479410259469E-3</v>
      </c>
      <c r="W21" s="272">
        <f t="shared" ca="1" si="41"/>
        <v>-9.7391709415500828E-3</v>
      </c>
      <c r="X21" s="273">
        <f t="shared" ca="1" si="41"/>
        <v>-9.5256016096000977E-3</v>
      </c>
      <c r="Y21" s="272">
        <f t="shared" ca="1" si="41"/>
        <v>-9.7966348818297258E-3</v>
      </c>
      <c r="Z21" s="272">
        <f t="shared" ca="1" si="41"/>
        <v>-9.7139051465284492E-3</v>
      </c>
      <c r="AA21" s="272">
        <f t="shared" ca="1" si="41"/>
        <v>-9.5825598369929949E-3</v>
      </c>
      <c r="AB21" s="273">
        <f t="shared" ca="1" si="41"/>
        <v>-9.2312484892771735E-3</v>
      </c>
      <c r="AC21" s="272">
        <f t="shared" ca="1" si="41"/>
        <v>-9.5153861342569968E-3</v>
      </c>
      <c r="AD21" s="272">
        <f t="shared" ca="1" si="41"/>
        <v>-9.518906694908515E-3</v>
      </c>
      <c r="AE21" s="272">
        <f t="shared" ca="1" si="41"/>
        <v>-9.3871922718484178E-3</v>
      </c>
      <c r="AF21" s="273">
        <f t="shared" ca="1" si="41"/>
        <v>-9.0044476829544851E-3</v>
      </c>
      <c r="AG21" s="272">
        <f t="shared" si="41"/>
        <v>-1.590296482326941E-2</v>
      </c>
      <c r="AH21" s="272">
        <f t="shared" ca="1" si="41"/>
        <v>-1.3045115050704751E-2</v>
      </c>
      <c r="AI21" s="272">
        <f t="shared" ca="1" si="41"/>
        <v>-1.2739144435365203E-2</v>
      </c>
      <c r="AJ21" s="273">
        <f t="shared" ca="1" si="41"/>
        <v>-1.2913743990669579E-2</v>
      </c>
      <c r="AK21" s="272">
        <f t="shared" ca="1" si="41"/>
        <v>-1.0408042018177324E-2</v>
      </c>
      <c r="AL21" s="272">
        <f t="shared" ca="1" si="41"/>
        <v>-1.0111619611800468E-2</v>
      </c>
      <c r="AM21" s="272">
        <f t="shared" si="41"/>
        <v>-9.9401485495745814E-3</v>
      </c>
      <c r="AN21" s="273">
        <f t="shared" si="41"/>
        <v>-9.8942849718989968E-3</v>
      </c>
      <c r="AO21" s="272">
        <f t="shared" ca="1" si="41"/>
        <v>-9.6210100459543264E-3</v>
      </c>
      <c r="AP21" s="272">
        <f t="shared" ca="1" si="41"/>
        <v>-9.5966034388072444E-3</v>
      </c>
      <c r="AQ21" s="272">
        <f t="shared" ca="1" si="41"/>
        <v>-9.4709590844124919E-3</v>
      </c>
      <c r="AR21" s="273">
        <f t="shared" ca="1" si="41"/>
        <v>-9.5165785224942626E-3</v>
      </c>
      <c r="AS21" s="272">
        <f t="shared" ca="1" si="41"/>
        <v>-9.3905014553687331E-3</v>
      </c>
      <c r="AT21" s="272">
        <f t="shared" ca="1" si="41"/>
        <v>-9.3588585120073283E-3</v>
      </c>
      <c r="AU21" s="272">
        <f t="shared" ca="1" si="41"/>
        <v>-9.3064152208227127E-3</v>
      </c>
      <c r="AV21" s="273">
        <f t="shared" ca="1" si="41"/>
        <v>-9.1732018330422781E-3</v>
      </c>
      <c r="AW21" s="272">
        <f t="shared" ca="1" si="41"/>
        <v>-9.0099224141584489E-3</v>
      </c>
      <c r="AX21" s="272">
        <f t="shared" ca="1" si="41"/>
        <v>-8.9660140468965279E-3</v>
      </c>
      <c r="AY21" s="272">
        <f t="shared" ca="1" si="41"/>
        <v>-8.9155486376045548E-3</v>
      </c>
      <c r="AZ21" s="272">
        <f t="shared" ca="1" si="41"/>
        <v>-8.6981410227087684E-3</v>
      </c>
    </row>
    <row r="22" spans="1:60" hidden="1" outlineLevel="1">
      <c r="B22" s="94" t="s">
        <v>87</v>
      </c>
      <c r="C22" s="91"/>
      <c r="D22" s="91"/>
      <c r="E22" s="91"/>
      <c r="F22" s="91"/>
      <c r="G22" s="4">
        <f t="shared" ref="G22:N22" si="42">G13/G$13</f>
        <v>1</v>
      </c>
      <c r="H22" s="4">
        <f t="shared" si="42"/>
        <v>1</v>
      </c>
      <c r="I22" s="4">
        <f t="shared" si="42"/>
        <v>1</v>
      </c>
      <c r="J22" s="4">
        <f t="shared" ca="1" si="42"/>
        <v>1</v>
      </c>
      <c r="K22" s="4">
        <f t="shared" ca="1" si="42"/>
        <v>1</v>
      </c>
      <c r="L22" s="4">
        <f t="shared" ca="1" si="42"/>
        <v>1</v>
      </c>
      <c r="M22" s="4">
        <f t="shared" ca="1" si="42"/>
        <v>1</v>
      </c>
      <c r="N22" s="4">
        <f t="shared" ca="1" si="42"/>
        <v>1</v>
      </c>
      <c r="Q22" s="4">
        <f t="shared" ref="Q22:AZ22" si="43">Q13/Q$13</f>
        <v>1</v>
      </c>
      <c r="R22" s="4">
        <f t="shared" si="43"/>
        <v>1</v>
      </c>
      <c r="S22" s="4">
        <f t="shared" si="43"/>
        <v>1</v>
      </c>
      <c r="T22" s="215">
        <f t="shared" si="43"/>
        <v>1</v>
      </c>
      <c r="U22" s="4">
        <f t="shared" ca="1" si="43"/>
        <v>1</v>
      </c>
      <c r="V22" s="4">
        <f t="shared" ca="1" si="43"/>
        <v>1</v>
      </c>
      <c r="W22" s="4">
        <f t="shared" ca="1" si="43"/>
        <v>1</v>
      </c>
      <c r="X22" s="215">
        <f t="shared" ca="1" si="43"/>
        <v>1</v>
      </c>
      <c r="Y22" s="4">
        <f t="shared" ca="1" si="43"/>
        <v>1</v>
      </c>
      <c r="Z22" s="4">
        <f t="shared" ca="1" si="43"/>
        <v>1</v>
      </c>
      <c r="AA22" s="4">
        <f t="shared" ca="1" si="43"/>
        <v>1</v>
      </c>
      <c r="AB22" s="215">
        <f t="shared" ca="1" si="43"/>
        <v>1</v>
      </c>
      <c r="AC22" s="4">
        <f t="shared" ca="1" si="43"/>
        <v>1</v>
      </c>
      <c r="AD22" s="4">
        <f t="shared" ca="1" si="43"/>
        <v>1</v>
      </c>
      <c r="AE22" s="4">
        <f t="shared" ca="1" si="43"/>
        <v>1</v>
      </c>
      <c r="AF22" s="215">
        <f t="shared" ca="1" si="43"/>
        <v>1</v>
      </c>
      <c r="AG22" s="4">
        <f t="shared" si="43"/>
        <v>1</v>
      </c>
      <c r="AH22" s="4">
        <f t="shared" ca="1" si="43"/>
        <v>1</v>
      </c>
      <c r="AI22" s="4">
        <f t="shared" ca="1" si="43"/>
        <v>1</v>
      </c>
      <c r="AJ22" s="215">
        <f t="shared" ca="1" si="43"/>
        <v>1</v>
      </c>
      <c r="AK22" s="4">
        <f t="shared" ca="1" si="43"/>
        <v>1</v>
      </c>
      <c r="AL22" s="4">
        <f t="shared" ca="1" si="43"/>
        <v>1</v>
      </c>
      <c r="AM22" s="4">
        <f t="shared" si="43"/>
        <v>1</v>
      </c>
      <c r="AN22" s="215">
        <f t="shared" si="43"/>
        <v>1</v>
      </c>
      <c r="AO22" s="4">
        <f t="shared" ca="1" si="43"/>
        <v>1</v>
      </c>
      <c r="AP22" s="4">
        <f t="shared" ca="1" si="43"/>
        <v>1</v>
      </c>
      <c r="AQ22" s="4">
        <f t="shared" ca="1" si="43"/>
        <v>1</v>
      </c>
      <c r="AR22" s="215">
        <f t="shared" ca="1" si="43"/>
        <v>1</v>
      </c>
      <c r="AS22" s="4">
        <f t="shared" ca="1" si="43"/>
        <v>1</v>
      </c>
      <c r="AT22" s="4">
        <f t="shared" ca="1" si="43"/>
        <v>1</v>
      </c>
      <c r="AU22" s="4">
        <f t="shared" ca="1" si="43"/>
        <v>1</v>
      </c>
      <c r="AV22" s="215">
        <f t="shared" ca="1" si="43"/>
        <v>1</v>
      </c>
      <c r="AW22" s="4">
        <f t="shared" ca="1" si="43"/>
        <v>1</v>
      </c>
      <c r="AX22" s="4">
        <f t="shared" ca="1" si="43"/>
        <v>1</v>
      </c>
      <c r="AY22" s="4">
        <f t="shared" ca="1" si="43"/>
        <v>1</v>
      </c>
      <c r="AZ22" s="4">
        <f t="shared" ca="1" si="43"/>
        <v>1</v>
      </c>
    </row>
    <row r="23" spans="1:60" hidden="1" outlineLevel="1">
      <c r="E23" s="106"/>
      <c r="F23" s="46"/>
      <c r="G23" s="46"/>
      <c r="H23" s="46"/>
      <c r="I23" s="46"/>
      <c r="J23" s="46"/>
      <c r="K23" s="46"/>
      <c r="L23" s="45"/>
      <c r="M23" s="45"/>
      <c r="N23" s="45"/>
      <c r="Q23" s="45"/>
      <c r="R23" s="45"/>
      <c r="S23" s="45"/>
      <c r="T23" s="214"/>
      <c r="U23" s="45"/>
      <c r="V23" s="45"/>
      <c r="W23" s="45"/>
      <c r="X23" s="214"/>
      <c r="Y23" s="45"/>
      <c r="Z23" s="45"/>
      <c r="AA23" s="45"/>
      <c r="AB23" s="214"/>
      <c r="AC23" s="45"/>
      <c r="AD23" s="45"/>
      <c r="AE23" s="45"/>
      <c r="AF23" s="214"/>
      <c r="AG23" s="45"/>
      <c r="AH23" s="45"/>
      <c r="AI23" s="45"/>
      <c r="AJ23" s="214"/>
      <c r="AK23" s="45"/>
      <c r="AL23" s="45"/>
      <c r="AM23" s="45"/>
      <c r="AN23" s="214"/>
      <c r="AO23" s="45"/>
      <c r="AP23" s="45"/>
      <c r="AQ23" s="45"/>
      <c r="AR23" s="214"/>
      <c r="AS23" s="45"/>
      <c r="AT23" s="45"/>
      <c r="AU23" s="45"/>
      <c r="AV23" s="214"/>
      <c r="AW23" s="45"/>
      <c r="AX23" s="45"/>
      <c r="AY23" s="45"/>
      <c r="AZ23" s="45"/>
    </row>
    <row r="24" spans="1:60" hidden="1" outlineLevel="1">
      <c r="B24" s="203" t="s">
        <v>389</v>
      </c>
      <c r="E24" s="106"/>
      <c r="F24" s="46"/>
      <c r="G24" s="46"/>
      <c r="H24" s="46"/>
      <c r="I24" s="46"/>
      <c r="J24" s="46"/>
      <c r="K24" s="46"/>
      <c r="L24" s="45"/>
      <c r="M24" s="45"/>
      <c r="N24" s="45"/>
      <c r="Q24" s="45"/>
      <c r="R24" s="45"/>
      <c r="S24" s="45"/>
      <c r="T24" s="214"/>
      <c r="U24" s="45"/>
      <c r="V24" s="45"/>
      <c r="W24" s="45"/>
      <c r="X24" s="214"/>
      <c r="Y24" s="45"/>
      <c r="Z24" s="45"/>
      <c r="AA24" s="45"/>
      <c r="AB24" s="214"/>
      <c r="AC24" s="45"/>
      <c r="AD24" s="45"/>
      <c r="AE24" s="45"/>
      <c r="AF24" s="214"/>
      <c r="AG24" s="45"/>
      <c r="AH24" s="45"/>
      <c r="AI24" s="45"/>
      <c r="AJ24" s="214"/>
      <c r="AK24" s="45"/>
      <c r="AL24" s="45"/>
      <c r="AM24" s="45"/>
      <c r="AN24" s="214"/>
      <c r="AO24" s="45"/>
      <c r="AP24" s="45"/>
      <c r="AQ24" s="45"/>
      <c r="AR24" s="214"/>
      <c r="AS24" s="45"/>
      <c r="AT24" s="45"/>
      <c r="AU24" s="45"/>
      <c r="AV24" s="214"/>
      <c r="AW24" s="45"/>
      <c r="AX24" s="45"/>
      <c r="AY24" s="45"/>
      <c r="AZ24" s="45"/>
    </row>
    <row r="25" spans="1:60" hidden="1" outlineLevel="1">
      <c r="B25" s="3" t="s">
        <v>18</v>
      </c>
      <c r="C25" s="3"/>
      <c r="D25" s="3"/>
      <c r="E25" s="3"/>
      <c r="F25" s="3"/>
      <c r="G25" s="3"/>
      <c r="H25" s="4">
        <f>IFERROR(H7/G7-1,"-")</f>
        <v>0.47776448587367004</v>
      </c>
      <c r="I25" s="4">
        <f t="shared" ref="I25:N25" si="44">IFERROR(I7/H7-1,"-")</f>
        <v>0.27305540438560594</v>
      </c>
      <c r="J25" s="4">
        <f t="shared" si="44"/>
        <v>-5.2534623537283665E-3</v>
      </c>
      <c r="K25" s="4">
        <f t="shared" ca="1" si="44"/>
        <v>0.12257349497786141</v>
      </c>
      <c r="L25" s="276">
        <f t="shared" ca="1" si="44"/>
        <v>0.20120461718499238</v>
      </c>
      <c r="M25" s="276">
        <f t="shared" ca="1" si="44"/>
        <v>0.2017473555321565</v>
      </c>
      <c r="N25" s="4">
        <f t="shared" ca="1" si="44"/>
        <v>0.15821413220817404</v>
      </c>
      <c r="Q25" s="4"/>
      <c r="R25" s="4"/>
      <c r="S25" s="4"/>
      <c r="T25" s="215"/>
      <c r="U25" s="4">
        <f>U7/Q7-1</f>
        <v>0.34755247914411602</v>
      </c>
      <c r="V25" s="4">
        <f t="shared" ref="V25:AV25" si="45">V7/R7-1</f>
        <v>0.32975628909298482</v>
      </c>
      <c r="W25" s="4">
        <f t="shared" si="45"/>
        <v>0.35122025578015892</v>
      </c>
      <c r="X25" s="215">
        <f t="shared" si="45"/>
        <v>0.39921689236313052</v>
      </c>
      <c r="Y25" s="4">
        <f t="shared" si="45"/>
        <v>0.53888324238602925</v>
      </c>
      <c r="Z25" s="4">
        <f t="shared" si="45"/>
        <v>0.52677255744812923</v>
      </c>
      <c r="AA25" s="4">
        <f t="shared" si="45"/>
        <v>0.47130062407237339</v>
      </c>
      <c r="AB25" s="215">
        <f t="shared" si="45"/>
        <v>0.40351669668066892</v>
      </c>
      <c r="AC25" s="4">
        <f t="shared" si="45"/>
        <v>0.30713577859320362</v>
      </c>
      <c r="AD25" s="4">
        <f t="shared" si="45"/>
        <v>0.35132708106233479</v>
      </c>
      <c r="AE25" s="4">
        <f t="shared" si="45"/>
        <v>0.28014979379906269</v>
      </c>
      <c r="AF25" s="215">
        <f t="shared" si="45"/>
        <v>0.22451710488035181</v>
      </c>
      <c r="AG25" s="4">
        <f t="shared" si="45"/>
        <v>0.17109384519806836</v>
      </c>
      <c r="AH25" s="4">
        <f t="shared" ca="1" si="45"/>
        <v>-1.1257803880816653E-2</v>
      </c>
      <c r="AI25" s="4">
        <f t="shared" ca="1" si="45"/>
        <v>-0.10428709460134766</v>
      </c>
      <c r="AJ25" s="215">
        <f t="shared" ca="1" si="45"/>
        <v>-7.3538542410252927E-2</v>
      </c>
      <c r="AK25" s="4">
        <f t="shared" si="45"/>
        <v>-6.2366782849070601E-2</v>
      </c>
      <c r="AL25" s="4">
        <f t="shared" ca="1" si="45"/>
        <v>4.434917572516528E-2</v>
      </c>
      <c r="AM25" s="4">
        <f t="shared" ca="1" si="45"/>
        <v>0.22231785124896053</v>
      </c>
      <c r="AN25" s="215">
        <f t="shared" ca="1" si="45"/>
        <v>0.28293489753072953</v>
      </c>
      <c r="AO25" s="4">
        <f t="shared" ca="1" si="45"/>
        <v>0.24226189493632444</v>
      </c>
      <c r="AP25" s="4">
        <f t="shared" ca="1" si="45"/>
        <v>0.23038227226654073</v>
      </c>
      <c r="AQ25" s="4">
        <f t="shared" ca="1" si="45"/>
        <v>0.18779289218111184</v>
      </c>
      <c r="AR25" s="215">
        <f t="shared" ca="1" si="45"/>
        <v>0.1600171731871094</v>
      </c>
      <c r="AS25" s="4">
        <f t="shared" ca="1" si="45"/>
        <v>0.2529092214385571</v>
      </c>
      <c r="AT25" s="4">
        <f t="shared" ca="1" si="45"/>
        <v>0.20258475005670884</v>
      </c>
      <c r="AU25" s="4">
        <f t="shared" ca="1" si="45"/>
        <v>0.21460041530781404</v>
      </c>
      <c r="AV25" s="215">
        <f t="shared" ca="1" si="45"/>
        <v>0.14955119781635529</v>
      </c>
      <c r="AW25" s="4">
        <f ca="1">AW7/AS7-1</f>
        <v>0.17593431821653871</v>
      </c>
      <c r="AX25" s="4">
        <f ca="1">AX7/AT7-1</f>
        <v>0.15195888636040356</v>
      </c>
      <c r="AY25" s="4">
        <f ca="1">AY7/AU7-1</f>
        <v>0.14384665750787051</v>
      </c>
      <c r="AZ25" s="4">
        <f ca="1">AZ7/AV7-1</f>
        <v>0.16461791616376731</v>
      </c>
    </row>
    <row r="26" spans="1:60" s="202" customFormat="1" hidden="1" outlineLevel="1">
      <c r="A26" s="296"/>
      <c r="B26" s="271" t="str">
        <f>B17</f>
        <v xml:space="preserve">     Core Search</v>
      </c>
      <c r="C26" s="3"/>
      <c r="D26" s="3"/>
      <c r="E26" s="3"/>
      <c r="F26" s="3"/>
      <c r="G26" s="3"/>
      <c r="H26" s="4">
        <f t="shared" ref="H26:N26" si="46">IFERROR(H8/G8-1,"-")</f>
        <v>0.47776448587367004</v>
      </c>
      <c r="I26" s="4">
        <f t="shared" si="46"/>
        <v>0.27305540438560594</v>
      </c>
      <c r="J26" s="4">
        <f t="shared" ca="1" si="46"/>
        <v>-6.6695855371281532E-3</v>
      </c>
      <c r="K26" s="4">
        <f t="shared" ca="1" si="46"/>
        <v>3.3991924416620689E-2</v>
      </c>
      <c r="L26" s="276">
        <f t="shared" ca="1" si="46"/>
        <v>0.12431508335517605</v>
      </c>
      <c r="M26" s="276">
        <f t="shared" ca="1" si="46"/>
        <v>0.14433909174004245</v>
      </c>
      <c r="N26" s="4">
        <f t="shared" ca="1" si="46"/>
        <v>0.10398770455312278</v>
      </c>
      <c r="Q26" s="4"/>
      <c r="R26" s="4"/>
      <c r="S26" s="4"/>
      <c r="T26" s="215"/>
      <c r="U26" s="4">
        <f t="shared" ref="U26" si="47">U8/Q8-1</f>
        <v>0.34755247914411602</v>
      </c>
      <c r="V26" s="4">
        <f t="shared" ref="V26" si="48">V8/R8-1</f>
        <v>0.32975628909298482</v>
      </c>
      <c r="W26" s="4">
        <f t="shared" ref="W26" si="49">W8/S8-1</f>
        <v>0.35122025578015892</v>
      </c>
      <c r="X26" s="215">
        <f t="shared" ref="X26" si="50">X8/T8-1</f>
        <v>0.39921689236313052</v>
      </c>
      <c r="Y26" s="4">
        <f t="shared" ref="Y26" si="51">Y8/U8-1</f>
        <v>0.53888324238602925</v>
      </c>
      <c r="Z26" s="4">
        <f t="shared" ref="Z26" si="52">Z8/V8-1</f>
        <v>0.52677255744812923</v>
      </c>
      <c r="AA26" s="4">
        <f t="shared" ref="AA26" si="53">AA8/W8-1</f>
        <v>0.47130062407237339</v>
      </c>
      <c r="AB26" s="215">
        <f t="shared" ref="AB26" si="54">AB8/X8-1</f>
        <v>0.40351669668066892</v>
      </c>
      <c r="AC26" s="4">
        <f t="shared" ref="AC26" si="55">AC8/Y8-1</f>
        <v>0.30713577859320362</v>
      </c>
      <c r="AD26" s="4">
        <f t="shared" ref="AD26" si="56">AD8/Z8-1</f>
        <v>0.35132708106233479</v>
      </c>
      <c r="AE26" s="4">
        <f t="shared" ref="AE26" si="57">AE8/AA8-1</f>
        <v>0.28014979379906269</v>
      </c>
      <c r="AF26" s="215">
        <f t="shared" ref="AF26" si="58">AF8/AB8-1</f>
        <v>0.22451710488035181</v>
      </c>
      <c r="AG26" s="4">
        <f t="shared" ref="AG26" si="59">AG8/AC8-1</f>
        <v>0.17109384519806836</v>
      </c>
      <c r="AH26" s="4">
        <f t="shared" ref="AH26" ca="1" si="60">AH8/AD8-1</f>
        <v>-1.1257803880816653E-2</v>
      </c>
      <c r="AI26" s="4">
        <f t="shared" ref="AI26" ca="1" si="61">AI8/AE8-1</f>
        <v>-0.10428709460134766</v>
      </c>
      <c r="AJ26" s="215">
        <f t="shared" ref="AJ26" ca="1" si="62">AJ8/AF8-1</f>
        <v>-7.8867648348684205E-2</v>
      </c>
      <c r="AK26" s="4">
        <f t="shared" ref="AK26" ca="1" si="63">AK8/AG8-1</f>
        <v>-8.4058941948368826E-2</v>
      </c>
      <c r="AL26" s="4">
        <f t="shared" ref="AL26" ca="1" si="64">AL8/AH8-1</f>
        <v>-2.6165480762571525E-2</v>
      </c>
      <c r="AM26" s="4">
        <f t="shared" ref="AM26" ca="1" si="65">AM8/AI8-1</f>
        <v>0.102738891910791</v>
      </c>
      <c r="AN26" s="215">
        <f t="shared" ref="AN26:AN27" ca="1" si="66">AN8/AJ8-1</f>
        <v>0.14265318165517349</v>
      </c>
      <c r="AO26" s="4">
        <f t="shared" ref="AO26:AO27" ca="1" si="67">AO8/AK8-1</f>
        <v>0.11073749240755437</v>
      </c>
      <c r="AP26" s="276">
        <f t="shared" ref="AP26:AP27" ca="1" si="68">AP8/AL8-1</f>
        <v>0.15408988208360541</v>
      </c>
      <c r="AQ26" s="276">
        <f t="shared" ref="AQ26:AQ27" ca="1" si="69">AQ8/AM8-1</f>
        <v>0.12847447450349003</v>
      </c>
      <c r="AR26" s="277">
        <f t="shared" ref="AR26:AR27" ca="1" si="70">AR8/AN8-1</f>
        <v>0.10376940938004364</v>
      </c>
      <c r="AS26" s="4">
        <f t="shared" ref="AS26:AS27" ca="1" si="71">AS8/AO8-1</f>
        <v>0.18213939655067723</v>
      </c>
      <c r="AT26" s="4">
        <f t="shared" ref="AT26:AT27" ca="1" si="72">AT8/AP8-1</f>
        <v>0.14811903858912689</v>
      </c>
      <c r="AU26" s="4">
        <f t="shared" ref="AU26:AU27" ca="1" si="73">AU8/AQ8-1</f>
        <v>0.16071195404432137</v>
      </c>
      <c r="AV26" s="215">
        <f t="shared" ref="AV26:AZ27" ca="1" si="74">AV8/AR8-1</f>
        <v>9.4617511888897221E-2</v>
      </c>
      <c r="AW26" s="4">
        <f t="shared" ca="1" si="74"/>
        <v>0.12092996159199854</v>
      </c>
      <c r="AX26" s="4">
        <f t="shared" ca="1" si="74"/>
        <v>9.5970293889882985E-2</v>
      </c>
      <c r="AY26" s="4">
        <f t="shared" ca="1" si="74"/>
        <v>9.032312895952499E-2</v>
      </c>
      <c r="AZ26" s="4">
        <f t="shared" ca="1" si="74"/>
        <v>0.11221533673892581</v>
      </c>
      <c r="BC26"/>
      <c r="BD26"/>
      <c r="BE26"/>
      <c r="BF26"/>
      <c r="BG26"/>
      <c r="BH26"/>
    </row>
    <row r="27" spans="1:60" s="202" customFormat="1" hidden="1" outlineLevel="1">
      <c r="A27" s="296"/>
      <c r="B27" s="271" t="str">
        <f>B18</f>
        <v xml:space="preserve">     News Feed</v>
      </c>
      <c r="C27" s="3"/>
      <c r="D27" s="3"/>
      <c r="E27" s="3"/>
      <c r="F27" s="3"/>
      <c r="G27" s="3"/>
      <c r="H27" s="183" t="str">
        <f t="shared" ref="H27:N27" si="75">IFERROR(H9/G9-1,"-")</f>
        <v>-</v>
      </c>
      <c r="I27" s="183" t="str">
        <f t="shared" si="75"/>
        <v>-</v>
      </c>
      <c r="J27" s="183" t="str">
        <f t="shared" ca="1" si="75"/>
        <v>-</v>
      </c>
      <c r="K27" s="183">
        <f t="shared" ca="1" si="75"/>
        <v>62.25754115232359</v>
      </c>
      <c r="L27" s="183">
        <f t="shared" ca="1" si="75"/>
        <v>1.0827907872540647</v>
      </c>
      <c r="M27" s="183">
        <f t="shared" ca="1" si="75"/>
        <v>0.55706301025732863</v>
      </c>
      <c r="N27" s="183">
        <f t="shared" ca="1" si="75"/>
        <v>0.40487455464052369</v>
      </c>
      <c r="Q27" s="4"/>
      <c r="R27" s="4"/>
      <c r="S27" s="4"/>
      <c r="T27" s="215"/>
      <c r="U27" s="4"/>
      <c r="V27" s="4"/>
      <c r="W27" s="4"/>
      <c r="X27" s="215"/>
      <c r="Y27" s="4"/>
      <c r="Z27" s="4"/>
      <c r="AA27" s="4"/>
      <c r="AB27" s="215"/>
      <c r="AC27" s="4"/>
      <c r="AD27" s="4"/>
      <c r="AE27" s="4"/>
      <c r="AF27" s="215"/>
      <c r="AG27" s="4"/>
      <c r="AH27" s="4"/>
      <c r="AI27" s="4"/>
      <c r="AJ27" s="215"/>
      <c r="AK27" s="4"/>
      <c r="AL27" s="4"/>
      <c r="AM27" s="4"/>
      <c r="AN27" s="215">
        <f t="shared" ca="1" si="66"/>
        <v>24.530534463204219</v>
      </c>
      <c r="AO27" s="4">
        <f t="shared" ca="1" si="67"/>
        <v>5.7958169772290491</v>
      </c>
      <c r="AP27" s="4">
        <f t="shared" ca="1" si="68"/>
        <v>1.2840095153942759</v>
      </c>
      <c r="AQ27" s="4">
        <f t="shared" ca="1" si="69"/>
        <v>0.73481827642730879</v>
      </c>
      <c r="AR27" s="215">
        <f t="shared" ca="1" si="70"/>
        <v>0.59515563268914562</v>
      </c>
      <c r="AS27" s="4">
        <f t="shared" ca="1" si="71"/>
        <v>0.74131705901647416</v>
      </c>
      <c r="AT27" s="4">
        <f t="shared" ca="1" si="72"/>
        <v>0.58266095057924927</v>
      </c>
      <c r="AU27" s="4">
        <f t="shared" ca="1" si="73"/>
        <v>0.53786003396128534</v>
      </c>
      <c r="AV27" s="215">
        <f t="shared" ca="1" si="74"/>
        <v>0.44361139263357763</v>
      </c>
      <c r="AW27" s="4">
        <f t="shared" ref="AW27:AZ27" ca="1" si="76">AW9/AS9-1</f>
        <v>0.43363907156314796</v>
      </c>
      <c r="AX27" s="4">
        <f t="shared" ca="1" si="76"/>
        <v>0.43538905565361197</v>
      </c>
      <c r="AY27" s="4">
        <f t="shared" ca="1" si="76"/>
        <v>0.38617714537192871</v>
      </c>
      <c r="AZ27" s="4">
        <f t="shared" ca="1" si="76"/>
        <v>0.37731535300009078</v>
      </c>
      <c r="BC27"/>
      <c r="BD27"/>
      <c r="BE27"/>
      <c r="BF27"/>
      <c r="BG27"/>
      <c r="BH27"/>
    </row>
    <row r="28" spans="1:60" hidden="1" outlineLevel="1">
      <c r="B28" s="3" t="s">
        <v>613</v>
      </c>
      <c r="C28" s="3"/>
      <c r="D28" s="3"/>
      <c r="E28" s="3"/>
      <c r="F28" s="3"/>
      <c r="G28" s="3"/>
      <c r="H28" s="4">
        <f t="shared" ref="H28:N28" si="77">IFERROR(H10/G10-1,"-")</f>
        <v>1.8975846487268297</v>
      </c>
      <c r="I28" s="4">
        <f t="shared" si="77"/>
        <v>0.8328375787713449</v>
      </c>
      <c r="J28" s="4">
        <f t="shared" si="77"/>
        <v>-0.30138064251468866</v>
      </c>
      <c r="K28" s="4">
        <f t="shared" ca="1" si="77"/>
        <v>0.25086000648041828</v>
      </c>
      <c r="L28" s="4">
        <f t="shared" ca="1" si="77"/>
        <v>6.8104852802104876E-2</v>
      </c>
      <c r="M28" s="4">
        <f t="shared" ca="1" si="77"/>
        <v>0.14371050499037552</v>
      </c>
      <c r="N28" s="4">
        <f t="shared" ca="1" si="77"/>
        <v>0.42254660022110602</v>
      </c>
      <c r="Q28" s="4"/>
      <c r="R28" s="4"/>
      <c r="S28" s="4"/>
      <c r="T28" s="215"/>
      <c r="U28" s="4">
        <f t="shared" ref="U28:AZ28" ca="1" si="78">U10/Q10-1</f>
        <v>1.7443229891046994</v>
      </c>
      <c r="V28" s="4">
        <f t="shared" ca="1" si="78"/>
        <v>1.6107954846361392</v>
      </c>
      <c r="W28" s="4">
        <f t="shared" ca="1" si="78"/>
        <v>1.5082950242630391</v>
      </c>
      <c r="X28" s="215">
        <f t="shared" ca="1" si="78"/>
        <v>1.2869620636436334</v>
      </c>
      <c r="Y28" s="4">
        <f t="shared" ca="1" si="78"/>
        <v>1.4300550461550263</v>
      </c>
      <c r="Z28" s="4">
        <f t="shared" ca="1" si="78"/>
        <v>1.6221355596017211</v>
      </c>
      <c r="AA28" s="4">
        <f t="shared" ca="1" si="78"/>
        <v>1.0426755060404087</v>
      </c>
      <c r="AB28" s="215">
        <f t="shared" ca="1" si="78"/>
        <v>0.96829743672050594</v>
      </c>
      <c r="AC28" s="4">
        <f t="shared" ca="1" si="78"/>
        <v>0.22020250313195677</v>
      </c>
      <c r="AD28" s="4">
        <f t="shared" ca="1" si="78"/>
        <v>0.41242073598567663</v>
      </c>
      <c r="AE28" s="4">
        <f t="shared" ca="1" si="78"/>
        <v>1.1568791643065928</v>
      </c>
      <c r="AF28" s="215">
        <f t="shared" ca="1" si="78"/>
        <v>1.3730764174457852</v>
      </c>
      <c r="AG28" s="4">
        <f t="shared" ca="1" si="78"/>
        <v>0.21855979314401663</v>
      </c>
      <c r="AH28" s="4">
        <f t="shared" ca="1" si="78"/>
        <v>6.4111570365184667E-2</v>
      </c>
      <c r="AI28" s="4">
        <f t="shared" ca="1" si="78"/>
        <v>-0.19872614519643583</v>
      </c>
      <c r="AJ28" s="215">
        <f t="shared" ca="1" si="78"/>
        <v>-0.19163528655280948</v>
      </c>
      <c r="AK28" s="4">
        <f t="shared" si="78"/>
        <v>0.51323575487022022</v>
      </c>
      <c r="AL28" s="4">
        <f t="shared" si="78"/>
        <v>0.47050533881367351</v>
      </c>
      <c r="AM28" s="4">
        <f t="shared" si="78"/>
        <v>0.34289950362736277</v>
      </c>
      <c r="AN28" s="215">
        <f t="shared" si="78"/>
        <v>-0.12496798199808923</v>
      </c>
      <c r="AO28" s="4">
        <f t="shared" si="78"/>
        <v>0.14743961274139195</v>
      </c>
      <c r="AP28" s="4">
        <f t="shared" si="78"/>
        <v>2.4645781250000054E-2</v>
      </c>
      <c r="AQ28" s="4">
        <f t="shared" si="78"/>
        <v>-2.3969166196984193E-2</v>
      </c>
      <c r="AR28" s="215">
        <f t="shared" si="78"/>
        <v>0.15771457096117669</v>
      </c>
      <c r="AS28" s="4">
        <f t="shared" si="78"/>
        <v>0.14353339388745701</v>
      </c>
      <c r="AT28" s="4">
        <f t="shared" si="78"/>
        <v>0.13702653192058034</v>
      </c>
      <c r="AU28" s="4">
        <f t="shared" si="78"/>
        <v>0.12085681106555324</v>
      </c>
      <c r="AV28" s="215">
        <f t="shared" si="78"/>
        <v>0.1752466590558257</v>
      </c>
      <c r="AW28" s="4">
        <f t="shared" si="78"/>
        <v>0.2801395489840437</v>
      </c>
      <c r="AX28" s="4">
        <f t="shared" si="78"/>
        <v>0.34668418492717601</v>
      </c>
      <c r="AY28" s="4">
        <f t="shared" si="78"/>
        <v>0.40946201806072913</v>
      </c>
      <c r="AZ28" s="4">
        <f t="shared" si="78"/>
        <v>0.64548483784739696</v>
      </c>
    </row>
    <row r="29" spans="1:60" hidden="1" outlineLevel="1">
      <c r="B29" s="3" t="s">
        <v>3</v>
      </c>
      <c r="C29" s="3"/>
      <c r="D29" s="3"/>
      <c r="E29" s="3"/>
      <c r="F29" s="3"/>
      <c r="G29" s="3"/>
      <c r="H29" s="4">
        <f t="shared" ref="H29:N31" si="79">IFERROR(H11/G11-1,"-")</f>
        <v>1.1364031755142219</v>
      </c>
      <c r="I29" s="4">
        <f t="shared" si="79"/>
        <v>0.85101922637905969</v>
      </c>
      <c r="J29" s="4">
        <f t="shared" si="79"/>
        <v>1.1126151532242905</v>
      </c>
      <c r="K29" s="4">
        <f t="shared" si="79"/>
        <v>0.54649817566966274</v>
      </c>
      <c r="L29" s="4">
        <f t="shared" ca="1" si="79"/>
        <v>0.44359472398768274</v>
      </c>
      <c r="M29" s="4">
        <f t="shared" ca="1" si="79"/>
        <v>0.29876242868497793</v>
      </c>
      <c r="N29" s="4">
        <f t="shared" ca="1" si="79"/>
        <v>0.27485482457700128</v>
      </c>
      <c r="Q29" s="4"/>
      <c r="R29" s="4"/>
      <c r="S29" s="4"/>
      <c r="T29" s="215"/>
      <c r="U29" s="4"/>
      <c r="V29" s="4"/>
      <c r="W29" s="4"/>
      <c r="X29" s="215"/>
      <c r="Y29" s="4">
        <f t="shared" ref="Y29:AH31" si="80">Y11/U11-1</f>
        <v>1.1312046912968281</v>
      </c>
      <c r="Z29" s="4">
        <f t="shared" si="80"/>
        <v>1.1106430513086138</v>
      </c>
      <c r="AA29" s="4">
        <f t="shared" si="80"/>
        <v>1.1000161725623268</v>
      </c>
      <c r="AB29" s="215">
        <f t="shared" si="80"/>
        <v>1.1708648250972322</v>
      </c>
      <c r="AC29" s="4">
        <f t="shared" si="80"/>
        <v>1.4061507384324989</v>
      </c>
      <c r="AD29" s="4">
        <f t="shared" si="80"/>
        <v>1.0011627246514574</v>
      </c>
      <c r="AE29" s="4">
        <f t="shared" si="80"/>
        <v>0.82780315205874011</v>
      </c>
      <c r="AF29" s="215">
        <f t="shared" si="80"/>
        <v>0.65935717039680752</v>
      </c>
      <c r="AG29" s="4">
        <f t="shared" si="80"/>
        <v>1.4198289893248619</v>
      </c>
      <c r="AH29" s="4">
        <f t="shared" si="80"/>
        <v>1.8128453342604804</v>
      </c>
      <c r="AI29" s="4">
        <f t="shared" ref="AI29:AR31" si="81">AI11/AE11-1</f>
        <v>1.3577485250685837</v>
      </c>
      <c r="AJ29" s="215">
        <f t="shared" si="81"/>
        <v>0.49495129729815068</v>
      </c>
      <c r="AK29" s="4">
        <f t="shared" si="81"/>
        <v>0.70563284088282763</v>
      </c>
      <c r="AL29" s="4">
        <f t="shared" si="81"/>
        <v>0.49223035081728628</v>
      </c>
      <c r="AM29" s="4">
        <f t="shared" si="81"/>
        <v>0.51967641764507966</v>
      </c>
      <c r="AN29" s="215">
        <f t="shared" si="81"/>
        <v>0.52685796655336903</v>
      </c>
      <c r="AO29" s="4">
        <f t="shared" si="81"/>
        <v>0.55704679058584006</v>
      </c>
      <c r="AP29" s="4">
        <f t="shared" si="81"/>
        <v>0.42667886412098421</v>
      </c>
      <c r="AQ29" s="4">
        <f t="shared" si="81"/>
        <v>0.40869269959457788</v>
      </c>
      <c r="AR29" s="215">
        <f t="shared" si="81"/>
        <v>0.41720776042937446</v>
      </c>
      <c r="AS29" s="4">
        <f t="shared" ref="AS29:AZ31" si="82">AS11/AO11-1</f>
        <v>0.34557174460779039</v>
      </c>
      <c r="AT29" s="4">
        <f t="shared" si="82"/>
        <v>0.29550673591053966</v>
      </c>
      <c r="AU29" s="4">
        <f t="shared" si="82"/>
        <v>0.27285087371994932</v>
      </c>
      <c r="AV29" s="215">
        <f t="shared" si="82"/>
        <v>0.29311505314388486</v>
      </c>
      <c r="AW29" s="4">
        <f t="shared" si="82"/>
        <v>0.30304098867634854</v>
      </c>
      <c r="AX29" s="4">
        <f t="shared" si="82"/>
        <v>0.27479045916730871</v>
      </c>
      <c r="AY29" s="4">
        <f t="shared" si="82"/>
        <v>0.25488948615128382</v>
      </c>
      <c r="AZ29" s="4">
        <f t="shared" si="82"/>
        <v>0.27302066810264569</v>
      </c>
    </row>
    <row r="30" spans="1:60" hidden="1" outlineLevel="1">
      <c r="B30" s="3" t="s">
        <v>73</v>
      </c>
      <c r="C30" s="3"/>
      <c r="D30" s="3"/>
      <c r="E30" s="3"/>
      <c r="F30" s="3"/>
      <c r="G30" s="3"/>
      <c r="H30" s="4">
        <f t="shared" ref="H30:N30" si="83">IFERROR(H12/G12-1,"-")</f>
        <v>3.41478712477576</v>
      </c>
      <c r="I30" s="4">
        <f t="shared" si="83"/>
        <v>0.17470092601167497</v>
      </c>
      <c r="J30" s="4">
        <f t="shared" si="83"/>
        <v>-0.40574970975172231</v>
      </c>
      <c r="K30" s="4">
        <f t="shared" ca="1" si="83"/>
        <v>-0.10837256545636875</v>
      </c>
      <c r="L30" s="4">
        <f t="shared" ca="1" si="83"/>
        <v>0.17771186692957275</v>
      </c>
      <c r="M30" s="4">
        <f t="shared" ca="1" si="83"/>
        <v>0.19023994499585162</v>
      </c>
      <c r="N30" s="4">
        <f t="shared" ca="1" si="83"/>
        <v>0.14992683685699015</v>
      </c>
      <c r="Q30" s="4"/>
      <c r="R30" s="4"/>
      <c r="S30" s="4"/>
      <c r="T30" s="215"/>
      <c r="U30" s="4"/>
      <c r="V30" s="4"/>
      <c r="W30" s="4"/>
      <c r="X30" s="215"/>
      <c r="Y30" s="4">
        <f t="shared" ca="1" si="80"/>
        <v>0.57668611389181645</v>
      </c>
      <c r="Z30" s="4">
        <f t="shared" ca="1" si="80"/>
        <v>0.567727201825593</v>
      </c>
      <c r="AA30" s="4">
        <f t="shared" ca="1" si="80"/>
        <v>0.49604843722571235</v>
      </c>
      <c r="AB30" s="215">
        <f t="shared" ca="1" si="80"/>
        <v>0.42982080995882121</v>
      </c>
      <c r="AC30" s="4">
        <f t="shared" ca="1" si="80"/>
        <v>0.30145222100457358</v>
      </c>
      <c r="AD30" s="4">
        <f t="shared" ca="1" si="80"/>
        <v>0.3551476306883028</v>
      </c>
      <c r="AE30" s="4">
        <f t="shared" ca="1" si="80"/>
        <v>0.33199814688443507</v>
      </c>
      <c r="AF30" s="215">
        <f t="shared" ca="1" si="80"/>
        <v>0.29815584146837404</v>
      </c>
      <c r="AG30" s="4">
        <f t="shared" ca="1" si="80"/>
        <v>1.0779216977898294</v>
      </c>
      <c r="AH30" s="4">
        <f t="shared" ca="1" si="80"/>
        <v>0.51004051267102635</v>
      </c>
      <c r="AI30" s="4">
        <f t="shared" ca="1" si="81"/>
        <v>0.34745654157865968</v>
      </c>
      <c r="AJ30" s="215">
        <f t="shared" ca="1" si="81"/>
        <v>0.3968453252587032</v>
      </c>
      <c r="AK30" s="4">
        <f t="shared" si="81"/>
        <v>-0.30125519686479563</v>
      </c>
      <c r="AL30" s="4">
        <f t="shared" ca="1" si="81"/>
        <v>-0.11408723238369012</v>
      </c>
      <c r="AM30" s="4">
        <f t="shared" ca="1" si="81"/>
        <v>4.1269453276762125E-3</v>
      </c>
      <c r="AN30" s="215">
        <f t="shared" ca="1" si="81"/>
        <v>-9.0152636342184511E-3</v>
      </c>
      <c r="AO30" s="4">
        <f t="shared" ca="1" si="81"/>
        <v>0.19825524875854961</v>
      </c>
      <c r="AP30" s="4">
        <f t="shared" ca="1" si="81"/>
        <v>0.19171762680245608</v>
      </c>
      <c r="AQ30" s="4">
        <f t="shared" ca="1" si="81"/>
        <v>0.16113847374710066</v>
      </c>
      <c r="AR30" s="215">
        <f t="shared" ca="1" si="81"/>
        <v>0.16613551859460007</v>
      </c>
      <c r="AS30" s="4">
        <f t="shared" ca="1" si="82"/>
        <v>0.23654660060435817</v>
      </c>
      <c r="AT30" s="4">
        <f t="shared" ca="1" si="82"/>
        <v>0.19024451926015962</v>
      </c>
      <c r="AU30" s="4">
        <f t="shared" ca="1" si="82"/>
        <v>0.20200241548798159</v>
      </c>
      <c r="AV30" s="215">
        <f t="shared" ca="1" si="82"/>
        <v>0.14261255890540059</v>
      </c>
      <c r="AW30" s="4">
        <f t="shared" ca="1" si="82"/>
        <v>0.16506552071763569</v>
      </c>
      <c r="AX30" s="4">
        <f t="shared" ca="1" si="82"/>
        <v>0.14397114801318489</v>
      </c>
      <c r="AY30" s="4">
        <f t="shared" ca="1" si="82"/>
        <v>0.1369036577141487</v>
      </c>
      <c r="AZ30" s="4">
        <f t="shared" ca="1" si="82"/>
        <v>0.15663615758026128</v>
      </c>
    </row>
    <row r="31" spans="1:60" hidden="1" outlineLevel="1">
      <c r="B31" s="94" t="s">
        <v>87</v>
      </c>
      <c r="C31" s="94"/>
      <c r="D31" s="94"/>
      <c r="E31" s="94"/>
      <c r="F31" s="94"/>
      <c r="G31" s="94"/>
      <c r="H31" s="168">
        <f t="shared" si="79"/>
        <v>0.53557584221650423</v>
      </c>
      <c r="I31" s="168">
        <f t="shared" si="79"/>
        <v>0.3532842423471203</v>
      </c>
      <c r="J31" s="168">
        <f t="shared" ca="1" si="79"/>
        <v>6.2782863037508241E-2</v>
      </c>
      <c r="K31" s="168">
        <f t="shared" ca="1" si="79"/>
        <v>0.20212898021306036</v>
      </c>
      <c r="L31" s="168">
        <f t="shared" ca="1" si="79"/>
        <v>0.24149996436852317</v>
      </c>
      <c r="M31" s="168">
        <f t="shared" ca="1" si="79"/>
        <v>0.22136769715972249</v>
      </c>
      <c r="N31" s="168">
        <f t="shared" ca="1" si="79"/>
        <v>0.20321628540247327</v>
      </c>
      <c r="Q31" s="168"/>
      <c r="R31" s="168"/>
      <c r="S31" s="168"/>
      <c r="T31" s="216"/>
      <c r="U31" s="168">
        <f ca="1">U13/Q13-1</f>
        <v>0.39984056202472651</v>
      </c>
      <c r="V31" s="168">
        <f ca="1">V13/R13-1</f>
        <v>0.38572095174838594</v>
      </c>
      <c r="W31" s="168">
        <f ca="1">W13/S13-1</f>
        <v>0.42250140783781687</v>
      </c>
      <c r="X31" s="216">
        <f ca="1">X13/T13-1</f>
        <v>0.50314015998494788</v>
      </c>
      <c r="Y31" s="168">
        <f t="shared" ca="1" si="80"/>
        <v>0.59110187452940721</v>
      </c>
      <c r="Z31" s="168">
        <f t="shared" ca="1" si="80"/>
        <v>0.58525000281054385</v>
      </c>
      <c r="AA31" s="168">
        <f t="shared" ca="1" si="80"/>
        <v>0.52049887658747118</v>
      </c>
      <c r="AB31" s="216">
        <f t="shared" ca="1" si="80"/>
        <v>0.47541293299644782</v>
      </c>
      <c r="AC31" s="168">
        <f t="shared" ca="1" si="80"/>
        <v>0.33991958344460182</v>
      </c>
      <c r="AD31" s="168">
        <f t="shared" ca="1" si="80"/>
        <v>0.38290834924246053</v>
      </c>
      <c r="AE31" s="168">
        <f t="shared" ca="1" si="80"/>
        <v>0.35971987955995655</v>
      </c>
      <c r="AF31" s="216">
        <f t="shared" ca="1" si="80"/>
        <v>0.33085332630521558</v>
      </c>
      <c r="AG31" s="168">
        <f t="shared" ca="1" si="80"/>
        <v>0.2433044737852994</v>
      </c>
      <c r="AH31" s="168">
        <f t="shared" ca="1" si="80"/>
        <v>0.10186339405805245</v>
      </c>
      <c r="AI31" s="168">
        <f t="shared" ca="1" si="81"/>
        <v>-7.0892360208822947E-3</v>
      </c>
      <c r="AJ31" s="216">
        <f t="shared" ca="1" si="81"/>
        <v>-2.6012854091017834E-2</v>
      </c>
      <c r="AK31" s="168">
        <f t="shared" ca="1" si="81"/>
        <v>6.7646921994982234E-2</v>
      </c>
      <c r="AL31" s="168">
        <f t="shared" ca="1" si="81"/>
        <v>0.14292610107246917</v>
      </c>
      <c r="AM31" s="168">
        <f t="shared" ca="1" si="81"/>
        <v>0.28687394601550364</v>
      </c>
      <c r="AN31" s="216">
        <f t="shared" ca="1" si="81"/>
        <v>0.29340555890950015</v>
      </c>
      <c r="AO31" s="168">
        <f t="shared" ca="1" si="81"/>
        <v>0.29627668176324384</v>
      </c>
      <c r="AP31" s="168">
        <f t="shared" ca="1" si="81"/>
        <v>0.25567294759464776</v>
      </c>
      <c r="AQ31" s="168">
        <f t="shared" ca="1" si="81"/>
        <v>0.21866104718669699</v>
      </c>
      <c r="AR31" s="216">
        <f t="shared" ca="1" si="81"/>
        <v>0.21241863444469344</v>
      </c>
      <c r="AS31" s="168">
        <f t="shared" ca="1" si="82"/>
        <v>0.26690010360453664</v>
      </c>
      <c r="AT31" s="168">
        <f t="shared" ca="1" si="82"/>
        <v>0.22048053530233558</v>
      </c>
      <c r="AU31" s="168">
        <f t="shared" ca="1" si="82"/>
        <v>0.22325465029544111</v>
      </c>
      <c r="AV31" s="216">
        <f t="shared" ca="1" si="82"/>
        <v>0.18538350463886832</v>
      </c>
      <c r="AW31" s="168">
        <f t="shared" ca="1" si="82"/>
        <v>0.21427787776580587</v>
      </c>
      <c r="AX31" s="168">
        <f t="shared" ca="1" si="82"/>
        <v>0.1940940600890344</v>
      </c>
      <c r="AY31" s="168">
        <f t="shared" ca="1" si="82"/>
        <v>0.1867466529353996</v>
      </c>
      <c r="AZ31" s="168">
        <f t="shared" ca="1" si="82"/>
        <v>0.21980741553602168</v>
      </c>
    </row>
    <row r="32" spans="1:60" hidden="1" outlineLevel="1">
      <c r="E32" s="106"/>
      <c r="F32" s="46"/>
      <c r="G32" s="46"/>
      <c r="H32" s="46"/>
      <c r="I32" s="46"/>
      <c r="J32" s="46"/>
      <c r="K32" s="46"/>
      <c r="L32" s="45"/>
      <c r="M32" s="45"/>
      <c r="N32" s="45"/>
      <c r="Q32" s="45"/>
      <c r="R32" s="45"/>
      <c r="S32" s="45"/>
      <c r="T32" s="214"/>
      <c r="U32" s="45"/>
      <c r="V32" s="45"/>
      <c r="W32" s="45"/>
      <c r="X32" s="214"/>
      <c r="Y32" s="45"/>
      <c r="Z32" s="45"/>
      <c r="AA32" s="45"/>
      <c r="AB32" s="214"/>
      <c r="AC32" s="45"/>
      <c r="AD32" s="45"/>
      <c r="AE32" s="45"/>
      <c r="AF32" s="214"/>
      <c r="AG32" s="45"/>
      <c r="AH32" s="45"/>
      <c r="AI32" s="45"/>
      <c r="AJ32" s="214"/>
      <c r="AK32" s="45"/>
      <c r="AL32" s="45"/>
      <c r="AM32" s="45"/>
      <c r="AN32" s="214"/>
      <c r="AO32" s="45"/>
      <c r="AP32" s="45"/>
      <c r="AQ32" s="45"/>
      <c r="AR32" s="214"/>
      <c r="AS32" s="45"/>
      <c r="AT32" s="45"/>
      <c r="AU32" s="45"/>
      <c r="AV32" s="214"/>
      <c r="AW32" s="45"/>
      <c r="AX32" s="45"/>
      <c r="AY32" s="45"/>
      <c r="AZ32" s="45"/>
    </row>
    <row r="33" spans="1:60" hidden="1" outlineLevel="1">
      <c r="B33" s="203" t="s">
        <v>390</v>
      </c>
      <c r="E33" s="106"/>
      <c r="F33" s="46"/>
      <c r="G33" s="46"/>
      <c r="H33" s="46"/>
      <c r="I33" s="46"/>
      <c r="J33" s="46"/>
      <c r="K33" s="46"/>
      <c r="L33" s="45"/>
      <c r="M33" s="45"/>
      <c r="N33" s="45"/>
      <c r="Q33" s="45"/>
      <c r="R33" s="45"/>
      <c r="S33" s="45"/>
      <c r="T33" s="214"/>
      <c r="U33" s="45"/>
      <c r="V33" s="45"/>
      <c r="W33" s="45"/>
      <c r="X33" s="214"/>
      <c r="Y33" s="45"/>
      <c r="Z33" s="45"/>
      <c r="AA33" s="45"/>
      <c r="AB33" s="214"/>
      <c r="AC33" s="45"/>
      <c r="AD33" s="45"/>
      <c r="AE33" s="45"/>
      <c r="AF33" s="214"/>
      <c r="AG33" s="45"/>
      <c r="AH33" s="45"/>
      <c r="AI33" s="45"/>
      <c r="AJ33" s="214"/>
      <c r="AK33" s="45"/>
      <c r="AL33" s="45"/>
      <c r="AM33" s="45"/>
      <c r="AN33" s="214"/>
      <c r="AO33" s="45"/>
      <c r="AP33" s="45"/>
      <c r="AQ33" s="45"/>
      <c r="AR33" s="214"/>
      <c r="AS33" s="45"/>
      <c r="AT33" s="45"/>
      <c r="AU33" s="45"/>
      <c r="AV33" s="214"/>
      <c r="AW33" s="45"/>
      <c r="AX33" s="45"/>
      <c r="AY33" s="45"/>
      <c r="AZ33" s="45"/>
    </row>
    <row r="34" spans="1:60" hidden="1" outlineLevel="1">
      <c r="B34" s="3" t="s">
        <v>18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Q34" s="3"/>
      <c r="R34" s="4">
        <f t="shared" ref="R34:AZ34" si="84">R7/Q7-1</f>
        <v>0.28215675359223713</v>
      </c>
      <c r="S34" s="4">
        <f t="shared" si="84"/>
        <v>0.14046017249225984</v>
      </c>
      <c r="T34" s="215">
        <f t="shared" si="84"/>
        <v>8.1277949281708395E-3</v>
      </c>
      <c r="U34" s="4">
        <f t="shared" si="84"/>
        <v>-8.5868128547626044E-2</v>
      </c>
      <c r="V34" s="4">
        <f t="shared" si="84"/>
        <v>0.26522419948736009</v>
      </c>
      <c r="W34" s="4">
        <f t="shared" si="84"/>
        <v>0.15886865782991455</v>
      </c>
      <c r="X34" s="215">
        <f t="shared" si="84"/>
        <v>4.3937458967304721E-2</v>
      </c>
      <c r="Y34" s="4">
        <f t="shared" si="84"/>
        <v>5.3782412054774742E-3</v>
      </c>
      <c r="Z34" s="4">
        <f t="shared" si="84"/>
        <v>0.25526715321266025</v>
      </c>
      <c r="AA34" s="4">
        <f t="shared" si="84"/>
        <v>0.11676370600536834</v>
      </c>
      <c r="AB34" s="215">
        <f t="shared" si="84"/>
        <v>-4.1575256757788726E-3</v>
      </c>
      <c r="AC34" s="4">
        <f t="shared" si="84"/>
        <v>-6.3662104478840353E-2</v>
      </c>
      <c r="AD34" s="4">
        <f t="shared" si="84"/>
        <v>0.29770489484259799</v>
      </c>
      <c r="AE34" s="4">
        <f t="shared" si="84"/>
        <v>5.7941373335877788E-2</v>
      </c>
      <c r="AF34" s="215">
        <f t="shared" si="84"/>
        <v>-4.7434800612257799E-2</v>
      </c>
      <c r="AG34" s="4">
        <f t="shared" si="84"/>
        <v>-0.10451267515966167</v>
      </c>
      <c r="AH34" s="4">
        <f t="shared" ca="1" si="84"/>
        <v>9.5638571496610369E-2</v>
      </c>
      <c r="AI34" s="4">
        <f t="shared" ca="1" si="84"/>
        <v>-4.1598765612008037E-2</v>
      </c>
      <c r="AJ34" s="215">
        <f t="shared" ca="1" si="84"/>
        <v>-1.4734589894897954E-2</v>
      </c>
      <c r="AK34" s="4">
        <f t="shared" ca="1" si="84"/>
        <v>-9.371441798312552E-2</v>
      </c>
      <c r="AL34" s="4">
        <f t="shared" si="84"/>
        <v>0.22033778038710161</v>
      </c>
      <c r="AM34" s="4">
        <f t="shared" si="84"/>
        <v>0.12172342802688285</v>
      </c>
      <c r="AN34" s="215">
        <f t="shared" si="84"/>
        <v>3.412657899267213E-2</v>
      </c>
      <c r="AO34" s="4">
        <f t="shared" ca="1" si="84"/>
        <v>-0.12244647282050769</v>
      </c>
      <c r="AP34" s="4">
        <f t="shared" ca="1" si="84"/>
        <v>0.20866781576871229</v>
      </c>
      <c r="AQ34" s="4">
        <f t="shared" ca="1" si="84"/>
        <v>8.2895247140497341E-2</v>
      </c>
      <c r="AR34" s="215">
        <f t="shared" ca="1" si="84"/>
        <v>9.9442409340688709E-3</v>
      </c>
      <c r="AS34" s="4">
        <f t="shared" ca="1" si="84"/>
        <v>-5.2173595423341212E-2</v>
      </c>
      <c r="AT34" s="4">
        <f t="shared" ca="1" si="84"/>
        <v>0.16012034890996008</v>
      </c>
      <c r="AU34" s="4">
        <f t="shared" ca="1" si="84"/>
        <v>9.3715030769916829E-2</v>
      </c>
      <c r="AV34" s="215">
        <f t="shared" ca="1" si="84"/>
        <v>-4.4144397398989121E-2</v>
      </c>
      <c r="AW34" s="4">
        <f t="shared" ca="1" si="84"/>
        <v>-3.0420220542848209E-2</v>
      </c>
      <c r="AX34" s="4">
        <f t="shared" ca="1" si="84"/>
        <v>0.13646733875511519</v>
      </c>
      <c r="AY34" s="4">
        <f t="shared" ca="1" si="84"/>
        <v>8.6012961942536048E-2</v>
      </c>
      <c r="AZ34" s="4">
        <f t="shared" ca="1" si="84"/>
        <v>-2.6786892501811099E-2</v>
      </c>
    </row>
    <row r="35" spans="1:60" s="202" customFormat="1" hidden="1" outlineLevel="1">
      <c r="A35" s="296"/>
      <c r="B35" s="271" t="str">
        <f>B26</f>
        <v xml:space="preserve">     Core Search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Q35" s="3"/>
      <c r="R35" s="4">
        <f t="shared" ref="R35:AZ35" si="85">R8/Q8-1</f>
        <v>0.28215675359223713</v>
      </c>
      <c r="S35" s="4">
        <f t="shared" si="85"/>
        <v>0.14046017249225984</v>
      </c>
      <c r="T35" s="215">
        <f t="shared" si="85"/>
        <v>8.1277949281708395E-3</v>
      </c>
      <c r="U35" s="4">
        <f t="shared" si="85"/>
        <v>-8.5868128547626044E-2</v>
      </c>
      <c r="V35" s="4">
        <f t="shared" si="85"/>
        <v>0.26522419948736009</v>
      </c>
      <c r="W35" s="4">
        <f t="shared" si="85"/>
        <v>0.15886865782991455</v>
      </c>
      <c r="X35" s="215">
        <f t="shared" si="85"/>
        <v>4.3937458967304721E-2</v>
      </c>
      <c r="Y35" s="4">
        <f t="shared" si="85"/>
        <v>5.3782412054774742E-3</v>
      </c>
      <c r="Z35" s="4">
        <f t="shared" si="85"/>
        <v>0.25526715321266025</v>
      </c>
      <c r="AA35" s="4">
        <f t="shared" si="85"/>
        <v>0.11676370600536834</v>
      </c>
      <c r="AB35" s="215">
        <f t="shared" si="85"/>
        <v>-4.1575256757788726E-3</v>
      </c>
      <c r="AC35" s="4">
        <f t="shared" si="85"/>
        <v>-6.3662104478840353E-2</v>
      </c>
      <c r="AD35" s="4">
        <f t="shared" si="85"/>
        <v>0.29770489484259799</v>
      </c>
      <c r="AE35" s="4">
        <f t="shared" si="85"/>
        <v>5.7941373335877788E-2</v>
      </c>
      <c r="AF35" s="215">
        <f t="shared" si="85"/>
        <v>-4.7434800612257799E-2</v>
      </c>
      <c r="AG35" s="4">
        <f t="shared" si="85"/>
        <v>-0.10451267515966167</v>
      </c>
      <c r="AH35" s="4">
        <f t="shared" ca="1" si="85"/>
        <v>9.5638571496610369E-2</v>
      </c>
      <c r="AI35" s="4">
        <f t="shared" ca="1" si="85"/>
        <v>-4.1598765612008037E-2</v>
      </c>
      <c r="AJ35" s="215">
        <f t="shared" ca="1" si="85"/>
        <v>-2.0401942492146552E-2</v>
      </c>
      <c r="AK35" s="4">
        <f t="shared" ca="1" si="85"/>
        <v>-0.10955943918842326</v>
      </c>
      <c r="AL35" s="4">
        <f t="shared" ca="1" si="85"/>
        <v>0.16489008998135746</v>
      </c>
      <c r="AM35" s="4">
        <f t="shared" ca="1" si="85"/>
        <v>8.5262736468346922E-2</v>
      </c>
      <c r="AN35" s="215">
        <f t="shared" si="85"/>
        <v>1.5055191546765823E-2</v>
      </c>
      <c r="AO35" s="4">
        <f t="shared" ca="1" si="85"/>
        <v>-0.13443052403603373</v>
      </c>
      <c r="AP35" s="276">
        <f t="shared" ca="1" si="85"/>
        <v>0.21035607042753823</v>
      </c>
      <c r="AQ35" s="4">
        <f t="shared" ca="1" si="85"/>
        <v>6.1174970205325252E-2</v>
      </c>
      <c r="AR35" s="215">
        <f t="shared" ca="1" si="85"/>
        <v>-7.166848187086905E-3</v>
      </c>
      <c r="AS35" s="4">
        <f t="shared" ca="1" si="85"/>
        <v>-7.2973241246606757E-2</v>
      </c>
      <c r="AT35" s="4">
        <f t="shared" ca="1" si="85"/>
        <v>0.17552367511356071</v>
      </c>
      <c r="AU35" s="4">
        <f t="shared" ca="1" si="85"/>
        <v>7.2814256928926291E-2</v>
      </c>
      <c r="AV35" s="215">
        <f t="shared" ca="1" si="85"/>
        <v>-6.3701764618196877E-2</v>
      </c>
      <c r="AW35" s="4">
        <f t="shared" ca="1" si="85"/>
        <v>-5.0689343265625464E-2</v>
      </c>
      <c r="AX35" s="4">
        <f t="shared" ca="1" si="85"/>
        <v>0.14934837307672955</v>
      </c>
      <c r="AY35" s="4">
        <f t="shared" ca="1" si="85"/>
        <v>6.7286407239666612E-2</v>
      </c>
      <c r="AZ35" s="4">
        <f t="shared" ca="1" si="85"/>
        <v>-4.4902167537260618E-2</v>
      </c>
      <c r="BC35"/>
      <c r="BD35"/>
      <c r="BE35"/>
      <c r="BF35"/>
      <c r="BG35"/>
      <c r="BH35"/>
    </row>
    <row r="36" spans="1:60" s="202" customFormat="1" hidden="1" outlineLevel="1">
      <c r="A36" s="296"/>
      <c r="B36" s="271" t="str">
        <f>B27</f>
        <v xml:space="preserve">     News Feed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Q36" s="3"/>
      <c r="R36" s="4"/>
      <c r="S36" s="4"/>
      <c r="T36" s="215"/>
      <c r="U36" s="4"/>
      <c r="V36" s="4"/>
      <c r="W36" s="4"/>
      <c r="X36" s="215"/>
      <c r="Y36" s="4"/>
      <c r="Z36" s="4"/>
      <c r="AA36" s="4"/>
      <c r="AB36" s="215"/>
      <c r="AC36" s="4"/>
      <c r="AD36" s="4"/>
      <c r="AE36" s="4"/>
      <c r="AF36" s="215"/>
      <c r="AG36" s="4"/>
      <c r="AH36" s="4"/>
      <c r="AI36" s="4"/>
      <c r="AJ36" s="215"/>
      <c r="AK36" s="4">
        <f t="shared" ref="AK36:AZ36" ca="1" si="86">AK9/AJ9-1</f>
        <v>2.6450867643212872</v>
      </c>
      <c r="AL36" s="4">
        <f t="shared" ca="1" si="86"/>
        <v>2.5615900266146125</v>
      </c>
      <c r="AM36" s="4">
        <f t="shared" ca="1" si="86"/>
        <v>0.62525959771872475</v>
      </c>
      <c r="AN36" s="215">
        <f t="shared" si="86"/>
        <v>0.20999999999999996</v>
      </c>
      <c r="AO36" s="4">
        <f t="shared" ca="1" si="86"/>
        <v>-2.9736625680551021E-2</v>
      </c>
      <c r="AP36" s="276">
        <f t="shared" ca="1" si="86"/>
        <v>0.1970165673940798</v>
      </c>
      <c r="AQ36" s="4">
        <f t="shared" ca="1" si="86"/>
        <v>0.23446510842342927</v>
      </c>
      <c r="AR36" s="215">
        <f t="shared" ca="1" si="86"/>
        <v>0.11258818389255176</v>
      </c>
      <c r="AS36" s="276">
        <f t="shared" ca="1" si="86"/>
        <v>5.9166974568549691E-2</v>
      </c>
      <c r="AT36" s="4">
        <f t="shared" ca="1" si="86"/>
        <v>8.7953149371346795E-2</v>
      </c>
      <c r="AU36" s="4">
        <f t="shared" ca="1" si="86"/>
        <v>0.19952068879266616</v>
      </c>
      <c r="AV36" s="215">
        <f t="shared" ca="1" si="86"/>
        <v>4.4402573776244569E-2</v>
      </c>
      <c r="AW36" s="276">
        <f t="shared" ca="1" si="86"/>
        <v>5.185035654274972E-2</v>
      </c>
      <c r="AX36" s="4">
        <f t="shared" ca="1" si="86"/>
        <v>8.9281168912900055E-2</v>
      </c>
      <c r="AY36" s="4">
        <f t="shared" ca="1" si="86"/>
        <v>0.15839545916563136</v>
      </c>
      <c r="AZ36" s="4">
        <f t="shared" ca="1" si="86"/>
        <v>3.7725736842149304E-2</v>
      </c>
      <c r="BC36"/>
      <c r="BD36"/>
      <c r="BE36"/>
      <c r="BF36"/>
      <c r="BG36"/>
      <c r="BH36"/>
    </row>
    <row r="37" spans="1:60" hidden="1" outlineLevel="1">
      <c r="B37" s="3" t="s">
        <v>613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Q37" s="3"/>
      <c r="R37" s="4">
        <f t="shared" ref="R37:AZ37" si="87">R10/Q10-1</f>
        <v>0.16610113473613808</v>
      </c>
      <c r="S37" s="4">
        <f t="shared" si="87"/>
        <v>0.40598221961889114</v>
      </c>
      <c r="T37" s="215">
        <f t="shared" si="87"/>
        <v>0.23539333015272867</v>
      </c>
      <c r="U37" s="4">
        <f t="shared" ca="1" si="87"/>
        <v>0.354920847000465</v>
      </c>
      <c r="V37" s="4">
        <f t="shared" ca="1" si="87"/>
        <v>0.10936343472872356</v>
      </c>
      <c r="W37" s="4">
        <f t="shared" ca="1" si="87"/>
        <v>0.35078301859552408</v>
      </c>
      <c r="X37" s="215">
        <f t="shared" ca="1" si="87"/>
        <v>0.12638172639510947</v>
      </c>
      <c r="Y37" s="4">
        <f t="shared" ca="1" si="87"/>
        <v>0.4396969209661461</v>
      </c>
      <c r="Z37" s="4">
        <f t="shared" ca="1" si="87"/>
        <v>0.19705161219566647</v>
      </c>
      <c r="AA37" s="4">
        <f t="shared" ca="1" si="87"/>
        <v>5.2276407280599235E-2</v>
      </c>
      <c r="AB37" s="215">
        <f t="shared" ca="1" si="87"/>
        <v>8.5367821896452423E-2</v>
      </c>
      <c r="AC37" s="4">
        <f t="shared" ca="1" si="87"/>
        <v>-0.10749170631383942</v>
      </c>
      <c r="AD37" s="4">
        <f t="shared" ca="1" si="87"/>
        <v>0.38562289027479713</v>
      </c>
      <c r="AE37" s="4">
        <f t="shared" ca="1" si="87"/>
        <v>0.60691003758949313</v>
      </c>
      <c r="AF37" s="215">
        <f t="shared" ca="1" si="87"/>
        <v>0.19416090851107448</v>
      </c>
      <c r="AG37" s="4">
        <f t="shared" ca="1" si="87"/>
        <v>-0.54170261280329224</v>
      </c>
      <c r="AH37" s="4">
        <f t="shared" si="87"/>
        <v>0.20999999999999996</v>
      </c>
      <c r="AI37" s="4">
        <f t="shared" si="87"/>
        <v>0.20999999999999996</v>
      </c>
      <c r="AJ37" s="215">
        <f t="shared" si="87"/>
        <v>0.20472861410789878</v>
      </c>
      <c r="AK37" s="4">
        <f t="shared" si="87"/>
        <v>-0.14208032447105823</v>
      </c>
      <c r="AL37" s="4">
        <f t="shared" si="87"/>
        <v>0.17583228802120399</v>
      </c>
      <c r="AM37" s="4">
        <f t="shared" si="87"/>
        <v>0.10499999999999998</v>
      </c>
      <c r="AN37" s="215">
        <f t="shared" si="87"/>
        <v>-0.21499999999999997</v>
      </c>
      <c r="AO37" s="4">
        <f t="shared" si="87"/>
        <v>0.125</v>
      </c>
      <c r="AP37" s="4">
        <f t="shared" si="87"/>
        <v>5.0000000000000044E-2</v>
      </c>
      <c r="AQ37" s="4">
        <f t="shared" si="87"/>
        <v>5.2572597367859686E-2</v>
      </c>
      <c r="AR37" s="215">
        <f t="shared" si="87"/>
        <v>-6.8875790876971044E-2</v>
      </c>
      <c r="AS37" s="4">
        <f t="shared" si="87"/>
        <v>0.11121955306765385</v>
      </c>
      <c r="AT37" s="4">
        <f t="shared" si="87"/>
        <v>4.4025355882267414E-2</v>
      </c>
      <c r="AU37" s="4">
        <f t="shared" si="87"/>
        <v>3.7603900858781181E-2</v>
      </c>
      <c r="AV37" s="215">
        <f t="shared" si="87"/>
        <v>-2.3692763308873932E-2</v>
      </c>
      <c r="AW37" s="4">
        <f t="shared" si="87"/>
        <v>0.21039790798393199</v>
      </c>
      <c r="AX37" s="4">
        <f t="shared" si="87"/>
        <v>9.8296226021168831E-2</v>
      </c>
      <c r="AY37" s="4">
        <f t="shared" si="87"/>
        <v>8.597346313321963E-2</v>
      </c>
      <c r="AZ37" s="4">
        <f t="shared" si="87"/>
        <v>0.13979570536161767</v>
      </c>
    </row>
    <row r="38" spans="1:60" hidden="1" outlineLevel="1">
      <c r="B38" s="3" t="s">
        <v>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Q38" s="3"/>
      <c r="R38" s="4"/>
      <c r="S38" s="4"/>
      <c r="T38" s="215"/>
      <c r="U38" s="4"/>
      <c r="V38" s="4">
        <f t="shared" ref="V38:AZ38" si="88">V11/U11-1</f>
        <v>0.57271559958660001</v>
      </c>
      <c r="W38" s="4">
        <f t="shared" si="88"/>
        <v>0.47508164511589634</v>
      </c>
      <c r="X38" s="215">
        <f t="shared" si="88"/>
        <v>0.62764597883216933</v>
      </c>
      <c r="Y38" s="4">
        <f t="shared" si="88"/>
        <v>-0.43558446294459396</v>
      </c>
      <c r="Z38" s="4">
        <f t="shared" si="88"/>
        <v>0.55754220395050513</v>
      </c>
      <c r="AA38" s="4">
        <f t="shared" si="88"/>
        <v>0.46765475511012244</v>
      </c>
      <c r="AB38" s="215">
        <f t="shared" si="88"/>
        <v>0.68255818660979473</v>
      </c>
      <c r="AC38" s="4">
        <f t="shared" si="88"/>
        <v>-0.37441113533735881</v>
      </c>
      <c r="AD38" s="4">
        <f t="shared" si="88"/>
        <v>0.29538659022158709</v>
      </c>
      <c r="AE38" s="4">
        <f t="shared" si="88"/>
        <v>0.3405126701985246</v>
      </c>
      <c r="AF38" s="215">
        <f t="shared" si="88"/>
        <v>0.5274976347513638</v>
      </c>
      <c r="AG38" s="4">
        <f t="shared" si="88"/>
        <v>-8.770812148448881E-2</v>
      </c>
      <c r="AH38" s="4">
        <f t="shared" si="88"/>
        <v>0.50577670671884589</v>
      </c>
      <c r="AI38" s="4">
        <f t="shared" si="88"/>
        <v>0.12362799777872069</v>
      </c>
      <c r="AJ38" s="215">
        <f t="shared" si="88"/>
        <v>-3.1476619999165067E-2</v>
      </c>
      <c r="AK38" s="4">
        <f t="shared" si="88"/>
        <v>4.0859987398244701E-2</v>
      </c>
      <c r="AL38" s="4">
        <f t="shared" si="88"/>
        <v>0.31737947901879204</v>
      </c>
      <c r="AM38" s="4">
        <f t="shared" si="88"/>
        <v>0.14429449146029194</v>
      </c>
      <c r="AN38" s="215">
        <f t="shared" si="88"/>
        <v>-2.68996601006386E-2</v>
      </c>
      <c r="AO38" s="4">
        <f t="shared" si="88"/>
        <v>6.1439726765185609E-2</v>
      </c>
      <c r="AP38" s="4">
        <f t="shared" si="88"/>
        <v>0.20707834222224575</v>
      </c>
      <c r="AQ38" s="4">
        <f t="shared" si="88"/>
        <v>0.12986835148747766</v>
      </c>
      <c r="AR38" s="215">
        <f t="shared" si="88"/>
        <v>-2.101760463532043E-2</v>
      </c>
      <c r="AS38" s="4">
        <f t="shared" si="88"/>
        <v>7.786821959491208E-3</v>
      </c>
      <c r="AT38" s="4">
        <f t="shared" si="88"/>
        <v>0.16216629056554677</v>
      </c>
      <c r="AU38" s="4">
        <f t="shared" si="88"/>
        <v>0.11010917852816582</v>
      </c>
      <c r="AV38" s="215">
        <f t="shared" si="88"/>
        <v>-5.4319022391189353E-3</v>
      </c>
      <c r="AW38" s="4">
        <f t="shared" si="88"/>
        <v>1.5522581434965321E-2</v>
      </c>
      <c r="AX38" s="4">
        <f t="shared" si="88"/>
        <v>0.13696998947344952</v>
      </c>
      <c r="AY38" s="4">
        <f t="shared" si="88"/>
        <v>9.2779073295686354E-2</v>
      </c>
      <c r="AZ38" s="4">
        <f t="shared" si="88"/>
        <v>8.9380445510387485E-3</v>
      </c>
    </row>
    <row r="39" spans="1:60" hidden="1" outlineLevel="1">
      <c r="B39" s="3" t="s">
        <v>73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Q39" s="3"/>
      <c r="R39" s="4"/>
      <c r="S39" s="4"/>
      <c r="T39" s="215"/>
      <c r="U39" s="4"/>
      <c r="V39" s="4">
        <f t="shared" ref="V39:AZ39" ca="1" si="89">V12/U12-1</f>
        <v>0.25861269715074053</v>
      </c>
      <c r="W39" s="4">
        <f t="shared" ca="1" si="89"/>
        <v>0.16604416437945857</v>
      </c>
      <c r="X39" s="215">
        <f t="shared" ca="1" si="89"/>
        <v>4.7508346295846771E-2</v>
      </c>
      <c r="Y39" s="4">
        <f t="shared" ca="1" si="89"/>
        <v>2.5606211002115131E-2</v>
      </c>
      <c r="Z39" s="4">
        <f t="shared" ca="1" si="89"/>
        <v>0.251461114866951</v>
      </c>
      <c r="AA39" s="4">
        <f t="shared" ca="1" si="89"/>
        <v>0.11273093164720027</v>
      </c>
      <c r="AB39" s="215">
        <f t="shared" ca="1" si="89"/>
        <v>1.1368581867541305E-3</v>
      </c>
      <c r="AC39" s="4">
        <f t="shared" ca="1" si="89"/>
        <v>-6.6472195754914365E-2</v>
      </c>
      <c r="AD39" s="4">
        <f t="shared" ca="1" si="89"/>
        <v>0.30309398788488506</v>
      </c>
      <c r="AE39" s="4">
        <f t="shared" ca="1" si="89"/>
        <v>9.3722562302861023E-2</v>
      </c>
      <c r="AF39" s="215">
        <f t="shared" ca="1" si="89"/>
        <v>-2.4299197709629516E-2</v>
      </c>
      <c r="AG39" s="4">
        <f t="shared" ca="1" si="89"/>
        <v>0.49427181079954896</v>
      </c>
      <c r="AH39" s="4">
        <f t="shared" ca="1" si="89"/>
        <v>-5.3032308379481141E-2</v>
      </c>
      <c r="AI39" s="4">
        <f t="shared" ca="1" si="89"/>
        <v>-2.4037031536100595E-2</v>
      </c>
      <c r="AJ39" s="215">
        <f t="shared" ca="1" si="89"/>
        <v>1.1463496205757817E-2</v>
      </c>
      <c r="AK39" s="4">
        <f t="shared" ca="1" si="89"/>
        <v>-0.25251948559570081</v>
      </c>
      <c r="AL39" s="4">
        <f t="shared" si="89"/>
        <v>0.20062541397453848</v>
      </c>
      <c r="AM39" s="4">
        <f t="shared" si="89"/>
        <v>0.10619323944659742</v>
      </c>
      <c r="AN39" s="215">
        <f t="shared" si="89"/>
        <v>-1.7747349624404052E-3</v>
      </c>
      <c r="AO39" s="4">
        <f t="shared" ca="1" si="89"/>
        <v>-9.6179369003831727E-2</v>
      </c>
      <c r="AP39" s="4">
        <f t="shared" ca="1" si="89"/>
        <v>0.19407486051309841</v>
      </c>
      <c r="AQ39" s="4">
        <f t="shared" ca="1" si="89"/>
        <v>7.7808619116194411E-2</v>
      </c>
      <c r="AR39" s="215">
        <f t="shared" ca="1" si="89"/>
        <v>2.5212009057442586E-3</v>
      </c>
      <c r="AS39" s="4">
        <f t="shared" ca="1" si="89"/>
        <v>-4.1606819281755802E-2</v>
      </c>
      <c r="AT39" s="4">
        <f t="shared" ca="1" si="89"/>
        <v>0.14936311952774628</v>
      </c>
      <c r="AU39" s="4">
        <f t="shared" ca="1" si="89"/>
        <v>8.8455811093938186E-2</v>
      </c>
      <c r="AV39" s="215">
        <f t="shared" ca="1" si="89"/>
        <v>-4.7012468557488529E-2</v>
      </c>
      <c r="AW39" s="4">
        <f t="shared" ca="1" si="89"/>
        <v>-2.2773869022231552E-2</v>
      </c>
      <c r="AX39" s="4">
        <f t="shared" ca="1" si="89"/>
        <v>0.12855305040722631</v>
      </c>
      <c r="AY39" s="4">
        <f t="shared" ca="1" si="89"/>
        <v>8.1731296319945468E-2</v>
      </c>
      <c r="AZ39" s="4">
        <f t="shared" ca="1" si="89"/>
        <v>-3.0472081683894148E-2</v>
      </c>
    </row>
    <row r="40" spans="1:60" hidden="1" outlineLevel="1">
      <c r="B40" s="94" t="s">
        <v>87</v>
      </c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Q40" s="94"/>
      <c r="R40" s="168">
        <f>R13/Q13-1</f>
        <v>0.27968605869934926</v>
      </c>
      <c r="S40" s="168">
        <f>S13/R13-1</f>
        <v>0.14561111037800445</v>
      </c>
      <c r="T40" s="216">
        <f>T13/S13-1</f>
        <v>1.3538600353239172E-2</v>
      </c>
      <c r="U40" s="168">
        <f ca="1">U13/T13-1</f>
        <v>-5.7898653049099358E-2</v>
      </c>
      <c r="V40" s="168">
        <f t="shared" ref="V40:AZ40" ca="1" si="90">V13/U13-1</f>
        <v>0.26677839698767092</v>
      </c>
      <c r="W40" s="168">
        <f t="shared" ca="1" si="90"/>
        <v>0.17601845832757457</v>
      </c>
      <c r="X40" s="216">
        <f t="shared" ca="1" si="90"/>
        <v>7.0994071072009168E-2</v>
      </c>
      <c r="Y40" s="168">
        <f t="shared" ca="1" si="90"/>
        <v>-2.7681655812669126E-3</v>
      </c>
      <c r="Z40" s="168">
        <f t="shared" ca="1" si="90"/>
        <v>0.2621193460531781</v>
      </c>
      <c r="AA40" s="168">
        <f t="shared" ca="1" si="90"/>
        <v>0.12798280496007663</v>
      </c>
      <c r="AB40" s="216">
        <f t="shared" ca="1" si="90"/>
        <v>3.9236876760201822E-2</v>
      </c>
      <c r="AC40" s="168">
        <f t="shared" ca="1" si="90"/>
        <v>-9.4348141941316355E-2</v>
      </c>
      <c r="AD40" s="168">
        <f t="shared" ca="1" si="90"/>
        <v>0.30261203953030869</v>
      </c>
      <c r="AE40" s="168">
        <f t="shared" ca="1" si="90"/>
        <v>0.10906890145408465</v>
      </c>
      <c r="AF40" s="216">
        <f t="shared" ca="1" si="90"/>
        <v>1.7174106995448968E-2</v>
      </c>
      <c r="AG40" s="168">
        <f t="shared" ca="1" si="90"/>
        <v>-0.15392554193602015</v>
      </c>
      <c r="AH40" s="168">
        <f t="shared" ca="1" si="90"/>
        <v>0.15442399933453732</v>
      </c>
      <c r="AI40" s="168">
        <f t="shared" ca="1" si="90"/>
        <v>-5.9621166592782604E-4</v>
      </c>
      <c r="AJ40" s="216">
        <f t="shared" ca="1" si="90"/>
        <v>-2.2119395758197768E-3</v>
      </c>
      <c r="AK40" s="168">
        <f t="shared" ca="1" si="90"/>
        <v>-7.256600384848011E-2</v>
      </c>
      <c r="AL40" s="168">
        <f t="shared" ca="1" si="90"/>
        <v>0.23582178092966077</v>
      </c>
      <c r="AM40" s="168">
        <f t="shared" ca="1" si="90"/>
        <v>0.12527546229759512</v>
      </c>
      <c r="AN40" s="216">
        <f t="shared" si="90"/>
        <v>2.8523989952744522E-3</v>
      </c>
      <c r="AO40" s="168">
        <f t="shared" ca="1" si="90"/>
        <v>-7.0507270666650967E-2</v>
      </c>
      <c r="AP40" s="168">
        <f t="shared" ca="1" si="90"/>
        <v>0.19711169705746356</v>
      </c>
      <c r="AQ40" s="168">
        <f t="shared" ca="1" si="90"/>
        <v>9.210712541349575E-2</v>
      </c>
      <c r="AR40" s="216">
        <f t="shared" ca="1" si="90"/>
        <v>-2.2845655514210916E-3</v>
      </c>
      <c r="AS40" s="168">
        <f t="shared" ca="1" si="90"/>
        <v>-2.8739412578040135E-2</v>
      </c>
      <c r="AT40" s="168">
        <f t="shared" ca="1" si="90"/>
        <v>0.15324919516894142</v>
      </c>
      <c r="AU40" s="168">
        <f t="shared" ca="1" si="90"/>
        <v>9.4589451565412874E-2</v>
      </c>
      <c r="AV40" s="216">
        <f t="shared" ca="1" si="90"/>
        <v>-3.3173167963590267E-2</v>
      </c>
      <c r="AW40" s="168">
        <f t="shared" ca="1" si="90"/>
        <v>-5.064403008028795E-3</v>
      </c>
      <c r="AX40" s="168">
        <f t="shared" ca="1" si="90"/>
        <v>0.13407980081745952</v>
      </c>
      <c r="AY40" s="168">
        <f t="shared" ca="1" si="90"/>
        <v>8.7854308467786746E-2</v>
      </c>
      <c r="AZ40" s="168">
        <f t="shared" ca="1" si="90"/>
        <v>-6.2390011042992022E-3</v>
      </c>
    </row>
    <row r="41" spans="1:60" hidden="1" outlineLevel="1">
      <c r="E41" s="106"/>
      <c r="F41" s="46"/>
      <c r="G41" s="46"/>
      <c r="H41" s="46"/>
      <c r="I41" s="46"/>
      <c r="J41" s="46"/>
      <c r="K41" s="46"/>
      <c r="L41" s="263"/>
      <c r="M41" s="45"/>
      <c r="N41" s="45"/>
      <c r="Q41" s="45"/>
      <c r="R41" s="45"/>
      <c r="S41" s="45"/>
      <c r="T41" s="214"/>
      <c r="U41" s="45"/>
      <c r="V41" s="45"/>
      <c r="W41" s="45"/>
      <c r="X41" s="214"/>
      <c r="Y41" s="45"/>
      <c r="Z41" s="45"/>
      <c r="AA41" s="45"/>
      <c r="AB41" s="214"/>
      <c r="AC41" s="45"/>
      <c r="AD41" s="45"/>
      <c r="AE41" s="45"/>
      <c r="AF41" s="214"/>
      <c r="AG41" s="45"/>
      <c r="AH41" s="45"/>
      <c r="AI41" s="45"/>
      <c r="AJ41" s="214"/>
      <c r="AK41" s="45"/>
      <c r="AL41" s="45"/>
      <c r="AM41" s="45"/>
      <c r="AN41" s="214"/>
      <c r="AO41" s="45"/>
      <c r="AP41" s="45"/>
      <c r="AQ41" s="45"/>
      <c r="AR41" s="214"/>
      <c r="AS41" s="45"/>
      <c r="AT41" s="45"/>
      <c r="AU41" s="45"/>
      <c r="AV41" s="214"/>
      <c r="AW41" s="45"/>
      <c r="AX41" s="45"/>
      <c r="AY41" s="45"/>
      <c r="AZ41" s="45"/>
    </row>
    <row r="42" spans="1:60" hidden="1" outlineLevel="1">
      <c r="B42" s="264" t="s">
        <v>679</v>
      </c>
      <c r="E42" s="106"/>
      <c r="F42" s="46"/>
      <c r="G42" s="46"/>
      <c r="H42" s="46"/>
      <c r="I42" s="46"/>
      <c r="J42" s="46"/>
      <c r="K42" s="46"/>
      <c r="L42" s="45"/>
      <c r="M42" s="45"/>
      <c r="N42" s="45"/>
      <c r="Q42" s="45"/>
      <c r="R42" s="45"/>
      <c r="S42" s="45"/>
      <c r="T42" s="214"/>
      <c r="U42" s="45"/>
      <c r="V42" s="45"/>
      <c r="W42" s="45"/>
      <c r="X42" s="214"/>
      <c r="Y42" s="45"/>
      <c r="Z42" s="45"/>
      <c r="AA42" s="45"/>
      <c r="AB42" s="214"/>
      <c r="AC42" s="45"/>
      <c r="AD42" s="45"/>
      <c r="AE42" s="45"/>
      <c r="AF42" s="214"/>
      <c r="AG42" s="45"/>
      <c r="AH42" s="45"/>
      <c r="AI42" s="45"/>
      <c r="AJ42" s="214"/>
      <c r="AK42" s="45"/>
      <c r="AL42" s="45"/>
      <c r="AM42" s="45"/>
      <c r="AN42" s="214"/>
      <c r="AO42" s="45"/>
      <c r="AP42" s="45"/>
      <c r="AQ42" s="45"/>
      <c r="AR42" s="214"/>
      <c r="AS42" s="45"/>
      <c r="AT42" s="45"/>
      <c r="AU42" s="45"/>
      <c r="AV42" s="214"/>
      <c r="AW42" s="45"/>
      <c r="AX42" s="45"/>
      <c r="AY42" s="45"/>
      <c r="AZ42" s="45"/>
    </row>
    <row r="43" spans="1:60" hidden="1" outlineLevel="1">
      <c r="B43" s="3" t="s">
        <v>18</v>
      </c>
      <c r="E43" s="106"/>
      <c r="F43" s="46"/>
      <c r="G43" s="58">
        <f>G302</f>
        <v>14178.852000000001</v>
      </c>
      <c r="H43" s="58">
        <f t="shared" ref="H43:M43" si="91">H302</f>
        <v>20547.793000000001</v>
      </c>
      <c r="I43" s="58">
        <f t="shared" si="91"/>
        <v>28117.837</v>
      </c>
      <c r="J43" s="58">
        <f t="shared" si="91"/>
        <v>27152.807000000004</v>
      </c>
      <c r="K43" s="58">
        <f t="shared" ca="1" si="91"/>
        <v>29988.89228009076</v>
      </c>
      <c r="L43" s="58">
        <f t="shared" ca="1" si="91"/>
        <v>34103.331725652606</v>
      </c>
      <c r="M43" s="58">
        <f t="shared" ca="1" si="91"/>
        <v>43170.885692271971</v>
      </c>
      <c r="N43" s="58">
        <f t="shared" ref="N43" ca="1" si="92">N302</f>
        <v>50986.755860049096</v>
      </c>
      <c r="Q43" s="58"/>
      <c r="R43" s="58"/>
      <c r="S43" s="58"/>
      <c r="T43" s="212"/>
      <c r="U43" s="58">
        <f t="shared" ref="U43:AV43" ca="1" si="93">U302</f>
        <v>2591.3990149249257</v>
      </c>
      <c r="V43" s="58">
        <f t="shared" ca="1" si="93"/>
        <v>3484.0398791940675</v>
      </c>
      <c r="W43" s="58">
        <f t="shared" ca="1" si="93"/>
        <v>4222.1889462577701</v>
      </c>
      <c r="X43" s="212">
        <f t="shared" ca="1" si="93"/>
        <v>3881.2241596232375</v>
      </c>
      <c r="Y43" s="58">
        <f t="shared" ca="1" si="93"/>
        <v>3644.7634045996638</v>
      </c>
      <c r="Z43" s="58">
        <f t="shared" ca="1" si="93"/>
        <v>5351.0362571345977</v>
      </c>
      <c r="AA43" s="58">
        <f t="shared" ca="1" si="93"/>
        <v>6072.644190830134</v>
      </c>
      <c r="AB43" s="212">
        <f t="shared" ca="1" si="93"/>
        <v>5479.3491474356033</v>
      </c>
      <c r="AC43" s="58">
        <f t="shared" si="93"/>
        <v>5007.9564081743192</v>
      </c>
      <c r="AD43" s="58">
        <f t="shared" si="93"/>
        <v>7643.8423934604789</v>
      </c>
      <c r="AE43" s="58">
        <f t="shared" si="93"/>
        <v>8050.6163776835374</v>
      </c>
      <c r="AF43" s="212">
        <f t="shared" si="93"/>
        <v>7415.421820681664</v>
      </c>
      <c r="AG43" s="58">
        <f t="shared" si="93"/>
        <v>6755.1590000000006</v>
      </c>
      <c r="AH43" s="58">
        <f t="shared" ca="1" si="93"/>
        <v>7052.1160667895056</v>
      </c>
      <c r="AI43" s="58">
        <f t="shared" ca="1" si="93"/>
        <v>6599.8425124567229</v>
      </c>
      <c r="AJ43" s="212">
        <f t="shared" ca="1" si="93"/>
        <v>6745.6894207537771</v>
      </c>
      <c r="AK43" s="58">
        <f t="shared" si="93"/>
        <v>5438.2120000000004</v>
      </c>
      <c r="AL43" s="58">
        <f t="shared" ca="1" si="93"/>
        <v>7785.786379229944</v>
      </c>
      <c r="AM43" s="58">
        <f t="shared" si="93"/>
        <v>8501.1270008590491</v>
      </c>
      <c r="AN43" s="212">
        <f t="shared" si="93"/>
        <v>8263.7669000017668</v>
      </c>
      <c r="AO43" s="58">
        <f t="shared" ca="1" si="93"/>
        <v>6557.5671513328034</v>
      </c>
      <c r="AP43" s="58">
        <f t="shared" ca="1" si="93"/>
        <v>8671.8893411400149</v>
      </c>
      <c r="AQ43" s="58">
        <f t="shared" ca="1" si="93"/>
        <v>9491.7235335203532</v>
      </c>
      <c r="AR43" s="212">
        <f t="shared" ca="1" si="93"/>
        <v>9382.1516996594382</v>
      </c>
      <c r="AS43" s="58">
        <f t="shared" ca="1" si="93"/>
        <v>8791.1588988949607</v>
      </c>
      <c r="AT43" s="58">
        <f t="shared" ca="1" si="93"/>
        <v>10950.115969626018</v>
      </c>
      <c r="AU43" s="58">
        <f t="shared" ca="1" si="93"/>
        <v>12105.083913090812</v>
      </c>
      <c r="AV43" s="212">
        <f t="shared" ca="1" si="93"/>
        <v>11324.526910660174</v>
      </c>
      <c r="AW43" s="58">
        <f t="shared" ref="AW43:AZ43" ca="1" si="94">AW302</f>
        <v>10544.581955027408</v>
      </c>
      <c r="AX43" s="58">
        <f t="shared" ca="1" si="94"/>
        <v>12866.365065845413</v>
      </c>
      <c r="AY43" s="58">
        <f t="shared" ca="1" si="94"/>
        <v>14123.286968298044</v>
      </c>
      <c r="AZ43" s="58">
        <f t="shared" ca="1" si="94"/>
        <v>13452.521870878229</v>
      </c>
    </row>
    <row r="44" spans="1:60" hidden="1" outlineLevel="1">
      <c r="B44" s="3" t="s">
        <v>613</v>
      </c>
      <c r="E44" s="106"/>
      <c r="F44" s="46"/>
      <c r="G44" s="58">
        <f>G307</f>
        <v>-1522.279</v>
      </c>
      <c r="H44" s="58">
        <f t="shared" ref="H44:M44" si="95">H307</f>
        <v>-5973.9780000000001</v>
      </c>
      <c r="I44" s="58">
        <f t="shared" si="95"/>
        <v>-13145.445</v>
      </c>
      <c r="J44" s="58">
        <f t="shared" si="95"/>
        <v>-12386.035</v>
      </c>
      <c r="K44" s="58">
        <f t="shared" ca="1" si="95"/>
        <v>-6768.8281219406845</v>
      </c>
      <c r="L44" s="58">
        <f t="shared" ca="1" si="95"/>
        <v>-5507.4576990322757</v>
      </c>
      <c r="M44" s="58">
        <f t="shared" ca="1" si="95"/>
        <v>-7325.2784162099751</v>
      </c>
      <c r="N44" s="58">
        <f t="shared" ref="N44" ca="1" si="96">N307</f>
        <v>-6830.7913174967707</v>
      </c>
      <c r="Q44" s="58"/>
      <c r="R44" s="58"/>
      <c r="S44" s="58"/>
      <c r="T44" s="212"/>
      <c r="U44" s="58">
        <f t="shared" ref="U44:AV44" ca="1" si="97">U307</f>
        <v>-39.607254859593922</v>
      </c>
      <c r="V44" s="58">
        <f t="shared" ca="1" si="97"/>
        <v>-271.18310009985908</v>
      </c>
      <c r="W44" s="58">
        <f t="shared" ca="1" si="97"/>
        <v>-498.30954882682499</v>
      </c>
      <c r="X44" s="212">
        <f t="shared" ca="1" si="97"/>
        <v>-713.179096213722</v>
      </c>
      <c r="Y44" s="58">
        <f t="shared" ca="1" si="97"/>
        <v>-647.58868451204489</v>
      </c>
      <c r="Z44" s="58">
        <f t="shared" ca="1" si="97"/>
        <v>-1439.0543726637652</v>
      </c>
      <c r="AA44" s="58">
        <f t="shared" ca="1" si="97"/>
        <v>-1810.1761305203572</v>
      </c>
      <c r="AB44" s="212">
        <f t="shared" ca="1" si="97"/>
        <v>-2077.1588123038323</v>
      </c>
      <c r="AC44" s="58">
        <f t="shared" ca="1" si="97"/>
        <v>-1874.7196005496917</v>
      </c>
      <c r="AD44" s="58">
        <f t="shared" ca="1" si="97"/>
        <v>-3439.7283782270833</v>
      </c>
      <c r="AE44" s="58">
        <f t="shared" ca="1" si="97"/>
        <v>-4643.0837641512971</v>
      </c>
      <c r="AF44" s="212">
        <f t="shared" ca="1" si="97"/>
        <v>-3187.9132570719285</v>
      </c>
      <c r="AG44" s="58">
        <f t="shared" si="97"/>
        <v>-3368.76</v>
      </c>
      <c r="AH44" s="58">
        <f t="shared" ca="1" si="97"/>
        <v>-3433.8994319981516</v>
      </c>
      <c r="AI44" s="58">
        <f t="shared" ca="1" si="97"/>
        <v>-2633.4612935721052</v>
      </c>
      <c r="AJ44" s="212">
        <f t="shared" ca="1" si="97"/>
        <v>-2949.9142744297424</v>
      </c>
      <c r="AK44" s="58">
        <f t="shared" si="97"/>
        <v>-1752.3889999999999</v>
      </c>
      <c r="AL44" s="58">
        <f t="shared" ca="1" si="97"/>
        <v>-1691.1795486448864</v>
      </c>
      <c r="AM44" s="58">
        <f t="shared" ca="1" si="97"/>
        <v>-1781.5522952737338</v>
      </c>
      <c r="AN44" s="212">
        <f t="shared" ca="1" si="97"/>
        <v>-1543.7072780220642</v>
      </c>
      <c r="AO44" s="58">
        <f t="shared" ca="1" si="97"/>
        <v>-1563.8907912436998</v>
      </c>
      <c r="AP44" s="58">
        <f t="shared" ca="1" si="97"/>
        <v>-1063.0450792772217</v>
      </c>
      <c r="AQ44" s="58">
        <f t="shared" ca="1" si="97"/>
        <v>-1429.3492095081981</v>
      </c>
      <c r="AR44" s="212">
        <f t="shared" ca="1" si="97"/>
        <v>-1451.1726190031561</v>
      </c>
      <c r="AS44" s="58">
        <f t="shared" ca="1" si="97"/>
        <v>-1588.3933453006916</v>
      </c>
      <c r="AT44" s="58">
        <f t="shared" ca="1" si="97"/>
        <v>-1503.9400050912391</v>
      </c>
      <c r="AU44" s="58">
        <f t="shared" ca="1" si="97"/>
        <v>-2242.1162198838633</v>
      </c>
      <c r="AV44" s="212">
        <f t="shared" ca="1" si="97"/>
        <v>-1990.8288459341809</v>
      </c>
      <c r="AW44" s="58">
        <f t="shared" ref="AW44:AZ44" ca="1" si="98">AW307</f>
        <v>-1644.933676069046</v>
      </c>
      <c r="AX44" s="58">
        <f t="shared" ca="1" si="98"/>
        <v>-1303.1041487695888</v>
      </c>
      <c r="AY44" s="58">
        <f t="shared" ca="1" si="98"/>
        <v>-2347.7244775710465</v>
      </c>
      <c r="AZ44" s="58">
        <f t="shared" ca="1" si="98"/>
        <v>-1535.0290150870899</v>
      </c>
    </row>
    <row r="45" spans="1:60" hidden="1" outlineLevel="1">
      <c r="B45" s="3" t="s">
        <v>3</v>
      </c>
      <c r="E45" s="106"/>
      <c r="F45" s="46"/>
      <c r="G45" s="58">
        <f>G312</f>
        <v>-743.01300000000003</v>
      </c>
      <c r="H45" s="58">
        <f t="shared" ref="H45:M45" si="99">H312</f>
        <v>-1110.299</v>
      </c>
      <c r="I45" s="58">
        <f t="shared" si="99"/>
        <v>-2383.4070000000006</v>
      </c>
      <c r="J45" s="58">
        <f t="shared" si="99"/>
        <v>-2727.1020000000003</v>
      </c>
      <c r="K45" s="58">
        <f t="shared" ca="1" si="99"/>
        <v>-3719.5849999999959</v>
      </c>
      <c r="L45" s="58">
        <f t="shared" ca="1" si="99"/>
        <v>-7287.0340563457285</v>
      </c>
      <c r="M45" s="58">
        <f t="shared" ca="1" si="99"/>
        <v>-6201.9975342312719</v>
      </c>
      <c r="N45" s="58">
        <f t="shared" ref="N45" ca="1" si="100">N312</f>
        <v>-3077.0606568188678</v>
      </c>
      <c r="O45" s="167"/>
      <c r="Q45" s="58"/>
      <c r="R45" s="58"/>
      <c r="S45" s="58"/>
      <c r="T45" s="212"/>
      <c r="U45" s="58">
        <f t="shared" ref="U45:AV45" ca="1" si="101">U312</f>
        <v>-189.52486921279672</v>
      </c>
      <c r="V45" s="58">
        <f t="shared" ca="1" si="101"/>
        <v>-174.30982979038754</v>
      </c>
      <c r="W45" s="58">
        <f t="shared" ca="1" si="101"/>
        <v>-183.2877333331985</v>
      </c>
      <c r="X45" s="212">
        <f t="shared" ca="1" si="101"/>
        <v>-195.89056766361728</v>
      </c>
      <c r="Y45" s="58">
        <f t="shared" ca="1" si="101"/>
        <v>-294.1605267137511</v>
      </c>
      <c r="Z45" s="58">
        <f t="shared" ca="1" si="101"/>
        <v>-273.50312691187128</v>
      </c>
      <c r="AA45" s="58">
        <f t="shared" ca="1" si="101"/>
        <v>-265.52783176925732</v>
      </c>
      <c r="AB45" s="212">
        <f t="shared" ca="1" si="101"/>
        <v>-277.10751460512029</v>
      </c>
      <c r="AC45" s="58">
        <f t="shared" si="101"/>
        <v>-588.00217731255952</v>
      </c>
      <c r="AD45" s="58">
        <f t="shared" si="101"/>
        <v>-554.95416150252731</v>
      </c>
      <c r="AE45" s="58">
        <f t="shared" si="101"/>
        <v>-699.21067322086947</v>
      </c>
      <c r="AF45" s="212">
        <f t="shared" si="101"/>
        <v>-541.2399879640443</v>
      </c>
      <c r="AG45" s="58">
        <f t="shared" si="101"/>
        <v>-918.577</v>
      </c>
      <c r="AH45" s="58">
        <f t="shared" si="101"/>
        <v>-504.50700000000052</v>
      </c>
      <c r="AI45" s="58">
        <f t="shared" si="101"/>
        <v>-557.92099999999994</v>
      </c>
      <c r="AJ45" s="212">
        <f t="shared" si="101"/>
        <v>-746.09699999999987</v>
      </c>
      <c r="AK45" s="58">
        <f t="shared" ca="1" si="101"/>
        <v>-961.98599999999965</v>
      </c>
      <c r="AL45" s="58">
        <f t="shared" ca="1" si="101"/>
        <v>-939.36999999999944</v>
      </c>
      <c r="AM45" s="58">
        <f t="shared" ca="1" si="101"/>
        <v>-1013.8000000000002</v>
      </c>
      <c r="AN45" s="212">
        <f t="shared" ca="1" si="101"/>
        <v>-804.4290000000002</v>
      </c>
      <c r="AO45" s="58">
        <f t="shared" ca="1" si="101"/>
        <v>-1223.2073792149672</v>
      </c>
      <c r="AP45" s="58">
        <f t="shared" ca="1" si="101"/>
        <v>-2272.0889951999116</v>
      </c>
      <c r="AQ45" s="58">
        <f t="shared" ca="1" si="101"/>
        <v>-1671.8177595497696</v>
      </c>
      <c r="AR45" s="212">
        <f t="shared" ca="1" si="101"/>
        <v>-2119.9199223810797</v>
      </c>
      <c r="AS45" s="58">
        <f t="shared" ca="1" si="101"/>
        <v>-1904.4891142807926</v>
      </c>
      <c r="AT45" s="58">
        <f t="shared" ca="1" si="101"/>
        <v>-2077.437194794742</v>
      </c>
      <c r="AU45" s="58">
        <f t="shared" ca="1" si="101"/>
        <v>-1026.5646112419035</v>
      </c>
      <c r="AV45" s="212">
        <f t="shared" ca="1" si="101"/>
        <v>-1193.5066139138339</v>
      </c>
      <c r="AW45" s="58">
        <f t="shared" ref="AW45:AZ45" ca="1" si="102">AW312</f>
        <v>-1391.2760397474044</v>
      </c>
      <c r="AX45" s="58">
        <f t="shared" ca="1" si="102"/>
        <v>-1629.5619926227312</v>
      </c>
      <c r="AY45" s="58">
        <f t="shared" ca="1" si="102"/>
        <v>-58.471035464012687</v>
      </c>
      <c r="AZ45" s="58">
        <f t="shared" ca="1" si="102"/>
        <v>2.2484110152808512</v>
      </c>
    </row>
    <row r="46" spans="1:60" hidden="1" outlineLevel="1">
      <c r="B46" s="3" t="s">
        <v>73</v>
      </c>
      <c r="E46" s="106"/>
      <c r="F46" s="46"/>
      <c r="G46" s="58">
        <f>G317</f>
        <v>-207.113</v>
      </c>
      <c r="H46" s="58">
        <f t="shared" ref="H46:M46" si="103">H317</f>
        <v>302.988</v>
      </c>
      <c r="I46" s="58">
        <f t="shared" si="103"/>
        <v>469.71800000000002</v>
      </c>
      <c r="J46" s="58">
        <f t="shared" ca="1" si="103"/>
        <v>-230.60200000000304</v>
      </c>
      <c r="K46" s="58">
        <f t="shared" ca="1" si="103"/>
        <v>-566.02215815007639</v>
      </c>
      <c r="L46" s="58">
        <f t="shared" ca="1" si="103"/>
        <v>-864.80004695428784</v>
      </c>
      <c r="M46" s="58">
        <f t="shared" ca="1" si="103"/>
        <v>-1136.480439974539</v>
      </c>
      <c r="N46" s="58">
        <f t="shared" ref="N46" ca="1" si="104">N317</f>
        <v>-1306.869357489762</v>
      </c>
      <c r="Q46" s="58"/>
      <c r="R46" s="58"/>
      <c r="S46" s="58"/>
      <c r="T46" s="212"/>
      <c r="U46" s="58">
        <f t="shared" ref="U46:AV46" ca="1" si="105">U317</f>
        <v>-40.82789085253097</v>
      </c>
      <c r="V46" s="58">
        <f t="shared" ca="1" si="105"/>
        <v>-51.397949303820951</v>
      </c>
      <c r="W46" s="58">
        <f t="shared" ca="1" si="105"/>
        <v>-59.706664097748217</v>
      </c>
      <c r="X46" s="212">
        <f t="shared" ca="1" si="105"/>
        <v>-55.180495745899862</v>
      </c>
      <c r="Y46" s="58">
        <f t="shared" ca="1" si="105"/>
        <v>-160.37419337386956</v>
      </c>
      <c r="Z46" s="58">
        <f t="shared" ca="1" si="105"/>
        <v>140.34324244104118</v>
      </c>
      <c r="AA46" s="58">
        <f t="shared" ca="1" si="105"/>
        <v>157.07377145947976</v>
      </c>
      <c r="AB46" s="212">
        <f t="shared" ca="1" si="105"/>
        <v>165.94517947334862</v>
      </c>
      <c r="AC46" s="58">
        <f t="shared" ca="1" si="105"/>
        <v>-98.814630312063684</v>
      </c>
      <c r="AD46" s="58">
        <f t="shared" ca="1" si="105"/>
        <v>175.25814626912961</v>
      </c>
      <c r="AE46" s="58">
        <f t="shared" ca="1" si="105"/>
        <v>203.64705968862563</v>
      </c>
      <c r="AF46" s="212">
        <f t="shared" ca="1" si="105"/>
        <v>189.62742435430846</v>
      </c>
      <c r="AG46" s="58">
        <f t="shared" si="105"/>
        <v>51.976999999998952</v>
      </c>
      <c r="AH46" s="58">
        <f t="shared" ca="1" si="105"/>
        <v>153.60736520864884</v>
      </c>
      <c r="AI46" s="58">
        <f t="shared" ca="1" si="105"/>
        <v>-203.56721888461516</v>
      </c>
      <c r="AJ46" s="212">
        <f t="shared" ca="1" si="105"/>
        <v>-232.61914632403568</v>
      </c>
      <c r="AK46" s="58">
        <f t="shared" ca="1" si="105"/>
        <v>-87.380000000001928</v>
      </c>
      <c r="AL46" s="58">
        <f t="shared" ca="1" si="105"/>
        <v>-149.23683058505685</v>
      </c>
      <c r="AM46" s="58">
        <f t="shared" ca="1" si="105"/>
        <v>-164.77470558531513</v>
      </c>
      <c r="AN46" s="212">
        <f t="shared" ca="1" si="105"/>
        <v>-164.63062197970248</v>
      </c>
      <c r="AO46" s="58">
        <f t="shared" ca="1" si="105"/>
        <v>-148.79655263898584</v>
      </c>
      <c r="AP46" s="58">
        <f t="shared" ca="1" si="105"/>
        <v>-213.80541066572545</v>
      </c>
      <c r="AQ46" s="58">
        <f t="shared" ca="1" si="105"/>
        <v>-243.99668586620797</v>
      </c>
      <c r="AR46" s="212">
        <f t="shared" ca="1" si="105"/>
        <v>-258.20139778336869</v>
      </c>
      <c r="AS46" s="58">
        <f t="shared" ca="1" si="105"/>
        <v>-247.45845888749929</v>
      </c>
      <c r="AT46" s="58">
        <f t="shared" ca="1" si="105"/>
        <v>-284.41962626046472</v>
      </c>
      <c r="AU46" s="58">
        <f t="shared" ca="1" si="105"/>
        <v>-309.57819499236888</v>
      </c>
      <c r="AV46" s="212">
        <f t="shared" ca="1" si="105"/>
        <v>-295.0241598342061</v>
      </c>
      <c r="AW46" s="58">
        <f t="shared" ref="AW46:AZ46" ca="1" si="106">AW317</f>
        <v>-288.30531825974799</v>
      </c>
      <c r="AX46" s="58">
        <f t="shared" ca="1" si="106"/>
        <v>-325.36784637066478</v>
      </c>
      <c r="AY46" s="58">
        <f t="shared" ca="1" si="106"/>
        <v>-351.96058223536812</v>
      </c>
      <c r="AZ46" s="58">
        <f t="shared" ca="1" si="106"/>
        <v>-341.23561062398102</v>
      </c>
    </row>
    <row r="47" spans="1:60" hidden="1" outlineLevel="1">
      <c r="B47" s="94" t="s">
        <v>87</v>
      </c>
      <c r="C47" s="93"/>
      <c r="D47" s="93"/>
      <c r="E47" s="92"/>
      <c r="F47" s="91"/>
      <c r="G47" s="91">
        <f>SUM(G43:G46)</f>
        <v>11706.447</v>
      </c>
      <c r="H47" s="91">
        <f t="shared" ref="H47:M47" si="107">SUM(H43:H46)</f>
        <v>13766.504000000003</v>
      </c>
      <c r="I47" s="91">
        <f t="shared" si="107"/>
        <v>13058.703</v>
      </c>
      <c r="J47" s="91">
        <f t="shared" ca="1" si="107"/>
        <v>11809.068000000001</v>
      </c>
      <c r="K47" s="91">
        <f t="shared" ca="1" si="107"/>
        <v>18934.457000000002</v>
      </c>
      <c r="L47" s="91">
        <f t="shared" ca="1" si="107"/>
        <v>20444.039923320313</v>
      </c>
      <c r="M47" s="91">
        <f t="shared" ca="1" si="107"/>
        <v>28507.129301856185</v>
      </c>
      <c r="N47" s="91">
        <f t="shared" ref="N47" ca="1" si="108">SUM(N43:N46)</f>
        <v>39772.034528243697</v>
      </c>
      <c r="Q47" s="91"/>
      <c r="R47" s="91"/>
      <c r="S47" s="91"/>
      <c r="T47" s="213"/>
      <c r="U47" s="91">
        <f t="shared" ref="U47" ca="1" si="109">SUM(U43:U46)</f>
        <v>2321.4390000000044</v>
      </c>
      <c r="V47" s="91">
        <f t="shared" ref="V47" ca="1" si="110">SUM(V43:V46)</f>
        <v>2987.1489999999999</v>
      </c>
      <c r="W47" s="91">
        <f t="shared" ref="W47" ca="1" si="111">SUM(W43:W46)</f>
        <v>3480.8849999999984</v>
      </c>
      <c r="X47" s="213">
        <f t="shared" ref="X47" ca="1" si="112">SUM(X43:X46)</f>
        <v>2916.9739999999983</v>
      </c>
      <c r="Y47" s="91">
        <f t="shared" ref="Y47" ca="1" si="113">SUM(Y43:Y46)</f>
        <v>2542.6399999999981</v>
      </c>
      <c r="Z47" s="91">
        <f t="shared" ref="Z47" ca="1" si="114">SUM(Z43:Z46)</f>
        <v>3778.8220000000024</v>
      </c>
      <c r="AA47" s="91">
        <f t="shared" ref="AA47" ca="1" si="115">SUM(AA43:AA46)</f>
        <v>4154.0139999999992</v>
      </c>
      <c r="AB47" s="213">
        <f t="shared" ref="AB47" ca="1" si="116">SUM(AB43:AB46)</f>
        <v>3291.0279999999993</v>
      </c>
      <c r="AC47" s="91">
        <f t="shared" ref="AC47" ca="1" si="117">SUM(AC43:AC46)</f>
        <v>2446.4200000000042</v>
      </c>
      <c r="AD47" s="91">
        <f t="shared" ref="AD47" ca="1" si="118">SUM(AD43:AD46)</f>
        <v>3824.4179999999978</v>
      </c>
      <c r="AE47" s="91">
        <f t="shared" ref="AE47" ca="1" si="119">SUM(AE43:AE46)</f>
        <v>2911.9689999999964</v>
      </c>
      <c r="AF47" s="213">
        <f t="shared" ref="AF47" ca="1" si="120">SUM(AF43:AF46)</f>
        <v>3875.8959999999997</v>
      </c>
      <c r="AG47" s="91">
        <f t="shared" ref="AG47" si="121">SUM(AG43:AG46)</f>
        <v>2519.7989999999991</v>
      </c>
      <c r="AH47" s="91">
        <f t="shared" ref="AH47" ca="1" si="122">SUM(AH43:AH46)</f>
        <v>3267.3170000000023</v>
      </c>
      <c r="AI47" s="91">
        <f t="shared" ref="AI47" ca="1" si="123">SUM(AI43:AI46)</f>
        <v>3204.8930000000028</v>
      </c>
      <c r="AJ47" s="213">
        <f t="shared" ref="AJ47" ca="1" si="124">SUM(AJ43:AJ46)</f>
        <v>2817.0589999999993</v>
      </c>
      <c r="AK47" s="91">
        <f t="shared" ref="AK47" ca="1" si="125">SUM(AK43:AK46)</f>
        <v>2636.4569999999985</v>
      </c>
      <c r="AL47" s="91">
        <f t="shared" ref="AL47" ca="1" si="126">SUM(AL43:AL46)</f>
        <v>5006.0000000000009</v>
      </c>
      <c r="AM47" s="91">
        <f t="shared" ref="AM47" ca="1" si="127">SUM(AM43:AM46)</f>
        <v>5541</v>
      </c>
      <c r="AN47" s="213">
        <f t="shared" ref="AN47" ca="1" si="128">SUM(AN43:AN46)</f>
        <v>5751</v>
      </c>
      <c r="AO47" s="91">
        <f t="shared" ref="AO47" ca="1" si="129">SUM(AO43:AO46)</f>
        <v>3621.6724282351506</v>
      </c>
      <c r="AP47" s="91">
        <f t="shared" ref="AP47" ca="1" si="130">SUM(AP43:AP46)</f>
        <v>5122.9498559971562</v>
      </c>
      <c r="AQ47" s="91">
        <f t="shared" ref="AQ47" ca="1" si="131">SUM(AQ43:AQ46)</f>
        <v>6146.5598785961774</v>
      </c>
      <c r="AR47" s="213">
        <f t="shared" ref="AR47" ca="1" si="132">SUM(AR43:AR46)</f>
        <v>5552.8577604918337</v>
      </c>
      <c r="AS47" s="91">
        <f t="shared" ref="AS47" ca="1" si="133">SUM(AS43:AS46)</f>
        <v>5050.8179804259762</v>
      </c>
      <c r="AT47" s="91">
        <f t="shared" ref="AT47" ca="1" si="134">SUM(AT43:AT46)</f>
        <v>7084.3191434795726</v>
      </c>
      <c r="AU47" s="91">
        <f t="shared" ref="AU47" ca="1" si="135">SUM(AU43:AU46)</f>
        <v>8526.8248869726758</v>
      </c>
      <c r="AV47" s="213">
        <f t="shared" ref="AV47:AZ47" ca="1" si="136">SUM(AV43:AV46)</f>
        <v>7845.1672909779527</v>
      </c>
      <c r="AW47" s="91">
        <f t="shared" ca="1" si="136"/>
        <v>7220.0669209512098</v>
      </c>
      <c r="AX47" s="91">
        <f t="shared" ca="1" si="136"/>
        <v>9608.3310780824268</v>
      </c>
      <c r="AY47" s="91">
        <f t="shared" ca="1" si="136"/>
        <v>11365.130873027618</v>
      </c>
      <c r="AZ47" s="91">
        <f t="shared" ca="1" si="136"/>
        <v>11578.505656182439</v>
      </c>
    </row>
    <row r="48" spans="1:60" hidden="1" outlineLevel="1">
      <c r="E48" s="106"/>
      <c r="F48" s="46"/>
      <c r="G48" s="46"/>
      <c r="H48" s="46"/>
      <c r="I48" s="292"/>
      <c r="J48" s="292"/>
      <c r="K48" s="292"/>
      <c r="L48" s="292"/>
      <c r="M48" s="292"/>
      <c r="N48" s="292"/>
      <c r="Q48" s="45"/>
      <c r="R48" s="45"/>
      <c r="S48" s="45"/>
      <c r="T48" s="214"/>
      <c r="U48" s="45"/>
      <c r="V48" s="45"/>
      <c r="W48" s="45"/>
      <c r="X48" s="214"/>
      <c r="Y48" s="45"/>
      <c r="Z48" s="45"/>
      <c r="AA48" s="45"/>
      <c r="AB48" s="214"/>
      <c r="AC48" s="45"/>
      <c r="AD48" s="45"/>
      <c r="AE48" s="45"/>
      <c r="AF48" s="214"/>
      <c r="AG48" s="45"/>
      <c r="AH48" s="45"/>
      <c r="AI48" s="45"/>
      <c r="AJ48" s="214"/>
      <c r="AK48" s="45"/>
      <c r="AL48" s="45"/>
      <c r="AM48" s="45"/>
      <c r="AN48" s="214"/>
      <c r="AO48" s="45"/>
      <c r="AP48" s="45"/>
      <c r="AQ48" s="45"/>
      <c r="AR48" s="214"/>
      <c r="AS48" s="45"/>
      <c r="AT48" s="45"/>
      <c r="AU48" s="45"/>
      <c r="AV48" s="214"/>
      <c r="AW48" s="45"/>
      <c r="AX48" s="45"/>
      <c r="AY48" s="45"/>
      <c r="AZ48" s="45"/>
    </row>
    <row r="49" spans="2:52" hidden="1" outlineLevel="1">
      <c r="B49" s="203" t="s">
        <v>391</v>
      </c>
      <c r="E49" s="106"/>
      <c r="F49" s="46"/>
      <c r="G49" s="46"/>
      <c r="H49" s="292"/>
      <c r="I49" s="292"/>
      <c r="J49" s="292"/>
      <c r="K49" s="292"/>
      <c r="L49" s="292"/>
      <c r="M49" s="292"/>
      <c r="N49" s="292"/>
      <c r="Q49" s="45"/>
      <c r="R49" s="45"/>
      <c r="S49" s="45"/>
      <c r="T49" s="214"/>
      <c r="U49" s="45"/>
      <c r="V49" s="45"/>
      <c r="W49" s="45"/>
      <c r="X49" s="214"/>
      <c r="Y49" s="45"/>
      <c r="Z49" s="45"/>
      <c r="AA49" s="45"/>
      <c r="AB49" s="214"/>
      <c r="AC49" s="45"/>
      <c r="AD49" s="45"/>
      <c r="AE49" s="45"/>
      <c r="AF49" s="214"/>
      <c r="AG49" s="45"/>
      <c r="AH49" s="45"/>
      <c r="AI49" s="45"/>
      <c r="AJ49" s="214"/>
      <c r="AK49" s="45"/>
      <c r="AL49" s="45"/>
      <c r="AM49" s="45"/>
      <c r="AN49" s="214"/>
      <c r="AO49" s="45"/>
      <c r="AP49" s="45"/>
      <c r="AQ49" s="45"/>
      <c r="AR49" s="214"/>
      <c r="AS49" s="45"/>
      <c r="AT49" s="45"/>
      <c r="AU49" s="45"/>
      <c r="AV49" s="214"/>
      <c r="AW49" s="45"/>
      <c r="AX49" s="45"/>
      <c r="AY49" s="45"/>
      <c r="AZ49" s="45"/>
    </row>
    <row r="50" spans="2:52" hidden="1" outlineLevel="1">
      <c r="B50" s="3" t="s">
        <v>18</v>
      </c>
      <c r="C50" s="3"/>
      <c r="D50" s="3"/>
      <c r="E50" s="3"/>
      <c r="F50" s="3"/>
      <c r="G50" s="4">
        <f>G43/G7</f>
        <v>0.4791726849725903</v>
      </c>
      <c r="H50" s="4">
        <f t="shared" ref="H50:M50" si="137">H43/H7</f>
        <v>0.46990594628423299</v>
      </c>
      <c r="I50" s="4">
        <f t="shared" si="137"/>
        <v>0.50510348250373405</v>
      </c>
      <c r="J50" s="4">
        <f t="shared" si="137"/>
        <v>0.49034386996550849</v>
      </c>
      <c r="K50" s="4">
        <f t="shared" ca="1" si="137"/>
        <v>0.48242705775258188</v>
      </c>
      <c r="L50" s="4">
        <f t="shared" ca="1" si="137"/>
        <v>0.45672107303481885</v>
      </c>
      <c r="M50" s="4">
        <f t="shared" ca="1" si="137"/>
        <v>0.48109630842243906</v>
      </c>
      <c r="N50" s="4">
        <f t="shared" ref="N50" ca="1" si="138">N43/N7</f>
        <v>0.4905797142480478</v>
      </c>
      <c r="O50" s="165"/>
      <c r="Q50" s="4"/>
      <c r="R50" s="4"/>
      <c r="S50" s="4"/>
      <c r="T50" s="215"/>
      <c r="U50" s="4">
        <f t="shared" ref="U50:AV50" ca="1" si="139">U43/U7</f>
        <v>0.46083418979785512</v>
      </c>
      <c r="V50" s="4">
        <f t="shared" ca="1" si="139"/>
        <v>0.48969540687322488</v>
      </c>
      <c r="W50" s="4">
        <f t="shared" ca="1" si="139"/>
        <v>0.5120900768240082</v>
      </c>
      <c r="X50" s="215">
        <f t="shared" ca="1" si="139"/>
        <v>0.45092357398149663</v>
      </c>
      <c r="Y50" s="4">
        <f t="shared" ca="1" si="139"/>
        <v>0.42118614299878426</v>
      </c>
      <c r="Z50" s="4">
        <f t="shared" ca="1" si="139"/>
        <v>0.49261367252361798</v>
      </c>
      <c r="AA50" s="4">
        <f t="shared" ca="1" si="139"/>
        <v>0.50059339175783713</v>
      </c>
      <c r="AB50" s="215">
        <f t="shared" ca="1" si="139"/>
        <v>0.45357134098712348</v>
      </c>
      <c r="AC50" s="4">
        <f t="shared" si="139"/>
        <v>0.442735728095971</v>
      </c>
      <c r="AD50" s="4">
        <f t="shared" si="139"/>
        <v>0.52073864836892003</v>
      </c>
      <c r="AE50" s="4">
        <f t="shared" si="139"/>
        <v>0.51841268353412284</v>
      </c>
      <c r="AF50" s="215">
        <f t="shared" si="139"/>
        <v>0.50128837748671529</v>
      </c>
      <c r="AG50" s="4">
        <f t="shared" si="139"/>
        <v>0.50995036574772323</v>
      </c>
      <c r="AH50" s="4">
        <f t="shared" ca="1" si="139"/>
        <v>0.48589728273343868</v>
      </c>
      <c r="AI50" s="4">
        <f t="shared" ca="1" si="139"/>
        <v>0.474472697419557</v>
      </c>
      <c r="AJ50" s="215">
        <f t="shared" ca="1" si="139"/>
        <v>0.49221037102582132</v>
      </c>
      <c r="AK50" s="4">
        <f t="shared" si="139"/>
        <v>0.4378400464713908</v>
      </c>
      <c r="AL50" s="4">
        <f t="shared" ca="1" si="139"/>
        <v>0.51366712827089245</v>
      </c>
      <c r="AM50" s="4">
        <f t="shared" si="139"/>
        <v>0.5</v>
      </c>
      <c r="AN50" s="215">
        <f t="shared" si="139"/>
        <v>0.47000000000000003</v>
      </c>
      <c r="AO50" s="4">
        <f t="shared" ca="1" si="139"/>
        <v>0.42499999999999999</v>
      </c>
      <c r="AP50" s="4">
        <f t="shared" ca="1" si="139"/>
        <v>0.46500000000000008</v>
      </c>
      <c r="AQ50" s="4">
        <f t="shared" ca="1" si="139"/>
        <v>0.47000000000000003</v>
      </c>
      <c r="AR50" s="215">
        <f t="shared" ca="1" si="139"/>
        <v>0.46</v>
      </c>
      <c r="AS50" s="4">
        <f t="shared" ca="1" si="139"/>
        <v>0.45475000000000004</v>
      </c>
      <c r="AT50" s="4">
        <f t="shared" ca="1" si="139"/>
        <v>0.48825000000000007</v>
      </c>
      <c r="AU50" s="4">
        <f t="shared" ca="1" si="139"/>
        <v>0.49349999999999999</v>
      </c>
      <c r="AV50" s="215">
        <f t="shared" ca="1" si="139"/>
        <v>0.48299999999999998</v>
      </c>
      <c r="AW50" s="4">
        <f t="shared" ref="AW50:AZ50" ca="1" si="140">AW43/AW7</f>
        <v>0.46384500000000001</v>
      </c>
      <c r="AX50" s="4">
        <f t="shared" ca="1" si="140"/>
        <v>0.49801500000000015</v>
      </c>
      <c r="AY50" s="4">
        <f t="shared" ca="1" si="140"/>
        <v>0.50336999999999998</v>
      </c>
      <c r="AZ50" s="4">
        <f t="shared" ca="1" si="140"/>
        <v>0.49266000000000004</v>
      </c>
    </row>
    <row r="51" spans="2:52" hidden="1" outlineLevel="1">
      <c r="B51" s="3" t="s">
        <v>613</v>
      </c>
      <c r="C51" s="3"/>
      <c r="D51" s="3"/>
      <c r="E51" s="3"/>
      <c r="F51" s="3"/>
      <c r="G51" s="4">
        <f t="shared" ref="G51:M51" si="141">G44/G10</f>
        <v>-1.1539523964381093</v>
      </c>
      <c r="H51" s="4">
        <f t="shared" si="141"/>
        <v>-1.5628637713553799</v>
      </c>
      <c r="I51" s="4">
        <f t="shared" si="141"/>
        <v>-1.8763282476972045</v>
      </c>
      <c r="J51" s="4">
        <f t="shared" si="141"/>
        <v>-2.530609955774723</v>
      </c>
      <c r="K51" s="4">
        <f t="shared" ca="1" si="141"/>
        <v>-1.1055991309290512</v>
      </c>
      <c r="L51" s="4">
        <f t="shared" ca="1" si="141"/>
        <v>-0.84221211472519597</v>
      </c>
      <c r="M51" s="4">
        <f t="shared" ca="1" si="141"/>
        <v>-0.97944113496349761</v>
      </c>
      <c r="N51" s="4">
        <f t="shared" ref="N51" ca="1" si="142">N44/N10</f>
        <v>-0.64203502316482108</v>
      </c>
      <c r="O51" s="165"/>
      <c r="Q51" s="4"/>
      <c r="R51" s="4"/>
      <c r="S51" s="4"/>
      <c r="T51" s="215"/>
      <c r="U51" s="4">
        <f t="shared" ref="U51:AV51" ca="1" si="143">U44/U10</f>
        <v>-0.1590000217659637</v>
      </c>
      <c r="V51" s="4">
        <f t="shared" ca="1" si="143"/>
        <v>-0.98132127595229157</v>
      </c>
      <c r="W51" s="4">
        <f t="shared" ca="1" si="143"/>
        <v>-1.3349414275031291</v>
      </c>
      <c r="X51" s="215">
        <f t="shared" ca="1" si="143"/>
        <v>-1.6961959052715072</v>
      </c>
      <c r="Y51" s="4">
        <f t="shared" ca="1" si="143"/>
        <v>-1.0698073590380897</v>
      </c>
      <c r="Z51" s="4">
        <f t="shared" ca="1" si="143"/>
        <v>-1.9859607317479198</v>
      </c>
      <c r="AA51" s="4">
        <f t="shared" ca="1" si="143"/>
        <v>-2.3740204410272292</v>
      </c>
      <c r="AB51" s="215">
        <f t="shared" ca="1" si="143"/>
        <v>-2.5098997816680231</v>
      </c>
      <c r="AC51" s="4">
        <f t="shared" ca="1" si="143"/>
        <v>-2.5381117396900059</v>
      </c>
      <c r="AD51" s="4">
        <f t="shared" ca="1" si="143"/>
        <v>-3.3608839602114018</v>
      </c>
      <c r="AE51" s="4">
        <f t="shared" ca="1" si="143"/>
        <v>-2.8232174112085726</v>
      </c>
      <c r="AF51" s="215">
        <f t="shared" ca="1" si="143"/>
        <v>-1.6232351952707831</v>
      </c>
      <c r="AG51" s="4">
        <f t="shared" si="143"/>
        <v>-3.7428088287251327</v>
      </c>
      <c r="AH51" s="4">
        <f t="shared" ca="1" si="143"/>
        <v>-3.1530421402908972</v>
      </c>
      <c r="AI51" s="4">
        <f t="shared" ca="1" si="143"/>
        <v>-1.9984062183414615</v>
      </c>
      <c r="AJ51" s="215">
        <f t="shared" ca="1" si="143"/>
        <v>-1.8581338827853608</v>
      </c>
      <c r="AK51" s="4">
        <f t="shared" si="143"/>
        <v>-1.286623553787575</v>
      </c>
      <c r="AL51" s="4">
        <f t="shared" ca="1" si="143"/>
        <v>-1.0560033980933574</v>
      </c>
      <c r="AM51" s="4">
        <f t="shared" ca="1" si="143"/>
        <v>-1.0067274132740347</v>
      </c>
      <c r="AN51" s="215">
        <f t="shared" ca="1" si="143"/>
        <v>-1.1112419158590803</v>
      </c>
      <c r="AO51" s="4">
        <f t="shared" ca="1" si="143"/>
        <v>-1.0006853983829973</v>
      </c>
      <c r="AP51" s="4">
        <f t="shared" ca="1" si="143"/>
        <v>-0.64781876355569423</v>
      </c>
      <c r="AQ51" s="4">
        <f t="shared" ca="1" si="143"/>
        <v>-0.82753834738058996</v>
      </c>
      <c r="AR51" s="215">
        <f t="shared" ca="1" si="143"/>
        <v>-0.90232136150032283</v>
      </c>
      <c r="AS51" s="4">
        <f t="shared" ca="1" si="143"/>
        <v>-0.8887924315204393</v>
      </c>
      <c r="AT51" s="4">
        <f t="shared" ca="1" si="143"/>
        <v>-0.8060495767935304</v>
      </c>
      <c r="AU51" s="4">
        <f t="shared" ca="1" si="143"/>
        <v>-1.1581312146656142</v>
      </c>
      <c r="AV51" s="215">
        <f t="shared" ca="1" si="143"/>
        <v>-1.0532878221925208</v>
      </c>
      <c r="AW51" s="4">
        <f t="shared" ref="AW51:AZ51" ca="1" si="144">AW44/AW10</f>
        <v>-0.71900740914980532</v>
      </c>
      <c r="AX51" s="4">
        <f t="shared" ca="1" si="144"/>
        <v>-0.51861444621020447</v>
      </c>
      <c r="AY51" s="4">
        <f t="shared" ca="1" si="144"/>
        <v>-0.86038612392096425</v>
      </c>
      <c r="AZ51" s="4">
        <f t="shared" ca="1" si="144"/>
        <v>-0.49355532541918734</v>
      </c>
    </row>
    <row r="52" spans="2:52" hidden="1" outlineLevel="1">
      <c r="B52" s="3" t="s">
        <v>3</v>
      </c>
      <c r="C52" s="3"/>
      <c r="D52" s="3"/>
      <c r="E52" s="3"/>
      <c r="F52" s="3"/>
      <c r="G52" s="4">
        <f t="shared" ref="G52:M52" si="145">G45/G11</f>
        <v>-0.5524087723654727</v>
      </c>
      <c r="H52" s="4">
        <f t="shared" si="145"/>
        <v>-0.38638556044922795</v>
      </c>
      <c r="I52" s="4">
        <f t="shared" si="145"/>
        <v>-0.4480930626057531</v>
      </c>
      <c r="J52" s="4">
        <f t="shared" si="145"/>
        <v>-0.24268950787576757</v>
      </c>
      <c r="K52" s="4">
        <f t="shared" ca="1" si="145"/>
        <v>-0.21403987800667487</v>
      </c>
      <c r="L52" s="4">
        <f t="shared" ca="1" si="145"/>
        <v>-0.29047296660362792</v>
      </c>
      <c r="M52" s="4">
        <f t="shared" ca="1" si="145"/>
        <v>-0.19035171481473154</v>
      </c>
      <c r="N52" s="4">
        <f t="shared" ref="N52" ca="1" si="146">N45/N11</f>
        <v>-7.4079924302288699E-2</v>
      </c>
      <c r="O52" s="165"/>
      <c r="Q52" s="4"/>
      <c r="R52" s="4"/>
      <c r="S52" s="4"/>
      <c r="T52" s="215"/>
      <c r="U52" s="4">
        <f t="shared" ref="U52:AV52" ca="1" si="147">U45/U11</f>
        <v>-1.2214530553568976</v>
      </c>
      <c r="V52" s="4">
        <f t="shared" ca="1" si="147"/>
        <v>-0.71430264596643012</v>
      </c>
      <c r="W52" s="4">
        <f t="shared" ca="1" si="147"/>
        <v>-0.50918748578279505</v>
      </c>
      <c r="X52" s="215">
        <f t="shared" ca="1" si="147"/>
        <v>-0.33434735836108764</v>
      </c>
      <c r="Y52" s="4">
        <f t="shared" ca="1" si="147"/>
        <v>-0.88954885622107216</v>
      </c>
      <c r="Z52" s="4">
        <f t="shared" ca="1" si="147"/>
        <v>-0.53101633831302175</v>
      </c>
      <c r="AA52" s="4">
        <f t="shared" ca="1" si="147"/>
        <v>-0.35126245385225224</v>
      </c>
      <c r="AB52" s="215">
        <f t="shared" ca="1" si="147"/>
        <v>-0.21787123382995247</v>
      </c>
      <c r="AC52" s="4">
        <f t="shared" si="147"/>
        <v>-0.73899502413625662</v>
      </c>
      <c r="AD52" s="4">
        <f t="shared" si="147"/>
        <v>-0.53841889878030424</v>
      </c>
      <c r="AE52" s="4">
        <f t="shared" si="147"/>
        <v>-0.50605801640772274</v>
      </c>
      <c r="AF52" s="215">
        <f t="shared" si="147"/>
        <v>-0.25644934200723002</v>
      </c>
      <c r="AG52" s="4">
        <f t="shared" si="147"/>
        <v>-0.47708248394493624</v>
      </c>
      <c r="AH52" s="4">
        <f t="shared" si="147"/>
        <v>-0.17401413478751276</v>
      </c>
      <c r="AI52" s="4">
        <f t="shared" si="147"/>
        <v>-0.17126455340895416</v>
      </c>
      <c r="AJ52" s="215">
        <f t="shared" si="147"/>
        <v>-0.23647212970933554</v>
      </c>
      <c r="AK52" s="4">
        <f t="shared" ca="1" si="147"/>
        <v>-0.29292814873414813</v>
      </c>
      <c r="AL52" s="4">
        <f t="shared" ca="1" si="147"/>
        <v>-0.21712915760488288</v>
      </c>
      <c r="AM52" s="4">
        <f t="shared" ca="1" si="147"/>
        <v>-0.20478396180813457</v>
      </c>
      <c r="AN52" s="215">
        <f t="shared" ca="1" si="147"/>
        <v>-0.16698357251421619</v>
      </c>
      <c r="AO52" s="4">
        <f t="shared" ca="1" si="147"/>
        <v>-0.23921630832968024</v>
      </c>
      <c r="AP52" s="4">
        <f t="shared" ca="1" si="147"/>
        <v>-0.3681125059008466</v>
      </c>
      <c r="AQ52" s="4">
        <f t="shared" ca="1" si="147"/>
        <v>-0.23972665431356388</v>
      </c>
      <c r="AR52" s="215">
        <f t="shared" ca="1" si="147"/>
        <v>-0.31050740665295878</v>
      </c>
      <c r="AS52" s="4">
        <f t="shared" ca="1" si="147"/>
        <v>-0.27679760452550273</v>
      </c>
      <c r="AT52" s="4">
        <f t="shared" ca="1" si="147"/>
        <v>-0.25980258110546661</v>
      </c>
      <c r="AU52" s="4">
        <f t="shared" ca="1" si="147"/>
        <v>-0.11564747464284017</v>
      </c>
      <c r="AV52" s="215">
        <f t="shared" ca="1" si="147"/>
        <v>-0.13518863109612916</v>
      </c>
      <c r="AW52" s="4">
        <f t="shared" ref="AW52:AZ52" ca="1" si="148">AW45/AW11</f>
        <v>-0.15518118408443465</v>
      </c>
      <c r="AX52" s="4">
        <f t="shared" ca="1" si="148"/>
        <v>-0.15986288293933823</v>
      </c>
      <c r="AY52" s="4">
        <f t="shared" ca="1" si="148"/>
        <v>-5.2491038983099973E-3</v>
      </c>
      <c r="AZ52" s="4">
        <f t="shared" ca="1" si="148"/>
        <v>2.0005784670723784E-4</v>
      </c>
    </row>
    <row r="53" spans="2:52" hidden="1" outlineLevel="1">
      <c r="B53" s="3" t="s">
        <v>73</v>
      </c>
      <c r="C53" s="3"/>
      <c r="D53" s="3"/>
      <c r="E53" s="3"/>
      <c r="F53" s="3"/>
      <c r="G53" s="4">
        <f t="shared" ref="G53:M53" si="149">G46/G12</f>
        <v>0.66685663321322386</v>
      </c>
      <c r="H53" s="4">
        <f t="shared" si="149"/>
        <v>-0.22097379642912543</v>
      </c>
      <c r="I53" s="4">
        <f t="shared" si="149"/>
        <v>-0.29162532827546184</v>
      </c>
      <c r="J53" s="4">
        <f t="shared" ca="1" si="149"/>
        <v>0.24092490960170962</v>
      </c>
      <c r="K53" s="4">
        <f t="shared" ca="1" si="149"/>
        <v>0.66323684571045871</v>
      </c>
      <c r="L53" s="4">
        <f t="shared" ca="1" si="149"/>
        <v>0.86042271200481413</v>
      </c>
      <c r="M53" s="4">
        <f t="shared" ca="1" si="149"/>
        <v>0.95</v>
      </c>
      <c r="N53" s="4">
        <f t="shared" ref="N53" ca="1" si="150">N46/N12</f>
        <v>0.95</v>
      </c>
      <c r="O53" s="165"/>
      <c r="Q53" s="4"/>
      <c r="R53" s="4"/>
      <c r="S53" s="4"/>
      <c r="T53" s="215"/>
      <c r="U53" s="4">
        <f t="shared" ref="U53:AV53" ca="1" si="151">U46/U12</f>
        <v>0.69192546595790483</v>
      </c>
      <c r="V53" s="4">
        <f t="shared" ca="1" si="151"/>
        <v>0.69207960764723842</v>
      </c>
      <c r="W53" s="4">
        <f t="shared" ca="1" si="151"/>
        <v>0.68947427759802427</v>
      </c>
      <c r="X53" s="215">
        <f t="shared" ca="1" si="151"/>
        <v>0.60830777475551379</v>
      </c>
      <c r="Y53" s="4">
        <f t="shared" ca="1" si="151"/>
        <v>1.7238187971191572</v>
      </c>
      <c r="Z53" s="4">
        <f t="shared" ca="1" si="151"/>
        <v>-1.2054002391851053</v>
      </c>
      <c r="AA53" s="4">
        <f t="shared" ca="1" si="151"/>
        <v>-1.2124205199508826</v>
      </c>
      <c r="AB53" s="215">
        <f t="shared" ca="1" si="151"/>
        <v>-1.2794425707215877</v>
      </c>
      <c r="AC53" s="4">
        <f t="shared" ca="1" si="151"/>
        <v>0.81611272281738401</v>
      </c>
      <c r="AD53" s="4">
        <f t="shared" ca="1" si="151"/>
        <v>-1.1107884898480216</v>
      </c>
      <c r="AE53" s="4">
        <f t="shared" ca="1" si="151"/>
        <v>-1.1801144546828268</v>
      </c>
      <c r="AF53" s="215">
        <f t="shared" ca="1" si="151"/>
        <v>-1.1262387607302475</v>
      </c>
      <c r="AG53" s="4">
        <f t="shared" si="151"/>
        <v>-0.20659077720453889</v>
      </c>
      <c r="AH53" s="4">
        <f t="shared" ca="1" si="151"/>
        <v>-0.64472809829941458</v>
      </c>
      <c r="AI53" s="4">
        <f t="shared" ca="1" si="151"/>
        <v>0.87546555214542887</v>
      </c>
      <c r="AJ53" s="215">
        <f t="shared" ca="1" si="151"/>
        <v>0.98906870963924831</v>
      </c>
      <c r="AK53" s="4">
        <f t="shared" ca="1" si="151"/>
        <v>0.4970420932878401</v>
      </c>
      <c r="AL53" s="4">
        <f t="shared" ca="1" si="151"/>
        <v>0.70704916619832914</v>
      </c>
      <c r="AM53" s="4">
        <f t="shared" ca="1" si="151"/>
        <v>0.70572116391094963</v>
      </c>
      <c r="AN53" s="215">
        <f t="shared" ca="1" si="151"/>
        <v>0.70635765924446503</v>
      </c>
      <c r="AO53" s="4">
        <f t="shared" ca="1" si="151"/>
        <v>0.70635765924446259</v>
      </c>
      <c r="AP53" s="4">
        <f t="shared" ca="1" si="151"/>
        <v>0.85</v>
      </c>
      <c r="AQ53" s="4">
        <f t="shared" ca="1" si="151"/>
        <v>0.9</v>
      </c>
      <c r="AR53" s="215">
        <f t="shared" ca="1" si="151"/>
        <v>0.95</v>
      </c>
      <c r="AS53" s="4">
        <f t="shared" ca="1" si="151"/>
        <v>0.95</v>
      </c>
      <c r="AT53" s="4">
        <f t="shared" ca="1" si="151"/>
        <v>0.95</v>
      </c>
      <c r="AU53" s="4">
        <f t="shared" ca="1" si="151"/>
        <v>0.95</v>
      </c>
      <c r="AV53" s="215">
        <f t="shared" ca="1" si="151"/>
        <v>0.95</v>
      </c>
      <c r="AW53" s="4">
        <f t="shared" ref="AW53:AZ53" ca="1" si="152">AW46/AW12</f>
        <v>0.95</v>
      </c>
      <c r="AX53" s="4">
        <f t="shared" ca="1" si="152"/>
        <v>0.94999999999999984</v>
      </c>
      <c r="AY53" s="4">
        <f t="shared" ca="1" si="152"/>
        <v>0.95</v>
      </c>
      <c r="AZ53" s="4">
        <f t="shared" ca="1" si="152"/>
        <v>0.95</v>
      </c>
    </row>
    <row r="54" spans="2:52" hidden="1" outlineLevel="1">
      <c r="B54" s="94" t="s">
        <v>87</v>
      </c>
      <c r="C54" s="94"/>
      <c r="D54" s="94"/>
      <c r="E54" s="94"/>
      <c r="F54" s="94"/>
      <c r="G54" s="168">
        <f t="shared" ref="G54:M54" si="153">G47/G13</f>
        <v>0.36646865926678263</v>
      </c>
      <c r="H54" s="168">
        <f t="shared" si="153"/>
        <v>0.28064940784245923</v>
      </c>
      <c r="I54" s="168">
        <f t="shared" si="153"/>
        <v>0.19672134481462508</v>
      </c>
      <c r="J54" s="168">
        <f t="shared" ca="1" si="153"/>
        <v>0.16738730628386672</v>
      </c>
      <c r="K54" s="168">
        <f t="shared" ca="1" si="153"/>
        <v>0.22325885085780847</v>
      </c>
      <c r="L54" s="168">
        <f t="shared" ca="1" si="153"/>
        <v>0.1941671870847386</v>
      </c>
      <c r="M54" s="168">
        <f t="shared" ca="1" si="153"/>
        <v>0.22167472310922418</v>
      </c>
      <c r="N54" s="168">
        <f t="shared" ref="N54" ca="1" si="154">N47/N13</f>
        <v>0.25703768164175295</v>
      </c>
      <c r="O54" s="165"/>
      <c r="Q54" s="168"/>
      <c r="R54" s="168"/>
      <c r="S54" s="168"/>
      <c r="T54" s="216"/>
      <c r="U54" s="168">
        <f t="shared" ref="U54:AV54" ca="1" si="155">U47/U13</f>
        <v>0.38894600319207218</v>
      </c>
      <c r="V54" s="168">
        <f t="shared" ca="1" si="155"/>
        <v>0.39508293748755924</v>
      </c>
      <c r="W54" s="168">
        <f t="shared" ca="1" si="155"/>
        <v>0.39147760743834259</v>
      </c>
      <c r="X54" s="216">
        <f t="shared" ca="1" si="155"/>
        <v>0.306311104595831</v>
      </c>
      <c r="Y54" s="168">
        <f t="shared" ca="1" si="155"/>
        <v>0.26774349258551927</v>
      </c>
      <c r="Z54" s="168">
        <f t="shared" ca="1" si="155"/>
        <v>0.31527538211524303</v>
      </c>
      <c r="AA54" s="168">
        <f t="shared" ca="1" si="155"/>
        <v>0.30725510134946216</v>
      </c>
      <c r="AB54" s="216">
        <f t="shared" ca="1" si="155"/>
        <v>0.23423305057874855</v>
      </c>
      <c r="AC54" s="168">
        <f t="shared" ca="1" si="155"/>
        <v>0.19225884694673726</v>
      </c>
      <c r="AD54" s="168">
        <f t="shared" ca="1" si="155"/>
        <v>0.2307308045893518</v>
      </c>
      <c r="AE54" s="168">
        <f t="shared" ca="1" si="155"/>
        <v>0.15840483975455458</v>
      </c>
      <c r="AF54" s="216">
        <f t="shared" ca="1" si="155"/>
        <v>0.20728053370714708</v>
      </c>
      <c r="AG54" s="168">
        <f t="shared" si="155"/>
        <v>0.15927357114521518</v>
      </c>
      <c r="AH54" s="168">
        <f t="shared" ca="1" si="155"/>
        <v>0.17889728273343869</v>
      </c>
      <c r="AI54" s="168">
        <f t="shared" ca="1" si="155"/>
        <v>0.17558403088541313</v>
      </c>
      <c r="AJ54" s="216">
        <f t="shared" ca="1" si="155"/>
        <v>0.15467820387060777</v>
      </c>
      <c r="AK54" s="168">
        <f t="shared" ca="1" si="155"/>
        <v>0.15608848256608551</v>
      </c>
      <c r="AL54" s="168">
        <f t="shared" ca="1" si="155"/>
        <v>0.23981987161061613</v>
      </c>
      <c r="AM54" s="168">
        <f t="shared" ca="1" si="155"/>
        <v>0.23589765422112477</v>
      </c>
      <c r="AN54" s="216">
        <f t="shared" ca="1" si="155"/>
        <v>0.24414161996943454</v>
      </c>
      <c r="AO54" s="168">
        <f t="shared" ca="1" si="155"/>
        <v>0.16540994765164196</v>
      </c>
      <c r="AP54" s="168">
        <f t="shared" ca="1" si="155"/>
        <v>0.19545099604377542</v>
      </c>
      <c r="AQ54" s="168">
        <f t="shared" ca="1" si="155"/>
        <v>0.21472601245410711</v>
      </c>
      <c r="AR54" s="216">
        <f t="shared" ca="1" si="155"/>
        <v>0.19442960800306591</v>
      </c>
      <c r="AS54" s="168">
        <f t="shared" ca="1" si="155"/>
        <v>0.18208400763005494</v>
      </c>
      <c r="AT54" s="168">
        <f t="shared" ca="1" si="155"/>
        <v>0.22145477202112132</v>
      </c>
      <c r="AU54" s="168">
        <f t="shared" ca="1" si="155"/>
        <v>0.24351348217402738</v>
      </c>
      <c r="AV54" s="216">
        <f t="shared" ca="1" si="155"/>
        <v>0.23173369212825212</v>
      </c>
      <c r="AW54" s="168">
        <f t="shared" ref="AW54:AZ54" ca="1" si="156">AW47/AW13</f>
        <v>0.21435480627514453</v>
      </c>
      <c r="AX54" s="168">
        <f t="shared" ca="1" si="156"/>
        <v>0.25153379707169587</v>
      </c>
      <c r="AY54" s="168">
        <f t="shared" ca="1" si="156"/>
        <v>0.27349670126777292</v>
      </c>
      <c r="AZ54" s="168">
        <f t="shared" ca="1" si="156"/>
        <v>0.28038076419770019</v>
      </c>
    </row>
    <row r="55" spans="2:52" hidden="1" outlineLevel="1">
      <c r="E55" s="106"/>
      <c r="F55" s="46"/>
      <c r="G55" s="46"/>
      <c r="H55" s="46"/>
      <c r="I55" s="46"/>
      <c r="J55" s="46"/>
      <c r="K55" s="46"/>
      <c r="L55" s="45"/>
      <c r="M55" s="45"/>
      <c r="N55" s="45"/>
      <c r="Q55" s="45"/>
      <c r="R55" s="45"/>
      <c r="S55" s="45"/>
      <c r="T55" s="214"/>
      <c r="U55" s="45"/>
      <c r="V55" s="45"/>
      <c r="W55" s="45"/>
      <c r="X55" s="214"/>
      <c r="Y55" s="45"/>
      <c r="Z55" s="45"/>
      <c r="AA55" s="45"/>
      <c r="AB55" s="214"/>
      <c r="AC55" s="45"/>
      <c r="AD55" s="45"/>
      <c r="AE55" s="45"/>
      <c r="AF55" s="214"/>
      <c r="AG55" s="45"/>
      <c r="AH55" s="45"/>
      <c r="AI55" s="45"/>
      <c r="AJ55" s="214"/>
      <c r="AK55" s="45"/>
      <c r="AL55" s="45"/>
      <c r="AM55" s="45"/>
      <c r="AN55" s="214"/>
      <c r="AO55" s="45"/>
      <c r="AP55" s="45"/>
      <c r="AQ55" s="45"/>
      <c r="AR55" s="214"/>
      <c r="AS55" s="45"/>
      <c r="AT55" s="45"/>
      <c r="AU55" s="45"/>
      <c r="AV55" s="214"/>
      <c r="AW55" s="45"/>
      <c r="AX55" s="45"/>
      <c r="AY55" s="45"/>
      <c r="AZ55" s="45"/>
    </row>
    <row r="56" spans="2:52" hidden="1" outlineLevel="1">
      <c r="B56" s="203" t="s">
        <v>388</v>
      </c>
      <c r="E56" s="106"/>
      <c r="F56" s="46"/>
      <c r="G56" s="46"/>
      <c r="H56" s="46"/>
      <c r="I56" s="46"/>
      <c r="J56" s="46"/>
      <c r="K56" s="46"/>
      <c r="L56" s="45"/>
      <c r="M56" s="45"/>
      <c r="N56" s="45"/>
      <c r="Q56" s="45"/>
      <c r="R56" s="45"/>
      <c r="S56" s="45"/>
      <c r="T56" s="214"/>
      <c r="U56" s="45"/>
      <c r="V56" s="45"/>
      <c r="W56" s="45"/>
      <c r="X56" s="214"/>
      <c r="Y56" s="45"/>
      <c r="Z56" s="45"/>
      <c r="AA56" s="45"/>
      <c r="AB56" s="214"/>
      <c r="AC56" s="45"/>
      <c r="AD56" s="45"/>
      <c r="AE56" s="45"/>
      <c r="AF56" s="214"/>
      <c r="AG56" s="45"/>
      <c r="AH56" s="45"/>
      <c r="AI56" s="45"/>
      <c r="AJ56" s="214"/>
      <c r="AK56" s="45"/>
      <c r="AL56" s="45"/>
      <c r="AM56" s="45"/>
      <c r="AN56" s="214"/>
      <c r="AO56" s="45"/>
      <c r="AP56" s="45"/>
      <c r="AQ56" s="45"/>
      <c r="AR56" s="214"/>
      <c r="AS56" s="45"/>
      <c r="AT56" s="45"/>
      <c r="AU56" s="45"/>
      <c r="AV56" s="214"/>
      <c r="AW56" s="45"/>
      <c r="AX56" s="45"/>
      <c r="AY56" s="45"/>
      <c r="AZ56" s="45"/>
    </row>
    <row r="57" spans="2:52" hidden="1" outlineLevel="1">
      <c r="B57" s="3" t="s">
        <v>18</v>
      </c>
      <c r="C57" s="58"/>
      <c r="D57" s="58"/>
      <c r="E57" s="58"/>
      <c r="F57" s="58"/>
      <c r="G57" s="4">
        <f>G43/G$47</f>
        <v>1.2112002898915444</v>
      </c>
      <c r="H57" s="4">
        <f t="shared" ref="H57:M57" si="157">H43/H$47</f>
        <v>1.4925933991665565</v>
      </c>
      <c r="I57" s="4">
        <f t="shared" si="157"/>
        <v>2.1531875715375408</v>
      </c>
      <c r="J57" s="4">
        <f t="shared" ca="1" si="157"/>
        <v>2.2993183712719754</v>
      </c>
      <c r="K57" s="4">
        <f t="shared" ca="1" si="157"/>
        <v>1.5838263690419407</v>
      </c>
      <c r="L57" s="4">
        <f t="shared" ca="1" si="157"/>
        <v>1.6681307536849053</v>
      </c>
      <c r="M57" s="4">
        <f t="shared" ca="1" si="157"/>
        <v>1.5143890931683881</v>
      </c>
      <c r="N57" s="4">
        <f t="shared" ref="N57" ca="1" si="158">N43/N$47</f>
        <v>1.281975047664242</v>
      </c>
      <c r="Q57" s="4"/>
      <c r="R57" s="4"/>
      <c r="S57" s="4"/>
      <c r="T57" s="215"/>
      <c r="U57" s="4">
        <f t="shared" ref="U57:AV57" ca="1" si="159">U43/U$47</f>
        <v>1.1162899455574413</v>
      </c>
      <c r="V57" s="4">
        <f t="shared" ca="1" si="159"/>
        <v>1.1663428503881352</v>
      </c>
      <c r="W57" s="4">
        <f t="shared" ca="1" si="159"/>
        <v>1.2129642163581307</v>
      </c>
      <c r="X57" s="215">
        <f t="shared" ca="1" si="159"/>
        <v>1.3305652225982267</v>
      </c>
      <c r="Y57" s="4">
        <f t="shared" ca="1" si="159"/>
        <v>1.4334563306640604</v>
      </c>
      <c r="Z57" s="4">
        <f t="shared" ca="1" si="159"/>
        <v>1.4160593584811865</v>
      </c>
      <c r="AA57" s="4">
        <f t="shared" ca="1" si="159"/>
        <v>1.4618737902255829</v>
      </c>
      <c r="AB57" s="215">
        <f t="shared" ca="1" si="159"/>
        <v>1.6649354388463435</v>
      </c>
      <c r="AC57" s="4">
        <f t="shared" ca="1" si="159"/>
        <v>2.0470550470378392</v>
      </c>
      <c r="AD57" s="4">
        <f t="shared" ca="1" si="159"/>
        <v>1.998694283276693</v>
      </c>
      <c r="AE57" s="4">
        <f t="shared" ca="1" si="159"/>
        <v>2.7646641766047466</v>
      </c>
      <c r="AF57" s="215">
        <f t="shared" ca="1" si="159"/>
        <v>1.9132148593981015</v>
      </c>
      <c r="AG57" s="4">
        <f t="shared" si="159"/>
        <v>2.6808324790985325</v>
      </c>
      <c r="AH57" s="4">
        <f t="shared" ca="1" si="159"/>
        <v>2.1583813467715256</v>
      </c>
      <c r="AI57" s="4">
        <f t="shared" ca="1" si="159"/>
        <v>2.0593019837032678</v>
      </c>
      <c r="AJ57" s="215">
        <f t="shared" ca="1" si="159"/>
        <v>2.3945857792661704</v>
      </c>
      <c r="AK57" s="4">
        <f t="shared" ca="1" si="159"/>
        <v>2.0626970210399804</v>
      </c>
      <c r="AL57" s="4">
        <f t="shared" ca="1" si="159"/>
        <v>1.5552909267339079</v>
      </c>
      <c r="AM57" s="4">
        <f t="shared" ca="1" si="159"/>
        <v>1.5342225231653219</v>
      </c>
      <c r="AN57" s="215">
        <f t="shared" ca="1" si="159"/>
        <v>1.4369269518347707</v>
      </c>
      <c r="AO57" s="4">
        <f t="shared" ca="1" si="159"/>
        <v>1.8106461258641</v>
      </c>
      <c r="AP57" s="4">
        <f t="shared" ca="1" si="159"/>
        <v>1.6927531178132282</v>
      </c>
      <c r="AQ57" s="4">
        <f t="shared" ca="1" si="159"/>
        <v>1.5442334770987676</v>
      </c>
      <c r="AR57" s="215">
        <f t="shared" ca="1" si="159"/>
        <v>1.6896077847361306</v>
      </c>
      <c r="AS57" s="4">
        <f t="shared" ca="1" si="159"/>
        <v>1.7405416178061384</v>
      </c>
      <c r="AT57" s="4">
        <f t="shared" ca="1" si="159"/>
        <v>1.5456836073943021</v>
      </c>
      <c r="AU57" s="4">
        <f t="shared" ca="1" si="159"/>
        <v>1.4196472982088582</v>
      </c>
      <c r="AV57" s="215">
        <f t="shared" ca="1" si="159"/>
        <v>1.4435035596606756</v>
      </c>
      <c r="AW57" s="4">
        <f t="shared" ref="AW57:AZ57" ca="1" si="160">AW43/AW$47</f>
        <v>1.460454878116034</v>
      </c>
      <c r="AX57" s="4">
        <f t="shared" ca="1" si="160"/>
        <v>1.3390842760606878</v>
      </c>
      <c r="AY57" s="4">
        <f t="shared" ca="1" si="160"/>
        <v>1.2426858191150478</v>
      </c>
      <c r="AZ57" s="4">
        <f t="shared" ca="1" si="160"/>
        <v>1.1618530292546987</v>
      </c>
    </row>
    <row r="58" spans="2:52" hidden="1" outlineLevel="1">
      <c r="B58" s="3" t="s">
        <v>613</v>
      </c>
      <c r="C58" s="58"/>
      <c r="D58" s="58"/>
      <c r="E58" s="58"/>
      <c r="F58" s="58"/>
      <c r="G58" s="4">
        <f t="shared" ref="G58:M58" si="161">G44/G$47</f>
        <v>-0.13003766215317081</v>
      </c>
      <c r="H58" s="4">
        <f t="shared" si="161"/>
        <v>-0.43395026071978759</v>
      </c>
      <c r="I58" s="4">
        <f t="shared" si="161"/>
        <v>-1.0066424667135778</v>
      </c>
      <c r="J58" s="4">
        <f t="shared" ca="1" si="161"/>
        <v>-1.0488579623726444</v>
      </c>
      <c r="K58" s="4">
        <f t="shared" ca="1" si="161"/>
        <v>-0.35748731119887323</v>
      </c>
      <c r="L58" s="4">
        <f t="shared" ca="1" si="161"/>
        <v>-0.26939184817135742</v>
      </c>
      <c r="M58" s="4">
        <f t="shared" ca="1" si="161"/>
        <v>-0.25696303330454967</v>
      </c>
      <c r="N58" s="4">
        <f t="shared" ref="N58" ca="1" si="162">N44/N$47</f>
        <v>-0.17174860171274253</v>
      </c>
      <c r="Q58" s="4"/>
      <c r="R58" s="4"/>
      <c r="S58" s="4"/>
      <c r="T58" s="215"/>
      <c r="U58" s="4">
        <f t="shared" ref="U58:AV58" ca="1" si="163">U44/U$47</f>
        <v>-1.7061510063195218E-2</v>
      </c>
      <c r="V58" s="4">
        <f t="shared" ca="1" si="163"/>
        <v>-9.078325188996568E-2</v>
      </c>
      <c r="W58" s="4">
        <f t="shared" ca="1" si="163"/>
        <v>-0.1431559930382145</v>
      </c>
      <c r="X58" s="215">
        <f t="shared" ca="1" si="163"/>
        <v>-0.24449278471927499</v>
      </c>
      <c r="Y58" s="4">
        <f t="shared" ca="1" si="163"/>
        <v>-0.25469145632572654</v>
      </c>
      <c r="Z58" s="4">
        <f t="shared" ca="1" si="163"/>
        <v>-0.38082089409444642</v>
      </c>
      <c r="AA58" s="4">
        <f t="shared" ca="1" si="163"/>
        <v>-0.43576553437719701</v>
      </c>
      <c r="AB58" s="215">
        <f t="shared" ca="1" si="163"/>
        <v>-0.63115804918822715</v>
      </c>
      <c r="AC58" s="4">
        <f t="shared" ca="1" si="163"/>
        <v>-0.76631142671728014</v>
      </c>
      <c r="AD58" s="4">
        <f t="shared" ca="1" si="163"/>
        <v>-0.89941224474602022</v>
      </c>
      <c r="AE58" s="4">
        <f t="shared" ca="1" si="163"/>
        <v>-1.5944825525791322</v>
      </c>
      <c r="AF58" s="215">
        <f t="shared" ca="1" si="163"/>
        <v>-0.82249710959012545</v>
      </c>
      <c r="AG58" s="4">
        <f t="shared" si="163"/>
        <v>-1.3369161587888563</v>
      </c>
      <c r="AH58" s="4">
        <f t="shared" ca="1" si="163"/>
        <v>-1.0509844719683303</v>
      </c>
      <c r="AI58" s="4">
        <f t="shared" ca="1" si="163"/>
        <v>-0.82170022324367864</v>
      </c>
      <c r="AJ58" s="215">
        <f t="shared" ca="1" si="163"/>
        <v>-1.0471609840013087</v>
      </c>
      <c r="AK58" s="4">
        <f t="shared" ca="1" si="163"/>
        <v>-0.66467573717303219</v>
      </c>
      <c r="AL58" s="4">
        <f t="shared" ca="1" si="163"/>
        <v>-0.3378305131132413</v>
      </c>
      <c r="AM58" s="4">
        <f t="shared" ca="1" si="163"/>
        <v>-0.32152180026596894</v>
      </c>
      <c r="AN58" s="215">
        <f t="shared" ca="1" si="163"/>
        <v>-0.26842414849975033</v>
      </c>
      <c r="AO58" s="4">
        <f t="shared" ca="1" si="163"/>
        <v>-0.43181453381905865</v>
      </c>
      <c r="AP58" s="4">
        <f t="shared" ca="1" si="163"/>
        <v>-0.207506438508816</v>
      </c>
      <c r="AQ58" s="4">
        <f t="shared" ca="1" si="163"/>
        <v>-0.23254458392011132</v>
      </c>
      <c r="AR58" s="215">
        <f t="shared" ca="1" si="163"/>
        <v>-0.26133797795580871</v>
      </c>
      <c r="AS58" s="4">
        <f t="shared" ca="1" si="163"/>
        <v>-0.31448239700111497</v>
      </c>
      <c r="AT58" s="4">
        <f t="shared" ca="1" si="163"/>
        <v>-0.21229139662284549</v>
      </c>
      <c r="AU58" s="4">
        <f t="shared" ca="1" si="163"/>
        <v>-0.26294854762519859</v>
      </c>
      <c r="AV58" s="215">
        <f t="shared" ca="1" si="163"/>
        <v>-0.25376499596428753</v>
      </c>
      <c r="AW58" s="4">
        <f t="shared" ref="AW58:AZ58" ca="1" si="164">AW44/AW$47</f>
        <v>-0.22782803734073059</v>
      </c>
      <c r="AX58" s="4">
        <f t="shared" ca="1" si="164"/>
        <v>-0.13562231964946556</v>
      </c>
      <c r="AY58" s="4">
        <f t="shared" ca="1" si="164"/>
        <v>-0.20657258625528027</v>
      </c>
      <c r="AZ58" s="4">
        <f t="shared" ca="1" si="164"/>
        <v>-0.13257574514958659</v>
      </c>
    </row>
    <row r="59" spans="2:52" hidden="1" outlineLevel="1">
      <c r="B59" s="3" t="s">
        <v>3</v>
      </c>
      <c r="C59" s="58"/>
      <c r="D59" s="58"/>
      <c r="E59" s="58"/>
      <c r="F59" s="58"/>
      <c r="G59" s="4">
        <f t="shared" ref="G59:M59" si="165">G45/G$47</f>
        <v>-6.3470410791592019E-2</v>
      </c>
      <c r="H59" s="4">
        <f t="shared" si="165"/>
        <v>-8.0652212064878617E-2</v>
      </c>
      <c r="I59" s="4">
        <f t="shared" si="165"/>
        <v>-0.18251483321123091</v>
      </c>
      <c r="J59" s="4">
        <f t="shared" ca="1" si="165"/>
        <v>-0.23093287294137013</v>
      </c>
      <c r="K59" s="4">
        <f t="shared" ca="1" si="165"/>
        <v>-0.19644529547374903</v>
      </c>
      <c r="L59" s="4">
        <f t="shared" ca="1" si="165"/>
        <v>-0.35643806623726465</v>
      </c>
      <c r="M59" s="4">
        <f t="shared" ca="1" si="165"/>
        <v>-0.21755952584911598</v>
      </c>
      <c r="N59" s="4">
        <f t="shared" ref="N59" ca="1" si="166">N45/N$47</f>
        <v>-7.7367444067607982E-2</v>
      </c>
      <c r="Q59" s="4"/>
      <c r="R59" s="4"/>
      <c r="S59" s="4"/>
      <c r="T59" s="215"/>
      <c r="U59" s="4">
        <f t="shared" ref="U59:AV59" ca="1" si="167">U45/U$47</f>
        <v>-8.1641115365424788E-2</v>
      </c>
      <c r="V59" s="4">
        <f t="shared" ca="1" si="167"/>
        <v>-5.8353242436312201E-2</v>
      </c>
      <c r="W59" s="4">
        <f t="shared" ca="1" si="167"/>
        <v>-5.2655498050983754E-2</v>
      </c>
      <c r="X59" s="215">
        <f t="shared" ca="1" si="167"/>
        <v>-6.7155404080947376E-2</v>
      </c>
      <c r="Y59" s="4">
        <f t="shared" ca="1" si="167"/>
        <v>-0.11569098524122617</v>
      </c>
      <c r="Z59" s="4">
        <f t="shared" ca="1" si="167"/>
        <v>-7.2377880437837799E-2</v>
      </c>
      <c r="AA59" s="4">
        <f t="shared" ca="1" si="167"/>
        <v>-6.392078403425154E-2</v>
      </c>
      <c r="AB59" s="215">
        <f t="shared" ca="1" si="167"/>
        <v>-8.4200898505002189E-2</v>
      </c>
      <c r="AC59" s="4">
        <f t="shared" ca="1" si="167"/>
        <v>-0.24035209706941513</v>
      </c>
      <c r="AD59" s="4">
        <f t="shared" ca="1" si="167"/>
        <v>-0.14510813449328175</v>
      </c>
      <c r="AE59" s="4">
        <f t="shared" ca="1" si="167"/>
        <v>-0.24011611154544238</v>
      </c>
      <c r="AF59" s="215">
        <f t="shared" ca="1" si="167"/>
        <v>-0.13964254664316184</v>
      </c>
      <c r="AG59" s="4">
        <f t="shared" si="167"/>
        <v>-0.36454375924428906</v>
      </c>
      <c r="AH59" s="4">
        <f t="shared" ca="1" si="167"/>
        <v>-0.15441017813698524</v>
      </c>
      <c r="AI59" s="4">
        <f t="shared" ca="1" si="167"/>
        <v>-0.17408412698957484</v>
      </c>
      <c r="AJ59" s="215">
        <f t="shared" ca="1" si="167"/>
        <v>-0.26484961798812168</v>
      </c>
      <c r="AK59" s="4">
        <f t="shared" ca="1" si="167"/>
        <v>-0.36487831965399026</v>
      </c>
      <c r="AL59" s="4">
        <f t="shared" ca="1" si="167"/>
        <v>-0.1876488214143027</v>
      </c>
      <c r="AM59" s="4">
        <f t="shared" ca="1" si="167"/>
        <v>-0.18296336401371596</v>
      </c>
      <c r="AN59" s="215">
        <f t="shared" ca="1" si="167"/>
        <v>-0.13987636932707359</v>
      </c>
      <c r="AO59" s="4">
        <f t="shared" ca="1" si="167"/>
        <v>-0.33774655313347568</v>
      </c>
      <c r="AP59" s="4">
        <f t="shared" ca="1" si="167"/>
        <v>-0.4435118552917518</v>
      </c>
      <c r="AQ59" s="4">
        <f t="shared" ca="1" si="167"/>
        <v>-0.27199243033024817</v>
      </c>
      <c r="AR59" s="215">
        <f t="shared" ca="1" si="167"/>
        <v>-0.38177097520202136</v>
      </c>
      <c r="AS59" s="4">
        <f t="shared" ca="1" si="167"/>
        <v>-0.3770654816034712</v>
      </c>
      <c r="AT59" s="4">
        <f t="shared" ca="1" si="167"/>
        <v>-0.29324443926369709</v>
      </c>
      <c r="AU59" s="4">
        <f t="shared" ca="1" si="167"/>
        <v>-0.12039236466674647</v>
      </c>
      <c r="AV59" s="215">
        <f t="shared" ca="1" si="167"/>
        <v>-0.15213271682381871</v>
      </c>
      <c r="AW59" s="4">
        <f t="shared" ref="AW59:AZ59" ca="1" si="168">AW45/AW$47</f>
        <v>-0.1926957263664961</v>
      </c>
      <c r="AX59" s="4">
        <f t="shared" ca="1" si="168"/>
        <v>-0.16959885950848702</v>
      </c>
      <c r="AY59" s="4">
        <f t="shared" ca="1" si="168"/>
        <v>-5.1447744964186479E-3</v>
      </c>
      <c r="AZ59" s="4">
        <f t="shared" ca="1" si="168"/>
        <v>1.9418835919299255E-4</v>
      </c>
    </row>
    <row r="60" spans="2:52" hidden="1" outlineLevel="1">
      <c r="B60" s="3" t="s">
        <v>73</v>
      </c>
      <c r="C60" s="58"/>
      <c r="D60" s="58"/>
      <c r="E60" s="58"/>
      <c r="F60" s="58"/>
      <c r="G60" s="4">
        <f t="shared" ref="G60:M60" si="169">G46/G$47</f>
        <v>-1.7692216946781546E-2</v>
      </c>
      <c r="H60" s="4">
        <f t="shared" si="169"/>
        <v>2.2009073618109574E-2</v>
      </c>
      <c r="I60" s="4">
        <f t="shared" si="169"/>
        <v>3.5969728387267863E-2</v>
      </c>
      <c r="J60" s="4">
        <f t="shared" ca="1" si="169"/>
        <v>-1.9527535957960699E-2</v>
      </c>
      <c r="K60" s="4">
        <f t="shared" ca="1" si="169"/>
        <v>-2.9893762369318344E-2</v>
      </c>
      <c r="L60" s="4">
        <f t="shared" ca="1" si="169"/>
        <v>-4.2300839276283107E-2</v>
      </c>
      <c r="M60" s="4">
        <f t="shared" ca="1" si="169"/>
        <v>-3.9866534014722392E-2</v>
      </c>
      <c r="N60" s="4">
        <f t="shared" ref="N60" ca="1" si="170">N46/N$47</f>
        <v>-3.2859001883891618E-2</v>
      </c>
      <c r="Q60" s="4"/>
      <c r="R60" s="4"/>
      <c r="S60" s="4"/>
      <c r="T60" s="215"/>
      <c r="U60" s="4">
        <f t="shared" ref="U60:AV60" ca="1" si="171">U46/U$47</f>
        <v>-1.7587320128821346E-2</v>
      </c>
      <c r="V60" s="4">
        <f t="shared" ca="1" si="171"/>
        <v>-1.7206356061857293E-2</v>
      </c>
      <c r="W60" s="4">
        <f t="shared" ca="1" si="171"/>
        <v>-1.715272526893254E-2</v>
      </c>
      <c r="X60" s="215">
        <f t="shared" ca="1" si="171"/>
        <v>-1.8917033798004333E-2</v>
      </c>
      <c r="Y60" s="4">
        <f t="shared" ca="1" si="171"/>
        <v>-6.3073889097107608E-2</v>
      </c>
      <c r="Z60" s="4">
        <f t="shared" ca="1" si="171"/>
        <v>3.7139416051097697E-2</v>
      </c>
      <c r="AA60" s="4">
        <f t="shared" ca="1" si="171"/>
        <v>3.7812528185865474E-2</v>
      </c>
      <c r="AB60" s="215">
        <f t="shared" ca="1" si="171"/>
        <v>5.0423508846885727E-2</v>
      </c>
      <c r="AC60" s="4">
        <f t="shared" ca="1" si="171"/>
        <v>-4.0391523251143924E-2</v>
      </c>
      <c r="AD60" s="4">
        <f t="shared" ca="1" si="171"/>
        <v>4.5826095962609135E-2</v>
      </c>
      <c r="AE60" s="4">
        <f t="shared" ca="1" si="171"/>
        <v>6.9934487519827948E-2</v>
      </c>
      <c r="AF60" s="215">
        <f t="shared" ca="1" si="171"/>
        <v>4.8924796835185587E-2</v>
      </c>
      <c r="AG60" s="4">
        <f t="shared" si="171"/>
        <v>2.0627438934613027E-2</v>
      </c>
      <c r="AH60" s="4">
        <f t="shared" ca="1" si="171"/>
        <v>4.7013303333790002E-2</v>
      </c>
      <c r="AI60" s="4">
        <f t="shared" ca="1" si="171"/>
        <v>-6.3517633470014434E-2</v>
      </c>
      <c r="AJ60" s="215">
        <f t="shared" ca="1" si="171"/>
        <v>-8.2575177276739936E-2</v>
      </c>
      <c r="AK60" s="4">
        <f t="shared" ca="1" si="171"/>
        <v>-3.314296421295776E-2</v>
      </c>
      <c r="AL60" s="4">
        <f t="shared" ca="1" si="171"/>
        <v>-2.981159220636373E-2</v>
      </c>
      <c r="AM60" s="4">
        <f t="shared" ca="1" si="171"/>
        <v>-2.9737358885637093E-2</v>
      </c>
      <c r="AN60" s="215">
        <f t="shared" ca="1" si="171"/>
        <v>-2.8626434007946875E-2</v>
      </c>
      <c r="AO60" s="4">
        <f t="shared" ca="1" si="171"/>
        <v>-4.1085038911565709E-2</v>
      </c>
      <c r="AP60" s="4">
        <f t="shared" ca="1" si="171"/>
        <v>-4.1734824012660439E-2</v>
      </c>
      <c r="AQ60" s="4">
        <f t="shared" ca="1" si="171"/>
        <v>-3.9696462848407936E-2</v>
      </c>
      <c r="AR60" s="215">
        <f t="shared" ca="1" si="171"/>
        <v>-4.6498831578300502E-2</v>
      </c>
      <c r="AS60" s="4">
        <f t="shared" ca="1" si="171"/>
        <v>-4.8993739201551888E-2</v>
      </c>
      <c r="AT60" s="4">
        <f t="shared" ca="1" si="171"/>
        <v>-4.0147771507759548E-2</v>
      </c>
      <c r="AU60" s="4">
        <f t="shared" ca="1" si="171"/>
        <v>-3.6306385916913098E-2</v>
      </c>
      <c r="AV60" s="215">
        <f t="shared" ca="1" si="171"/>
        <v>-3.7605846872569286E-2</v>
      </c>
      <c r="AW60" s="4">
        <f t="shared" ref="AW60:AZ60" ca="1" si="172">AW46/AW$47</f>
        <v>-3.9931114408807325E-2</v>
      </c>
      <c r="AX60" s="4">
        <f t="shared" ca="1" si="172"/>
        <v>-3.3863096902734931E-2</v>
      </c>
      <c r="AY60" s="4">
        <f t="shared" ca="1" si="172"/>
        <v>-3.0968458363349004E-2</v>
      </c>
      <c r="AZ60" s="4">
        <f t="shared" ca="1" si="172"/>
        <v>-2.9471472464305051E-2</v>
      </c>
    </row>
    <row r="61" spans="2:52" hidden="1" outlineLevel="1">
      <c r="B61" s="94" t="s">
        <v>87</v>
      </c>
      <c r="C61" s="91"/>
      <c r="D61" s="91"/>
      <c r="E61" s="91"/>
      <c r="F61" s="91"/>
      <c r="G61" s="168">
        <f t="shared" ref="G61:M61" si="173">G47/G$47</f>
        <v>1</v>
      </c>
      <c r="H61" s="168">
        <f t="shared" si="173"/>
        <v>1</v>
      </c>
      <c r="I61" s="168">
        <f t="shared" si="173"/>
        <v>1</v>
      </c>
      <c r="J61" s="168">
        <f t="shared" ca="1" si="173"/>
        <v>1</v>
      </c>
      <c r="K61" s="168">
        <f t="shared" ca="1" si="173"/>
        <v>1</v>
      </c>
      <c r="L61" s="168">
        <f t="shared" ca="1" si="173"/>
        <v>1</v>
      </c>
      <c r="M61" s="168">
        <f t="shared" ca="1" si="173"/>
        <v>1</v>
      </c>
      <c r="N61" s="168">
        <f t="shared" ref="N61" ca="1" si="174">N47/N$47</f>
        <v>1</v>
      </c>
      <c r="Q61" s="168"/>
      <c r="R61" s="168"/>
      <c r="S61" s="168"/>
      <c r="T61" s="216"/>
      <c r="U61" s="168">
        <f t="shared" ref="U61:AV61" ca="1" si="175">U47/U$47</f>
        <v>1</v>
      </c>
      <c r="V61" s="168">
        <f t="shared" ca="1" si="175"/>
        <v>1</v>
      </c>
      <c r="W61" s="168">
        <f t="shared" ca="1" si="175"/>
        <v>1</v>
      </c>
      <c r="X61" s="216">
        <f t="shared" ca="1" si="175"/>
        <v>1</v>
      </c>
      <c r="Y61" s="168">
        <f t="shared" ca="1" si="175"/>
        <v>1</v>
      </c>
      <c r="Z61" s="168">
        <f t="shared" ca="1" si="175"/>
        <v>1</v>
      </c>
      <c r="AA61" s="168">
        <f t="shared" ca="1" si="175"/>
        <v>1</v>
      </c>
      <c r="AB61" s="216">
        <f t="shared" ca="1" si="175"/>
        <v>1</v>
      </c>
      <c r="AC61" s="168">
        <f t="shared" ca="1" si="175"/>
        <v>1</v>
      </c>
      <c r="AD61" s="168">
        <f t="shared" ca="1" si="175"/>
        <v>1</v>
      </c>
      <c r="AE61" s="168">
        <f t="shared" ca="1" si="175"/>
        <v>1</v>
      </c>
      <c r="AF61" s="216">
        <f t="shared" ca="1" si="175"/>
        <v>1</v>
      </c>
      <c r="AG61" s="168">
        <f t="shared" si="175"/>
        <v>1</v>
      </c>
      <c r="AH61" s="168">
        <f t="shared" ca="1" si="175"/>
        <v>1</v>
      </c>
      <c r="AI61" s="168">
        <f t="shared" ca="1" si="175"/>
        <v>1</v>
      </c>
      <c r="AJ61" s="216">
        <f t="shared" ca="1" si="175"/>
        <v>1</v>
      </c>
      <c r="AK61" s="168">
        <f t="shared" ca="1" si="175"/>
        <v>1</v>
      </c>
      <c r="AL61" s="168">
        <f t="shared" ca="1" si="175"/>
        <v>1</v>
      </c>
      <c r="AM61" s="168">
        <f t="shared" ca="1" si="175"/>
        <v>1</v>
      </c>
      <c r="AN61" s="216">
        <f t="shared" ca="1" si="175"/>
        <v>1</v>
      </c>
      <c r="AO61" s="168">
        <f t="shared" ca="1" si="175"/>
        <v>1</v>
      </c>
      <c r="AP61" s="168">
        <f t="shared" ca="1" si="175"/>
        <v>1</v>
      </c>
      <c r="AQ61" s="168">
        <f t="shared" ca="1" si="175"/>
        <v>1</v>
      </c>
      <c r="AR61" s="216">
        <f t="shared" ca="1" si="175"/>
        <v>1</v>
      </c>
      <c r="AS61" s="168">
        <f t="shared" ca="1" si="175"/>
        <v>1</v>
      </c>
      <c r="AT61" s="168">
        <f t="shared" ca="1" si="175"/>
        <v>1</v>
      </c>
      <c r="AU61" s="168">
        <f t="shared" ca="1" si="175"/>
        <v>1</v>
      </c>
      <c r="AV61" s="216">
        <f t="shared" ca="1" si="175"/>
        <v>1</v>
      </c>
      <c r="AW61" s="168">
        <f t="shared" ref="AW61:AZ61" ca="1" si="176">AW47/AW$47</f>
        <v>1</v>
      </c>
      <c r="AX61" s="168">
        <f t="shared" ca="1" si="176"/>
        <v>1</v>
      </c>
      <c r="AY61" s="168">
        <f t="shared" ca="1" si="176"/>
        <v>1</v>
      </c>
      <c r="AZ61" s="168">
        <f t="shared" ca="1" si="176"/>
        <v>1</v>
      </c>
    </row>
    <row r="62" spans="2:52" hidden="1" outlineLevel="1">
      <c r="E62" s="106"/>
      <c r="F62" s="46"/>
      <c r="G62" s="46"/>
      <c r="H62" s="46"/>
      <c r="I62" s="46"/>
      <c r="J62" s="46"/>
      <c r="K62" s="46"/>
      <c r="L62" s="45"/>
      <c r="M62" s="45"/>
      <c r="N62" s="45"/>
      <c r="Q62" s="45"/>
      <c r="R62" s="45"/>
      <c r="S62" s="45"/>
      <c r="T62" s="214"/>
      <c r="U62" s="45"/>
      <c r="V62" s="45"/>
      <c r="W62" s="45"/>
      <c r="X62" s="214"/>
      <c r="Y62" s="45"/>
      <c r="Z62" s="45"/>
      <c r="AA62" s="45"/>
      <c r="AB62" s="214"/>
      <c r="AC62" s="45"/>
      <c r="AD62" s="45"/>
      <c r="AE62" s="45"/>
      <c r="AF62" s="214"/>
      <c r="AG62" s="45"/>
      <c r="AH62" s="45"/>
      <c r="AI62" s="45"/>
      <c r="AJ62" s="214"/>
      <c r="AK62" s="45"/>
      <c r="AL62" s="45"/>
      <c r="AM62" s="45"/>
      <c r="AN62" s="214"/>
      <c r="AO62" s="45"/>
      <c r="AP62" s="45"/>
      <c r="AQ62" s="45"/>
      <c r="AR62" s="214"/>
      <c r="AS62" s="45"/>
      <c r="AT62" s="45"/>
      <c r="AU62" s="45"/>
      <c r="AV62" s="214"/>
      <c r="AW62" s="45"/>
      <c r="AX62" s="45"/>
      <c r="AY62" s="45"/>
      <c r="AZ62" s="45"/>
    </row>
    <row r="63" spans="2:52" hidden="1" outlineLevel="1">
      <c r="B63" s="203" t="s">
        <v>389</v>
      </c>
      <c r="E63" s="106"/>
      <c r="F63" s="46"/>
      <c r="G63" s="46"/>
      <c r="H63" s="46"/>
      <c r="I63" s="46"/>
      <c r="J63" s="46"/>
      <c r="K63" s="46"/>
      <c r="L63" s="45"/>
      <c r="M63" s="45"/>
      <c r="N63" s="45"/>
      <c r="Q63" s="45"/>
      <c r="R63" s="45"/>
      <c r="S63" s="45"/>
      <c r="T63" s="214"/>
      <c r="U63" s="45"/>
      <c r="V63" s="45"/>
      <c r="W63" s="45"/>
      <c r="X63" s="214"/>
      <c r="Y63" s="45"/>
      <c r="Z63" s="45"/>
      <c r="AA63" s="45"/>
      <c r="AB63" s="214"/>
      <c r="AC63" s="45"/>
      <c r="AD63" s="45"/>
      <c r="AE63" s="45"/>
      <c r="AF63" s="214"/>
      <c r="AG63" s="45"/>
      <c r="AH63" s="45"/>
      <c r="AI63" s="45"/>
      <c r="AJ63" s="214"/>
      <c r="AK63" s="45"/>
      <c r="AL63" s="45"/>
      <c r="AM63" s="45"/>
      <c r="AN63" s="214"/>
      <c r="AO63" s="45"/>
      <c r="AP63" s="45"/>
      <c r="AQ63" s="45"/>
      <c r="AR63" s="214"/>
      <c r="AS63" s="45"/>
      <c r="AT63" s="45"/>
      <c r="AU63" s="45"/>
      <c r="AV63" s="214"/>
      <c r="AW63" s="45"/>
      <c r="AX63" s="45"/>
      <c r="AY63" s="45"/>
      <c r="AZ63" s="45"/>
    </row>
    <row r="64" spans="2:52" hidden="1" outlineLevel="1">
      <c r="B64" s="3" t="s">
        <v>18</v>
      </c>
      <c r="C64" s="3"/>
      <c r="D64" s="3"/>
      <c r="E64" s="3"/>
      <c r="F64" s="3"/>
      <c r="G64" s="3"/>
      <c r="H64" s="4">
        <f>IFERROR(H43/G43-1,"-")</f>
        <v>0.44918594255726774</v>
      </c>
      <c r="I64" s="4">
        <f t="shared" ref="I64:N64" si="177">IFERROR(I43/H43-1,"-")</f>
        <v>0.36841153694705797</v>
      </c>
      <c r="J64" s="4">
        <f t="shared" si="177"/>
        <v>-3.4320918781910348E-2</v>
      </c>
      <c r="K64" s="4">
        <f t="shared" ca="1" si="177"/>
        <v>0.10444906414613997</v>
      </c>
      <c r="L64" s="4">
        <f t="shared" ca="1" si="177"/>
        <v>0.13719878037287048</v>
      </c>
      <c r="M64" s="4">
        <f t="shared" ca="1" si="177"/>
        <v>0.26588469535950732</v>
      </c>
      <c r="N64" s="4">
        <f t="shared" ca="1" si="177"/>
        <v>0.18104493439142577</v>
      </c>
      <c r="Q64" s="4"/>
      <c r="R64" s="4"/>
      <c r="S64" s="4"/>
      <c r="T64" s="215"/>
      <c r="U64" s="4"/>
      <c r="V64" s="4"/>
      <c r="W64" s="4"/>
      <c r="X64" s="215"/>
      <c r="Y64" s="4">
        <f ca="1">IFERROR(Y43/U43-1,"-")</f>
        <v>0.40648483062931717</v>
      </c>
      <c r="Z64" s="4">
        <f t="shared" ref="Z64:AZ64" ca="1" si="178">IFERROR(Z43/V43-1,"-")</f>
        <v>0.53587112739145981</v>
      </c>
      <c r="AA64" s="4">
        <f t="shared" ca="1" si="178"/>
        <v>0.43826916988460884</v>
      </c>
      <c r="AB64" s="215">
        <f t="shared" ca="1" si="178"/>
        <v>0.41175797173423256</v>
      </c>
      <c r="AC64" s="4">
        <f t="shared" ca="1" si="178"/>
        <v>0.37401412718705318</v>
      </c>
      <c r="AD64" s="4">
        <f t="shared" ca="1" si="178"/>
        <v>0.42847890130978961</v>
      </c>
      <c r="AE64" s="4">
        <f t="shared" ca="1" si="178"/>
        <v>0.32571843906814069</v>
      </c>
      <c r="AF64" s="215">
        <f t="shared" ca="1" si="178"/>
        <v>0.35333989880023697</v>
      </c>
      <c r="AG64" s="4">
        <f t="shared" si="178"/>
        <v>0.3488853435253112</v>
      </c>
      <c r="AH64" s="4">
        <f t="shared" ca="1" si="178"/>
        <v>-7.7412156898631457E-2</v>
      </c>
      <c r="AI64" s="4">
        <f t="shared" ca="1" si="178"/>
        <v>-0.18020655775480587</v>
      </c>
      <c r="AJ64" s="215">
        <f t="shared" ca="1" si="178"/>
        <v>-9.031615680445837E-2</v>
      </c>
      <c r="AK64" s="4">
        <f t="shared" si="178"/>
        <v>-0.19495425644311259</v>
      </c>
      <c r="AL64" s="4">
        <f t="shared" ca="1" si="178"/>
        <v>0.10403548459667422</v>
      </c>
      <c r="AM64" s="4">
        <f t="shared" ca="1" si="178"/>
        <v>0.28808028143304787</v>
      </c>
      <c r="AN64" s="215">
        <f t="shared" ca="1" si="178"/>
        <v>0.22504408142145937</v>
      </c>
      <c r="AO64" s="4">
        <f t="shared" ca="1" si="178"/>
        <v>0.20583146654319529</v>
      </c>
      <c r="AP64" s="4">
        <f t="shared" ca="1" si="178"/>
        <v>0.11381033575155852</v>
      </c>
      <c r="AQ64" s="4">
        <f t="shared" ca="1" si="178"/>
        <v>0.11652531865024529</v>
      </c>
      <c r="AR64" s="215">
        <f t="shared" ca="1" si="178"/>
        <v>0.13533595673631993</v>
      </c>
      <c r="AS64" s="4">
        <f t="shared" ca="1" si="178"/>
        <v>0.34061286693925608</v>
      </c>
      <c r="AT64" s="4">
        <f t="shared" ca="1" si="178"/>
        <v>0.26271398755954434</v>
      </c>
      <c r="AU64" s="4">
        <f t="shared" ca="1" si="178"/>
        <v>0.27533043607320473</v>
      </c>
      <c r="AV64" s="215">
        <f t="shared" ca="1" si="178"/>
        <v>0.20702875770717299</v>
      </c>
      <c r="AW64" s="4">
        <f t="shared" ca="1" si="178"/>
        <v>0.19945300458086934</v>
      </c>
      <c r="AX64" s="4">
        <f t="shared" ca="1" si="178"/>
        <v>0.17499806408761187</v>
      </c>
      <c r="AY64" s="4">
        <f t="shared" ca="1" si="178"/>
        <v>0.166723590658028</v>
      </c>
      <c r="AZ64" s="4">
        <f t="shared" ca="1" si="178"/>
        <v>0.18791027448704267</v>
      </c>
    </row>
    <row r="65" spans="2:52" hidden="1" outlineLevel="1">
      <c r="B65" s="3" t="s">
        <v>613</v>
      </c>
      <c r="C65" s="3"/>
      <c r="D65" s="3"/>
      <c r="E65" s="3"/>
      <c r="F65" s="3"/>
      <c r="G65" s="3"/>
      <c r="H65" s="4">
        <f t="shared" ref="H65:N65" si="179">IFERROR(H44/G44-1,"-")</f>
        <v>2.924364718950994</v>
      </c>
      <c r="I65" s="4">
        <f t="shared" si="179"/>
        <v>1.2004508553596951</v>
      </c>
      <c r="J65" s="4">
        <f t="shared" si="179"/>
        <v>-5.7769820648901571E-2</v>
      </c>
      <c r="K65" s="4">
        <f t="shared" ca="1" si="179"/>
        <v>-0.45351130350102475</v>
      </c>
      <c r="L65" s="4">
        <f t="shared" ca="1" si="179"/>
        <v>-0.18634989693707316</v>
      </c>
      <c r="M65" s="4">
        <f t="shared" ca="1" si="179"/>
        <v>0.33006530717378202</v>
      </c>
      <c r="N65" s="4">
        <f t="shared" ca="1" si="179"/>
        <v>-6.7504205385417571E-2</v>
      </c>
      <c r="Q65" s="4"/>
      <c r="R65" s="4"/>
      <c r="S65" s="4"/>
      <c r="T65" s="215"/>
      <c r="U65" s="4"/>
      <c r="V65" s="4"/>
      <c r="W65" s="4"/>
      <c r="X65" s="215"/>
      <c r="Y65" s="4">
        <f t="shared" ref="Y65:AZ65" ca="1" si="180">IFERROR(Y44/U44-1,"-")</f>
        <v>15.350254184687124</v>
      </c>
      <c r="Z65" s="4">
        <f t="shared" ca="1" si="180"/>
        <v>4.3065783676558578</v>
      </c>
      <c r="AA65" s="4">
        <f t="shared" ca="1" si="180"/>
        <v>2.632633841318258</v>
      </c>
      <c r="AB65" s="215">
        <f t="shared" ca="1" si="180"/>
        <v>1.9125346260588652</v>
      </c>
      <c r="AC65" s="4">
        <f t="shared" ca="1" si="180"/>
        <v>1.8949233446879701</v>
      </c>
      <c r="AD65" s="4">
        <f t="shared" ca="1" si="180"/>
        <v>1.3902699186132663</v>
      </c>
      <c r="AE65" s="4">
        <f t="shared" ca="1" si="180"/>
        <v>1.5649900503419998</v>
      </c>
      <c r="AF65" s="215">
        <f t="shared" ca="1" si="180"/>
        <v>0.53474700065717595</v>
      </c>
      <c r="AG65" s="4">
        <f t="shared" ca="1" si="180"/>
        <v>0.79694072596895915</v>
      </c>
      <c r="AH65" s="4">
        <f t="shared" ca="1" si="180"/>
        <v>-1.694594917967307E-3</v>
      </c>
      <c r="AI65" s="4">
        <f t="shared" ca="1" si="180"/>
        <v>-0.43282063659829928</v>
      </c>
      <c r="AJ65" s="215">
        <f t="shared" ca="1" si="180"/>
        <v>-7.4656668312482966E-2</v>
      </c>
      <c r="AK65" s="4">
        <f t="shared" si="180"/>
        <v>-0.47981185955663219</v>
      </c>
      <c r="AL65" s="4">
        <f t="shared" ca="1" si="180"/>
        <v>-0.50750463659886336</v>
      </c>
      <c r="AM65" s="4">
        <f t="shared" ca="1" si="180"/>
        <v>-0.32349402680713668</v>
      </c>
      <c r="AN65" s="215">
        <f t="shared" ca="1" si="180"/>
        <v>-0.47669419026744997</v>
      </c>
      <c r="AO65" s="4">
        <f t="shared" ca="1" si="180"/>
        <v>-0.10756641861841187</v>
      </c>
      <c r="AP65" s="4">
        <f t="shared" ca="1" si="180"/>
        <v>-0.37141796675047201</v>
      </c>
      <c r="AQ65" s="4">
        <f t="shared" ca="1" si="180"/>
        <v>-0.19769449748957268</v>
      </c>
      <c r="AR65" s="215">
        <f t="shared" ca="1" si="180"/>
        <v>-5.9943138402166363E-2</v>
      </c>
      <c r="AS65" s="4">
        <f t="shared" ca="1" si="180"/>
        <v>1.5667688686564762E-2</v>
      </c>
      <c r="AT65" s="4">
        <f t="shared" ca="1" si="180"/>
        <v>0.41474715833667908</v>
      </c>
      <c r="AU65" s="4">
        <f t="shared" ca="1" si="180"/>
        <v>0.56862732002021898</v>
      </c>
      <c r="AV65" s="215">
        <f t="shared" ca="1" si="180"/>
        <v>0.37187597110378712</v>
      </c>
      <c r="AW65" s="4">
        <f t="shared" ca="1" si="180"/>
        <v>3.5595925238311121E-2</v>
      </c>
      <c r="AX65" s="4">
        <f t="shared" ca="1" si="180"/>
        <v>-0.13353980587109004</v>
      </c>
      <c r="AY65" s="4">
        <f t="shared" ca="1" si="180"/>
        <v>4.710204437692056E-2</v>
      </c>
      <c r="AZ65" s="4">
        <f t="shared" ca="1" si="180"/>
        <v>-0.22894978228688989</v>
      </c>
    </row>
    <row r="66" spans="2:52" hidden="1" outlineLevel="1">
      <c r="B66" s="3" t="s">
        <v>3</v>
      </c>
      <c r="C66" s="3"/>
      <c r="D66" s="3"/>
      <c r="E66" s="3"/>
      <c r="F66" s="3"/>
      <c r="G66" s="3"/>
      <c r="H66" s="4">
        <f t="shared" ref="H66:N66" si="181">IFERROR(H45/G45-1,"-")</f>
        <v>0.49431974945256663</v>
      </c>
      <c r="I66" s="4">
        <f t="shared" si="181"/>
        <v>1.1466352757230265</v>
      </c>
      <c r="J66" s="4">
        <f t="shared" si="181"/>
        <v>0.14420323511678856</v>
      </c>
      <c r="K66" s="4">
        <f t="shared" ca="1" si="181"/>
        <v>0.36393321555262537</v>
      </c>
      <c r="L66" s="4">
        <f t="shared" ca="1" si="181"/>
        <v>0.95909867803686066</v>
      </c>
      <c r="M66" s="4">
        <f t="shared" ca="1" si="181"/>
        <v>-0.14889960904870203</v>
      </c>
      <c r="N66" s="4">
        <f t="shared" ca="1" si="181"/>
        <v>-0.50385974198871319</v>
      </c>
      <c r="Q66" s="4"/>
      <c r="R66" s="4"/>
      <c r="S66" s="4"/>
      <c r="T66" s="215"/>
      <c r="U66" s="4"/>
      <c r="V66" s="4"/>
      <c r="W66" s="4"/>
      <c r="X66" s="215"/>
      <c r="Y66" s="4">
        <f t="shared" ref="Y66:AZ66" ca="1" si="182">IFERROR(Y45/U45-1,"-")</f>
        <v>0.55209460339197203</v>
      </c>
      <c r="Z66" s="4">
        <f t="shared" ca="1" si="182"/>
        <v>0.56906312880212462</v>
      </c>
      <c r="AA66" s="4">
        <f t="shared" ca="1" si="182"/>
        <v>0.44869395753045116</v>
      </c>
      <c r="AB66" s="215">
        <f t="shared" ca="1" si="182"/>
        <v>0.41460366320939213</v>
      </c>
      <c r="AC66" s="4">
        <f t="shared" ca="1" si="182"/>
        <v>0.99891597924947639</v>
      </c>
      <c r="AD66" s="4">
        <f t="shared" ca="1" si="182"/>
        <v>1.0290596592752879</v>
      </c>
      <c r="AE66" s="4">
        <f t="shared" ca="1" si="182"/>
        <v>1.6332858162623078</v>
      </c>
      <c r="AF66" s="215">
        <f t="shared" ca="1" si="182"/>
        <v>0.95317686976231664</v>
      </c>
      <c r="AG66" s="4">
        <f t="shared" si="182"/>
        <v>0.56219999762300121</v>
      </c>
      <c r="AH66" s="4">
        <f t="shared" si="182"/>
        <v>-9.0903294365686227E-2</v>
      </c>
      <c r="AI66" s="4">
        <f t="shared" si="182"/>
        <v>-0.20207024668263096</v>
      </c>
      <c r="AJ66" s="215">
        <f t="shared" si="182"/>
        <v>0.37849570724911885</v>
      </c>
      <c r="AK66" s="4">
        <f t="shared" ca="1" si="182"/>
        <v>4.7256789577792224E-2</v>
      </c>
      <c r="AL66" s="4">
        <f t="shared" ca="1" si="182"/>
        <v>0.86195632568031466</v>
      </c>
      <c r="AM66" s="4">
        <f t="shared" ca="1" si="182"/>
        <v>0.81710313825792591</v>
      </c>
      <c r="AN66" s="215">
        <f t="shared" ca="1" si="182"/>
        <v>7.8182863622290766E-2</v>
      </c>
      <c r="AO66" s="4">
        <f t="shared" ca="1" si="182"/>
        <v>0.27154384701541145</v>
      </c>
      <c r="AP66" s="4">
        <f t="shared" ca="1" si="182"/>
        <v>1.4187370207691461</v>
      </c>
      <c r="AQ66" s="4">
        <f t="shared" ca="1" si="182"/>
        <v>0.64906072159180228</v>
      </c>
      <c r="AR66" s="215">
        <f t="shared" ca="1" si="182"/>
        <v>1.6353101670639414</v>
      </c>
      <c r="AS66" s="4">
        <f t="shared" ca="1" si="182"/>
        <v>0.55696339528548289</v>
      </c>
      <c r="AT66" s="4">
        <f t="shared" ca="1" si="182"/>
        <v>-8.5670852161335742E-2</v>
      </c>
      <c r="AU66" s="4">
        <f t="shared" ca="1" si="182"/>
        <v>-0.38595902252027547</v>
      </c>
      <c r="AV66" s="215">
        <f t="shared" ca="1" si="182"/>
        <v>-0.437003916368079</v>
      </c>
      <c r="AW66" s="4">
        <f t="shared" ca="1" si="182"/>
        <v>-0.26947545705830767</v>
      </c>
      <c r="AX66" s="4">
        <f t="shared" ca="1" si="182"/>
        <v>-0.21559024903097612</v>
      </c>
      <c r="AY66" s="4">
        <f t="shared" ca="1" si="182"/>
        <v>-0.94304203084375138</v>
      </c>
      <c r="AZ66" s="4">
        <f t="shared" ca="1" si="182"/>
        <v>-1.0018838697574601</v>
      </c>
    </row>
    <row r="67" spans="2:52" hidden="1" outlineLevel="1">
      <c r="B67" s="3" t="s">
        <v>73</v>
      </c>
      <c r="C67" s="3"/>
      <c r="D67" s="3"/>
      <c r="E67" s="3"/>
      <c r="F67" s="3"/>
      <c r="G67" s="3"/>
      <c r="H67" s="4">
        <f t="shared" ref="H67:N67" si="183">IFERROR(H46/G46-1,"-")</f>
        <v>-2.4629115506993768</v>
      </c>
      <c r="I67" s="4">
        <f t="shared" si="183"/>
        <v>0.55028581990045811</v>
      </c>
      <c r="J67" s="4">
        <f t="shared" ca="1" si="183"/>
        <v>-1.4909371154607722</v>
      </c>
      <c r="K67" s="4">
        <f t="shared" ca="1" si="183"/>
        <v>1.4545414096584977</v>
      </c>
      <c r="L67" s="4">
        <f t="shared" ca="1" si="183"/>
        <v>0.5278554637873254</v>
      </c>
      <c r="M67" s="4">
        <f t="shared" ca="1" si="183"/>
        <v>0.31415399892388285</v>
      </c>
      <c r="N67" s="4">
        <f t="shared" ca="1" si="183"/>
        <v>0.14992683685699015</v>
      </c>
      <c r="Q67" s="4"/>
      <c r="R67" s="4"/>
      <c r="S67" s="4"/>
      <c r="T67" s="215"/>
      <c r="U67" s="4"/>
      <c r="V67" s="4"/>
      <c r="W67" s="4"/>
      <c r="X67" s="215"/>
      <c r="Y67" s="4">
        <f t="shared" ref="Y67:AZ67" ca="1" si="184">IFERROR(Y46/U46-1,"-")</f>
        <v>2.9280548180442629</v>
      </c>
      <c r="Z67" s="4">
        <f t="shared" ca="1" si="184"/>
        <v>-3.7305222161968237</v>
      </c>
      <c r="AA67" s="4">
        <f t="shared" ca="1" si="184"/>
        <v>-3.6307577861380409</v>
      </c>
      <c r="AB67" s="215">
        <f t="shared" ca="1" si="184"/>
        <v>-4.0073158501059503</v>
      </c>
      <c r="AC67" s="4">
        <f t="shared" ca="1" si="184"/>
        <v>-0.3838495568816126</v>
      </c>
      <c r="AD67" s="4">
        <f t="shared" ca="1" si="184"/>
        <v>0.24878222293286645</v>
      </c>
      <c r="AE67" s="4">
        <f t="shared" ca="1" si="184"/>
        <v>0.29650582523359326</v>
      </c>
      <c r="AF67" s="215">
        <f t="shared" ca="1" si="184"/>
        <v>0.14271125534419804</v>
      </c>
      <c r="AG67" s="4">
        <f t="shared" ca="1" si="184"/>
        <v>-1.5260051050725167</v>
      </c>
      <c r="AH67" s="4">
        <f t="shared" ca="1" si="184"/>
        <v>-0.12353651753929562</v>
      </c>
      <c r="AI67" s="4">
        <f t="shared" ca="1" si="184"/>
        <v>-1.999607945215941</v>
      </c>
      <c r="AJ67" s="215">
        <f t="shared" ca="1" si="184"/>
        <v>-2.2267167954008569</v>
      </c>
      <c r="AK67" s="4">
        <f t="shared" ca="1" si="184"/>
        <v>-2.6811281913154605</v>
      </c>
      <c r="AL67" s="4">
        <f t="shared" ca="1" si="184"/>
        <v>-1.9715473628646949</v>
      </c>
      <c r="AM67" s="4">
        <f t="shared" ca="1" si="184"/>
        <v>-0.19056365514964457</v>
      </c>
      <c r="AN67" s="215">
        <f t="shared" ca="1" si="184"/>
        <v>-0.29227398268251747</v>
      </c>
      <c r="AO67" s="4">
        <f t="shared" ca="1" si="184"/>
        <v>0.70286739115338248</v>
      </c>
      <c r="AP67" s="4">
        <f t="shared" ca="1" si="184"/>
        <v>0.43265847865797458</v>
      </c>
      <c r="AQ67" s="4">
        <f t="shared" ca="1" si="184"/>
        <v>0.48078969402178173</v>
      </c>
      <c r="AR67" s="215">
        <f t="shared" ca="1" si="184"/>
        <v>0.56836799058684639</v>
      </c>
      <c r="AS67" s="4">
        <f t="shared" ca="1" si="184"/>
        <v>0.66306580696052553</v>
      </c>
      <c r="AT67" s="4">
        <f t="shared" ca="1" si="184"/>
        <v>0.33027328623194308</v>
      </c>
      <c r="AU67" s="4">
        <f t="shared" ca="1" si="184"/>
        <v>0.26878032745953595</v>
      </c>
      <c r="AV67" s="215">
        <f t="shared" ca="1" si="184"/>
        <v>0.14261255890540059</v>
      </c>
      <c r="AW67" s="4">
        <f t="shared" ca="1" si="184"/>
        <v>0.16506552071763569</v>
      </c>
      <c r="AX67" s="4">
        <f t="shared" ca="1" si="184"/>
        <v>0.14397114801318467</v>
      </c>
      <c r="AY67" s="4">
        <f t="shared" ca="1" si="184"/>
        <v>0.1369036577141487</v>
      </c>
      <c r="AZ67" s="4">
        <f t="shared" ca="1" si="184"/>
        <v>0.15663615758026128</v>
      </c>
    </row>
    <row r="68" spans="2:52" hidden="1" outlineLevel="1">
      <c r="B68" s="94" t="s">
        <v>87</v>
      </c>
      <c r="C68" s="94"/>
      <c r="D68" s="94"/>
      <c r="E68" s="94"/>
      <c r="F68" s="94"/>
      <c r="G68" s="94"/>
      <c r="H68" s="168">
        <f t="shared" ref="H68:N68" si="185">IFERROR(H47/G47-1,"-")</f>
        <v>0.17597628042052404</v>
      </c>
      <c r="I68" s="168">
        <f t="shared" si="185"/>
        <v>-5.1414723738140267E-2</v>
      </c>
      <c r="J68" s="168">
        <f t="shared" ca="1" si="185"/>
        <v>-9.569365349682879E-2</v>
      </c>
      <c r="K68" s="168">
        <f t="shared" ca="1" si="185"/>
        <v>0.60338284105062323</v>
      </c>
      <c r="L68" s="168">
        <f t="shared" ca="1" si="185"/>
        <v>7.9726760757929949E-2</v>
      </c>
      <c r="M68" s="168">
        <f t="shared" ca="1" si="185"/>
        <v>0.39439804504286768</v>
      </c>
      <c r="N68" s="168">
        <f t="shared" ca="1" si="185"/>
        <v>0.39516098261265542</v>
      </c>
      <c r="Q68" s="168"/>
      <c r="R68" s="168"/>
      <c r="S68" s="168"/>
      <c r="T68" s="216"/>
      <c r="U68" s="168"/>
      <c r="V68" s="168"/>
      <c r="W68" s="168"/>
      <c r="X68" s="216"/>
      <c r="Y68" s="168">
        <f t="shared" ref="Y68:AZ68" ca="1" si="186">IFERROR(Y47/U47-1,"-")</f>
        <v>9.5286156560647539E-2</v>
      </c>
      <c r="Z68" s="168">
        <f t="shared" ca="1" si="186"/>
        <v>0.26502628425967445</v>
      </c>
      <c r="AA68" s="168">
        <f t="shared" ca="1" si="186"/>
        <v>0.19337869536051921</v>
      </c>
      <c r="AB68" s="216">
        <f t="shared" ca="1" si="186"/>
        <v>0.12823357355944931</v>
      </c>
      <c r="AC68" s="168">
        <f t="shared" ca="1" si="186"/>
        <v>-3.7842557341972949E-2</v>
      </c>
      <c r="AD68" s="168">
        <f t="shared" ca="1" si="186"/>
        <v>1.2066194173738554E-2</v>
      </c>
      <c r="AE68" s="168">
        <f t="shared" ca="1" si="186"/>
        <v>-0.29899875156896516</v>
      </c>
      <c r="AF68" s="216">
        <f t="shared" ca="1" si="186"/>
        <v>0.17771589910508223</v>
      </c>
      <c r="AG68" s="168">
        <f t="shared" ca="1" si="186"/>
        <v>2.9994440856432991E-2</v>
      </c>
      <c r="AH68" s="168">
        <f t="shared" ca="1" si="186"/>
        <v>-0.14566948487325282</v>
      </c>
      <c r="AI68" s="168">
        <f t="shared" ca="1" si="186"/>
        <v>0.10059310384142361</v>
      </c>
      <c r="AJ68" s="216">
        <f t="shared" ca="1" si="186"/>
        <v>-0.27318509062162677</v>
      </c>
      <c r="AK68" s="168">
        <f t="shared" ca="1" si="186"/>
        <v>4.6296549843856338E-2</v>
      </c>
      <c r="AL68" s="168">
        <f t="shared" ca="1" si="186"/>
        <v>0.53214395787124347</v>
      </c>
      <c r="AM68" s="168">
        <f t="shared" ca="1" si="186"/>
        <v>0.72891887498272023</v>
      </c>
      <c r="AN68" s="216">
        <f t="shared" ca="1" si="186"/>
        <v>1.0414907887978213</v>
      </c>
      <c r="AO68" s="168">
        <f t="shared" ca="1" si="186"/>
        <v>0.37368917006238012</v>
      </c>
      <c r="AP68" s="168">
        <f t="shared" ca="1" si="186"/>
        <v>2.3361936875180733E-2</v>
      </c>
      <c r="AQ68" s="168">
        <f t="shared" ca="1" si="186"/>
        <v>0.1092871103764983</v>
      </c>
      <c r="AR68" s="216">
        <f t="shared" ca="1" si="186"/>
        <v>-3.4453527996551214E-2</v>
      </c>
      <c r="AS68" s="168">
        <f t="shared" ca="1" si="186"/>
        <v>0.39460928079772573</v>
      </c>
      <c r="AT68" s="168">
        <f t="shared" ca="1" si="186"/>
        <v>0.38285935693599438</v>
      </c>
      <c r="AU68" s="168">
        <f t="shared" ca="1" si="186"/>
        <v>0.38725157736853144</v>
      </c>
      <c r="AV68" s="216">
        <f t="shared" ca="1" si="186"/>
        <v>0.41281618030912459</v>
      </c>
      <c r="AW68" s="168">
        <f t="shared" ca="1" si="186"/>
        <v>0.42948467929986323</v>
      </c>
      <c r="AX68" s="168">
        <f t="shared" ca="1" si="186"/>
        <v>0.35628151181274226</v>
      </c>
      <c r="AY68" s="168">
        <f t="shared" ca="1" si="186"/>
        <v>0.33286786390926348</v>
      </c>
      <c r="AZ68" s="168">
        <f t="shared" ca="1" si="186"/>
        <v>0.47587747038841033</v>
      </c>
    </row>
    <row r="69" spans="2:52" hidden="1" outlineLevel="1">
      <c r="E69" s="106"/>
      <c r="F69" s="46"/>
      <c r="G69" s="46"/>
      <c r="H69" s="46"/>
      <c r="I69" s="46"/>
      <c r="J69" s="46"/>
      <c r="K69" s="46"/>
      <c r="L69" s="45"/>
      <c r="M69" s="45"/>
      <c r="N69" s="45"/>
      <c r="Q69" s="45"/>
      <c r="R69" s="45"/>
      <c r="S69" s="45"/>
      <c r="T69" s="214"/>
      <c r="U69" s="45"/>
      <c r="V69" s="45"/>
      <c r="W69" s="45"/>
      <c r="X69" s="214"/>
      <c r="Y69" s="45"/>
      <c r="Z69" s="45"/>
      <c r="AA69" s="45"/>
      <c r="AB69" s="214"/>
      <c r="AC69" s="45"/>
      <c r="AD69" s="45"/>
      <c r="AE69" s="45"/>
      <c r="AF69" s="214"/>
      <c r="AG69" s="45"/>
      <c r="AH69" s="45"/>
      <c r="AI69" s="45"/>
      <c r="AJ69" s="214"/>
      <c r="AK69" s="45"/>
      <c r="AL69" s="45"/>
      <c r="AM69" s="45"/>
      <c r="AN69" s="214"/>
      <c r="AO69" s="45"/>
      <c r="AP69" s="45"/>
      <c r="AQ69" s="45"/>
      <c r="AR69" s="214"/>
      <c r="AS69" s="45"/>
      <c r="AT69" s="45"/>
      <c r="AU69" s="45"/>
      <c r="AV69" s="214"/>
      <c r="AW69" s="45"/>
      <c r="AX69" s="45"/>
      <c r="AY69" s="45"/>
      <c r="AZ69" s="45"/>
    </row>
    <row r="70" spans="2:52" hidden="1" outlineLevel="1">
      <c r="B70" s="203" t="s">
        <v>390</v>
      </c>
      <c r="E70" s="106"/>
      <c r="F70" s="46"/>
      <c r="G70" s="46"/>
      <c r="H70" s="46"/>
      <c r="I70" s="46"/>
      <c r="J70" s="46"/>
      <c r="K70" s="46"/>
      <c r="L70" s="45"/>
      <c r="M70" s="45"/>
      <c r="N70" s="45"/>
      <c r="Q70" s="45"/>
      <c r="R70" s="45"/>
      <c r="S70" s="45"/>
      <c r="T70" s="214"/>
      <c r="U70" s="45"/>
      <c r="V70" s="45"/>
      <c r="W70" s="45"/>
      <c r="X70" s="214"/>
      <c r="Y70" s="45"/>
      <c r="Z70" s="45"/>
      <c r="AA70" s="45"/>
      <c r="AB70" s="214"/>
      <c r="AC70" s="45"/>
      <c r="AD70" s="45"/>
      <c r="AE70" s="45"/>
      <c r="AF70" s="214"/>
      <c r="AG70" s="45"/>
      <c r="AH70" s="45"/>
      <c r="AI70" s="45"/>
      <c r="AJ70" s="214"/>
      <c r="AK70" s="45"/>
      <c r="AL70" s="45"/>
      <c r="AM70" s="45"/>
      <c r="AN70" s="214"/>
      <c r="AO70" s="45"/>
      <c r="AP70" s="45"/>
      <c r="AQ70" s="45"/>
      <c r="AR70" s="214"/>
      <c r="AS70" s="45"/>
      <c r="AT70" s="45"/>
      <c r="AU70" s="45"/>
      <c r="AV70" s="214"/>
      <c r="AW70" s="45"/>
      <c r="AX70" s="45"/>
      <c r="AY70" s="45"/>
      <c r="AZ70" s="45"/>
    </row>
    <row r="71" spans="2:52" hidden="1" outlineLevel="1">
      <c r="B71" s="3" t="s">
        <v>18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Q71" s="4"/>
      <c r="R71" s="4"/>
      <c r="S71" s="4"/>
      <c r="T71" s="215"/>
      <c r="U71" s="4"/>
      <c r="V71" s="4">
        <f t="shared" ref="V71" ca="1" si="187">V43/U43-1</f>
        <v>0.34446291718413802</v>
      </c>
      <c r="W71" s="4">
        <f t="shared" ref="W71:AV75" ca="1" si="188">W43/V43-1</f>
        <v>0.21186584903111161</v>
      </c>
      <c r="X71" s="215">
        <f t="shared" ca="1" si="188"/>
        <v>-8.0755454332932741E-2</v>
      </c>
      <c r="Y71" s="4">
        <f t="shared" ca="1" si="188"/>
        <v>-6.0924271646945471E-2</v>
      </c>
      <c r="Z71" s="4">
        <f t="shared" ca="1" si="188"/>
        <v>0.46814365244713296</v>
      </c>
      <c r="AA71" s="4">
        <f t="shared" ca="1" si="188"/>
        <v>0.13485386736698124</v>
      </c>
      <c r="AB71" s="215">
        <f t="shared" ca="1" si="188"/>
        <v>-9.769962223217743E-2</v>
      </c>
      <c r="AC71" s="4">
        <f t="shared" ca="1" si="188"/>
        <v>-8.6030790624448739E-2</v>
      </c>
      <c r="AD71" s="4">
        <f t="shared" si="188"/>
        <v>0.52633964245049958</v>
      </c>
      <c r="AE71" s="4">
        <f t="shared" si="188"/>
        <v>5.3215904159806371E-2</v>
      </c>
      <c r="AF71" s="215">
        <f t="shared" si="188"/>
        <v>-7.8900114873520111E-2</v>
      </c>
      <c r="AG71" s="4">
        <f t="shared" si="188"/>
        <v>-8.9039145263481223E-2</v>
      </c>
      <c r="AH71" s="4">
        <f t="shared" ca="1" si="188"/>
        <v>4.3960041027828467E-2</v>
      </c>
      <c r="AI71" s="4">
        <f t="shared" ca="1" si="188"/>
        <v>-6.4133027597584769E-2</v>
      </c>
      <c r="AJ71" s="215">
        <f t="shared" ca="1" si="188"/>
        <v>2.2098543718547692E-2</v>
      </c>
      <c r="AK71" s="4">
        <f t="shared" ca="1" si="188"/>
        <v>-0.19382413556295575</v>
      </c>
      <c r="AL71" s="4">
        <f t="shared" ca="1" si="188"/>
        <v>0.43168129142996703</v>
      </c>
      <c r="AM71" s="4">
        <f t="shared" ca="1" si="188"/>
        <v>9.1877761190239049E-2</v>
      </c>
      <c r="AN71" s="215">
        <f t="shared" si="188"/>
        <v>-2.7921015746888211E-2</v>
      </c>
      <c r="AO71" s="4">
        <f t="shared" ca="1" si="188"/>
        <v>-0.20646755521003368</v>
      </c>
      <c r="AP71" s="4">
        <f t="shared" ca="1" si="188"/>
        <v>0.32242478666459151</v>
      </c>
      <c r="AQ71" s="4">
        <f t="shared" ca="1" si="188"/>
        <v>9.4539282055986495E-2</v>
      </c>
      <c r="AR71" s="215">
        <f t="shared" ca="1" si="188"/>
        <v>-1.1543934404953715E-2</v>
      </c>
      <c r="AS71" s="4">
        <f t="shared" ca="1" si="188"/>
        <v>-6.2991179388618312E-2</v>
      </c>
      <c r="AT71" s="4">
        <f t="shared" ca="1" si="188"/>
        <v>0.24558276053939099</v>
      </c>
      <c r="AU71" s="4">
        <f t="shared" ca="1" si="188"/>
        <v>0.10547540744486184</v>
      </c>
      <c r="AV71" s="215">
        <f t="shared" ca="1" si="188"/>
        <v>-6.4481750645819069E-2</v>
      </c>
      <c r="AW71" s="4">
        <f t="shared" ref="AW71:AW75" ca="1" si="189">AW43/AV43-1</f>
        <v>-6.8872188815108593E-2</v>
      </c>
      <c r="AX71" s="4">
        <f t="shared" ref="AX71:AX75" ca="1" si="190">AX43/AW43-1</f>
        <v>0.22018730763537131</v>
      </c>
      <c r="AY71" s="4">
        <f t="shared" ref="AY71:AY75" ca="1" si="191">AY43/AX43-1</f>
        <v>9.7690520673100467E-2</v>
      </c>
      <c r="AZ71" s="4">
        <f t="shared" ref="AZ71:AZ75" ca="1" si="192">AZ43/AY43-1</f>
        <v>-4.7493554363474577E-2</v>
      </c>
    </row>
    <row r="72" spans="2:52" hidden="1" outlineLevel="1">
      <c r="B72" s="3" t="s">
        <v>613</v>
      </c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Q72" s="4"/>
      <c r="R72" s="4"/>
      <c r="S72" s="4"/>
      <c r="T72" s="215"/>
      <c r="U72" s="4"/>
      <c r="V72" s="4">
        <f t="shared" ref="V72" ca="1" si="193">V44/U44-1</f>
        <v>5.846803724751739</v>
      </c>
      <c r="W72" s="4">
        <f t="shared" ref="W72:AK72" ca="1" si="194">W44/V44-1</f>
        <v>0.8375390968070282</v>
      </c>
      <c r="X72" s="215">
        <f t="shared" ca="1" si="194"/>
        <v>0.43119692948442689</v>
      </c>
      <c r="Y72" s="4">
        <f t="shared" ca="1" si="194"/>
        <v>-9.1969060857080009E-2</v>
      </c>
      <c r="Z72" s="4">
        <f t="shared" ca="1" si="194"/>
        <v>1.2221734367518886</v>
      </c>
      <c r="AA72" s="4">
        <f t="shared" ca="1" si="194"/>
        <v>0.257892797455336</v>
      </c>
      <c r="AB72" s="215">
        <f t="shared" ca="1" si="194"/>
        <v>0.14748989188512152</v>
      </c>
      <c r="AC72" s="4">
        <f t="shared" ca="1" si="194"/>
        <v>-9.7459669696420503E-2</v>
      </c>
      <c r="AD72" s="4">
        <f t="shared" ca="1" si="194"/>
        <v>0.83479618883725926</v>
      </c>
      <c r="AE72" s="4">
        <f t="shared" ca="1" si="194"/>
        <v>0.34984023550849419</v>
      </c>
      <c r="AF72" s="215">
        <f t="shared" ca="1" si="194"/>
        <v>-0.31340604240538772</v>
      </c>
      <c r="AG72" s="4">
        <f t="shared" ca="1" si="194"/>
        <v>5.6728878217401135E-2</v>
      </c>
      <c r="AH72" s="4">
        <f t="shared" ca="1" si="194"/>
        <v>1.9336323156933455E-2</v>
      </c>
      <c r="AI72" s="4">
        <f t="shared" ca="1" si="194"/>
        <v>-0.23309888780297783</v>
      </c>
      <c r="AJ72" s="215">
        <f t="shared" ca="1" si="194"/>
        <v>0.12016617887266956</v>
      </c>
      <c r="AK72" s="4">
        <f t="shared" ca="1" si="194"/>
        <v>-0.40595256777800437</v>
      </c>
      <c r="AL72" s="4">
        <f t="shared" ca="1" si="188"/>
        <v>-3.4929146071513539E-2</v>
      </c>
      <c r="AM72" s="4">
        <f t="shared" ca="1" si="188"/>
        <v>5.3437700746358674E-2</v>
      </c>
      <c r="AN72" s="215">
        <f t="shared" ca="1" si="188"/>
        <v>-0.13350437025208117</v>
      </c>
      <c r="AO72" s="4">
        <f t="shared" ca="1" si="188"/>
        <v>1.3074702379777925E-2</v>
      </c>
      <c r="AP72" s="4">
        <f t="shared" ca="1" si="188"/>
        <v>-0.32025619357229895</v>
      </c>
      <c r="AQ72" s="4">
        <f t="shared" ca="1" si="188"/>
        <v>0.34458005344423537</v>
      </c>
      <c r="AR72" s="215">
        <f t="shared" ca="1" si="188"/>
        <v>1.5268073994644693E-2</v>
      </c>
      <c r="AS72" s="4">
        <f t="shared" ca="1" si="188"/>
        <v>9.4558513922206933E-2</v>
      </c>
      <c r="AT72" s="4">
        <f t="shared" ca="1" si="188"/>
        <v>-5.3169034269320181E-2</v>
      </c>
      <c r="AU72" s="4">
        <f t="shared" ca="1" si="188"/>
        <v>0.49082823270456299</v>
      </c>
      <c r="AV72" s="215">
        <f t="shared" ca="1" si="188"/>
        <v>-0.11207598059421675</v>
      </c>
      <c r="AW72" s="4">
        <f t="shared" ca="1" si="189"/>
        <v>-0.17374430281716469</v>
      </c>
      <c r="AX72" s="4">
        <f t="shared" ca="1" si="190"/>
        <v>-0.2078074832271285</v>
      </c>
      <c r="AY72" s="4">
        <f t="shared" ca="1" si="191"/>
        <v>0.80163993782676868</v>
      </c>
      <c r="AZ72" s="4">
        <f t="shared" ca="1" si="192"/>
        <v>-0.34616304862347835</v>
      </c>
    </row>
    <row r="73" spans="2:52" hidden="1" outlineLevel="1">
      <c r="B73" s="3" t="s">
        <v>3</v>
      </c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Q73" s="4"/>
      <c r="R73" s="4"/>
      <c r="S73" s="4"/>
      <c r="T73" s="215"/>
      <c r="U73" s="4"/>
      <c r="V73" s="4">
        <f t="shared" ref="V73" ca="1" si="195">V45/U45-1</f>
        <v>-8.0279909890484502E-2</v>
      </c>
      <c r="W73" s="4">
        <f t="shared" ca="1" si="188"/>
        <v>5.150543462527124E-2</v>
      </c>
      <c r="X73" s="215">
        <f t="shared" ca="1" si="188"/>
        <v>6.875983515769768E-2</v>
      </c>
      <c r="Y73" s="4">
        <f t="shared" ca="1" si="188"/>
        <v>0.50165743160682807</v>
      </c>
      <c r="Z73" s="4">
        <f t="shared" ca="1" si="188"/>
        <v>-7.022492117707424E-2</v>
      </c>
      <c r="AA73" s="4">
        <f t="shared" ca="1" si="188"/>
        <v>-2.9159795109705566E-2</v>
      </c>
      <c r="AB73" s="215">
        <f t="shared" ca="1" si="188"/>
        <v>4.3610053073177113E-2</v>
      </c>
      <c r="AC73" s="4">
        <f t="shared" ca="1" si="188"/>
        <v>1.1219279388740713</v>
      </c>
      <c r="AD73" s="4">
        <f t="shared" si="188"/>
        <v>-5.6203900402336693E-2</v>
      </c>
      <c r="AE73" s="4">
        <f t="shared" si="188"/>
        <v>0.25994311192796626</v>
      </c>
      <c r="AF73" s="215">
        <f t="shared" si="188"/>
        <v>-0.22592716516918032</v>
      </c>
      <c r="AG73" s="4">
        <f t="shared" si="188"/>
        <v>0.69717134806569936</v>
      </c>
      <c r="AH73" s="4">
        <f t="shared" si="188"/>
        <v>-0.45077331568284362</v>
      </c>
      <c r="AI73" s="4">
        <f t="shared" si="188"/>
        <v>0.10587365487495592</v>
      </c>
      <c r="AJ73" s="215">
        <f t="shared" si="188"/>
        <v>0.33728072612430782</v>
      </c>
      <c r="AK73" s="4">
        <f t="shared" ca="1" si="188"/>
        <v>0.2893578180853158</v>
      </c>
      <c r="AL73" s="4">
        <f t="shared" ca="1" si="188"/>
        <v>-2.350969764632771E-2</v>
      </c>
      <c r="AM73" s="4">
        <f t="shared" ca="1" si="188"/>
        <v>7.9233954671748874E-2</v>
      </c>
      <c r="AN73" s="215">
        <f t="shared" ca="1" si="188"/>
        <v>-0.20652101006115597</v>
      </c>
      <c r="AO73" s="4">
        <f t="shared" ca="1" si="188"/>
        <v>0.52059085290928953</v>
      </c>
      <c r="AP73" s="4">
        <f t="shared" ca="1" si="188"/>
        <v>0.85748470276405464</v>
      </c>
      <c r="AQ73" s="4">
        <f t="shared" ca="1" si="188"/>
        <v>-0.26419354035792364</v>
      </c>
      <c r="AR73" s="215">
        <f t="shared" ca="1" si="188"/>
        <v>0.26803290027974502</v>
      </c>
      <c r="AS73" s="4">
        <f t="shared" ca="1" si="188"/>
        <v>-0.10162214422623883</v>
      </c>
      <c r="AT73" s="4">
        <f t="shared" ca="1" si="188"/>
        <v>9.0810747731294494E-2</v>
      </c>
      <c r="AU73" s="4">
        <f t="shared" ca="1" si="188"/>
        <v>-0.50585047104476644</v>
      </c>
      <c r="AV73" s="215">
        <f t="shared" ca="1" si="188"/>
        <v>0.16262201214005367</v>
      </c>
      <c r="AW73" s="4">
        <f t="shared" ca="1" si="189"/>
        <v>0.16570450764829081</v>
      </c>
      <c r="AX73" s="4">
        <f t="shared" ca="1" si="190"/>
        <v>0.17127151339326541</v>
      </c>
      <c r="AY73" s="4">
        <f t="shared" ca="1" si="191"/>
        <v>-0.96411855717749939</v>
      </c>
      <c r="AZ73" s="4">
        <f t="shared" ca="1" si="192"/>
        <v>-1.0384534153951264</v>
      </c>
    </row>
    <row r="74" spans="2:52" hidden="1" outlineLevel="1">
      <c r="B74" s="3" t="s">
        <v>73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Q74" s="4"/>
      <c r="R74" s="4"/>
      <c r="S74" s="4"/>
      <c r="T74" s="215"/>
      <c r="U74" s="4"/>
      <c r="V74" s="4">
        <f t="shared" ref="V74" ca="1" si="196">V46/U46-1</f>
        <v>0.25889308094480534</v>
      </c>
      <c r="W74" s="4">
        <f t="shared" ca="1" si="188"/>
        <v>0.16165459724498366</v>
      </c>
      <c r="X74" s="215">
        <f t="shared" ca="1" si="188"/>
        <v>-7.5806753236764002E-2</v>
      </c>
      <c r="Y74" s="4">
        <f t="shared" ca="1" si="188"/>
        <v>1.906356516120753</v>
      </c>
      <c r="Z74" s="4">
        <f t="shared" ca="1" si="188"/>
        <v>-1.8750986644956551</v>
      </c>
      <c r="AA74" s="4">
        <f t="shared" ca="1" si="188"/>
        <v>0.11921150407699277</v>
      </c>
      <c r="AB74" s="215">
        <f t="shared" ca="1" si="188"/>
        <v>5.6479244952473806E-2</v>
      </c>
      <c r="AC74" s="4">
        <f t="shared" ca="1" si="188"/>
        <v>-1.5954655062935026</v>
      </c>
      <c r="AD74" s="4">
        <f t="shared" ca="1" si="188"/>
        <v>-2.7736052416089789</v>
      </c>
      <c r="AE74" s="4">
        <f t="shared" ca="1" si="188"/>
        <v>0.16198341716967324</v>
      </c>
      <c r="AF74" s="215">
        <f t="shared" ca="1" si="188"/>
        <v>-6.8842807530602457E-2</v>
      </c>
      <c r="AG74" s="4">
        <f t="shared" ca="1" si="188"/>
        <v>-0.72589935144147311</v>
      </c>
      <c r="AH74" s="4">
        <f t="shared" ca="1" si="188"/>
        <v>1.9552949421600312</v>
      </c>
      <c r="AI74" s="4">
        <f t="shared" ca="1" si="188"/>
        <v>-2.3252438684050372</v>
      </c>
      <c r="AJ74" s="215">
        <f t="shared" ca="1" si="188"/>
        <v>0.14271417371913686</v>
      </c>
      <c r="AK74" s="4">
        <f t="shared" ca="1" si="188"/>
        <v>-0.6243645401471698</v>
      </c>
      <c r="AL74" s="4">
        <f t="shared" ca="1" si="188"/>
        <v>0.7079060492681799</v>
      </c>
      <c r="AM74" s="4">
        <f t="shared" ca="1" si="188"/>
        <v>0.10411555203460687</v>
      </c>
      <c r="AN74" s="215">
        <f t="shared" ca="1" si="188"/>
        <v>-8.7442793540937203E-4</v>
      </c>
      <c r="AO74" s="4">
        <f t="shared" ca="1" si="188"/>
        <v>-9.6179369003834836E-2</v>
      </c>
      <c r="AP74" s="4">
        <f t="shared" ca="1" si="188"/>
        <v>0.43689760867286909</v>
      </c>
      <c r="AQ74" s="4">
        <f t="shared" ca="1" si="188"/>
        <v>0.14120912612302949</v>
      </c>
      <c r="AR74" s="215">
        <f t="shared" ca="1" si="188"/>
        <v>5.8216823178285582E-2</v>
      </c>
      <c r="AS74" s="4">
        <f t="shared" ca="1" si="188"/>
        <v>-4.1606819281755913E-2</v>
      </c>
      <c r="AT74" s="4">
        <f t="shared" ca="1" si="188"/>
        <v>0.14936311952774628</v>
      </c>
      <c r="AU74" s="4">
        <f t="shared" ca="1" si="188"/>
        <v>8.8455811093938186E-2</v>
      </c>
      <c r="AV74" s="215">
        <f t="shared" ca="1" si="188"/>
        <v>-4.7012468557488418E-2</v>
      </c>
      <c r="AW74" s="4">
        <f t="shared" ca="1" si="189"/>
        <v>-2.2773869022231552E-2</v>
      </c>
      <c r="AX74" s="4">
        <f t="shared" ca="1" si="190"/>
        <v>0.12855305040722631</v>
      </c>
      <c r="AY74" s="4">
        <f t="shared" ca="1" si="191"/>
        <v>8.173129631994569E-2</v>
      </c>
      <c r="AZ74" s="4">
        <f t="shared" ca="1" si="192"/>
        <v>-3.0472081683894259E-2</v>
      </c>
    </row>
    <row r="75" spans="2:52" hidden="1" outlineLevel="1">
      <c r="B75" s="94" t="s">
        <v>87</v>
      </c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Q75" s="168"/>
      <c r="R75" s="168"/>
      <c r="S75" s="168"/>
      <c r="T75" s="216"/>
      <c r="U75" s="168"/>
      <c r="V75" s="168">
        <f t="shared" ref="V75" ca="1" si="197">V47/U47-1</f>
        <v>0.28676609637384143</v>
      </c>
      <c r="W75" s="168">
        <f t="shared" ca="1" si="188"/>
        <v>0.16528669979301291</v>
      </c>
      <c r="X75" s="216">
        <f t="shared" ca="1" si="188"/>
        <v>-0.16200219197129473</v>
      </c>
      <c r="Y75" s="168">
        <f t="shared" ca="1" si="188"/>
        <v>-0.1283295634448578</v>
      </c>
      <c r="Z75" s="168">
        <f t="shared" ca="1" si="188"/>
        <v>0.48618050530157841</v>
      </c>
      <c r="AA75" s="168">
        <f t="shared" ca="1" si="188"/>
        <v>9.9288085016969951E-2</v>
      </c>
      <c r="AB75" s="216">
        <f t="shared" ca="1" si="188"/>
        <v>-0.20774749435124673</v>
      </c>
      <c r="AC75" s="168">
        <f t="shared" ca="1" si="188"/>
        <v>-0.25663956672504618</v>
      </c>
      <c r="AD75" s="168">
        <f t="shared" ca="1" si="188"/>
        <v>0.56327122897948478</v>
      </c>
      <c r="AE75" s="168">
        <f t="shared" ca="1" si="188"/>
        <v>-0.23858506052424233</v>
      </c>
      <c r="AF75" s="216">
        <f t="shared" ca="1" si="188"/>
        <v>0.33102241129627563</v>
      </c>
      <c r="AG75" s="168">
        <f t="shared" ca="1" si="188"/>
        <v>-0.34987961493290864</v>
      </c>
      <c r="AH75" s="168">
        <f t="shared" ca="1" si="188"/>
        <v>0.29665778897443951</v>
      </c>
      <c r="AI75" s="168">
        <f t="shared" ca="1" si="188"/>
        <v>-1.9105584184209712E-2</v>
      </c>
      <c r="AJ75" s="216">
        <f t="shared" ca="1" si="188"/>
        <v>-0.12101308842448188</v>
      </c>
      <c r="AK75" s="168">
        <f t="shared" ca="1" si="188"/>
        <v>-6.4110123359149007E-2</v>
      </c>
      <c r="AL75" s="168">
        <f t="shared" ca="1" si="188"/>
        <v>0.89876034390092596</v>
      </c>
      <c r="AM75" s="168">
        <f t="shared" ca="1" si="188"/>
        <v>0.10687175389532544</v>
      </c>
      <c r="AN75" s="216">
        <f t="shared" ca="1" si="188"/>
        <v>3.7899296155928575E-2</v>
      </c>
      <c r="AO75" s="168">
        <f t="shared" ca="1" si="188"/>
        <v>-0.37025344666403226</v>
      </c>
      <c r="AP75" s="168">
        <f t="shared" ca="1" si="188"/>
        <v>0.41452601181095261</v>
      </c>
      <c r="AQ75" s="168">
        <f t="shared" ca="1" si="188"/>
        <v>0.19980871399721734</v>
      </c>
      <c r="AR75" s="216">
        <f t="shared" ca="1" si="188"/>
        <v>-9.659095979390997E-2</v>
      </c>
      <c r="AS75" s="168">
        <f t="shared" ca="1" si="188"/>
        <v>-9.0411064305992661E-2</v>
      </c>
      <c r="AT75" s="168">
        <f t="shared" ca="1" si="188"/>
        <v>0.40260828462523501</v>
      </c>
      <c r="AU75" s="168">
        <f t="shared" ca="1" si="188"/>
        <v>0.2036195312884499</v>
      </c>
      <c r="AV75" s="216">
        <f t="shared" ca="1" si="188"/>
        <v>-7.9942722529245613E-2</v>
      </c>
      <c r="AW75" s="168">
        <f t="shared" ca="1" si="189"/>
        <v>-7.9679673720357336E-2</v>
      </c>
      <c r="AX75" s="168">
        <f t="shared" ca="1" si="190"/>
        <v>0.33078144334105075</v>
      </c>
      <c r="AY75" s="168">
        <f t="shared" ca="1" si="191"/>
        <v>0.18284130518281461</v>
      </c>
      <c r="AZ75" s="168">
        <f t="shared" ca="1" si="192"/>
        <v>1.8774511753420597E-2</v>
      </c>
    </row>
    <row r="76" spans="2:52" hidden="1" outlineLevel="1">
      <c r="E76" s="106"/>
      <c r="F76" s="46"/>
      <c r="G76" s="46"/>
      <c r="H76" s="46"/>
      <c r="I76" s="46"/>
      <c r="J76" s="46"/>
      <c r="K76" s="46"/>
      <c r="L76" s="45"/>
      <c r="M76" s="45"/>
      <c r="N76" s="45"/>
      <c r="Q76" s="16"/>
      <c r="R76" s="15"/>
      <c r="S76" s="14"/>
      <c r="T76" s="210"/>
      <c r="U76" s="16"/>
      <c r="V76" s="15"/>
      <c r="W76" s="14"/>
      <c r="X76" s="210"/>
      <c r="Y76" s="16"/>
      <c r="Z76" s="15"/>
      <c r="AA76" s="14"/>
      <c r="AB76" s="210"/>
      <c r="AC76" s="16"/>
      <c r="AD76" s="15"/>
      <c r="AE76" s="14"/>
      <c r="AF76" s="210"/>
      <c r="AG76" s="16"/>
      <c r="AH76" s="15"/>
      <c r="AI76" s="14"/>
      <c r="AJ76" s="210"/>
      <c r="AK76" s="16"/>
      <c r="AL76" s="15"/>
      <c r="AM76" s="14"/>
      <c r="AN76" s="210"/>
      <c r="AO76" s="44"/>
      <c r="AP76" s="43"/>
      <c r="AQ76" s="42"/>
      <c r="AR76" s="243"/>
      <c r="AS76" s="44"/>
      <c r="AT76" s="43"/>
      <c r="AU76" s="42"/>
      <c r="AV76" s="243"/>
      <c r="AW76" s="41"/>
      <c r="AX76" s="41"/>
      <c r="AY76" s="41"/>
      <c r="AZ76" s="41"/>
    </row>
    <row r="77" spans="2:52" hidden="1" outlineLevel="1">
      <c r="B77" s="6" t="s">
        <v>137</v>
      </c>
      <c r="C77" s="6"/>
      <c r="D77" s="6"/>
      <c r="E77" s="105"/>
      <c r="F77" s="105"/>
      <c r="G77" s="105"/>
      <c r="H77" s="105"/>
      <c r="I77" s="105"/>
      <c r="J77" s="105"/>
      <c r="K77" s="104"/>
      <c r="L77" s="104"/>
      <c r="M77" s="104"/>
      <c r="N77" s="104"/>
      <c r="O77" s="6"/>
      <c r="P77" s="6"/>
      <c r="Q77" s="103"/>
      <c r="R77" s="102"/>
      <c r="S77" s="101"/>
      <c r="T77" s="211"/>
      <c r="U77" s="103"/>
      <c r="V77" s="102"/>
      <c r="W77" s="101"/>
      <c r="X77" s="211"/>
      <c r="Y77" s="103"/>
      <c r="Z77" s="102"/>
      <c r="AA77" s="101"/>
      <c r="AB77" s="211"/>
      <c r="AC77" s="103"/>
      <c r="AD77" s="102"/>
      <c r="AE77" s="101"/>
      <c r="AF77" s="211"/>
      <c r="AG77" s="103"/>
      <c r="AH77" s="102"/>
      <c r="AI77" s="101"/>
      <c r="AJ77" s="211"/>
      <c r="AK77" s="99"/>
      <c r="AL77" s="98"/>
      <c r="AM77" s="97"/>
      <c r="AN77" s="235"/>
      <c r="AO77" s="99"/>
      <c r="AP77" s="98"/>
      <c r="AQ77" s="97"/>
      <c r="AR77" s="235"/>
      <c r="AS77" s="99"/>
      <c r="AT77" s="98"/>
      <c r="AU77" s="97"/>
      <c r="AV77" s="235"/>
      <c r="AW77" s="96"/>
      <c r="AX77" s="96"/>
      <c r="AY77" s="96"/>
      <c r="AZ77" s="96"/>
    </row>
    <row r="78" spans="2:52" collapsed="1">
      <c r="B78" s="8" t="s">
        <v>136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2:52">
      <c r="B79" s="3" t="s">
        <v>135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2:52">
      <c r="B80" s="3" t="s">
        <v>134</v>
      </c>
      <c r="C80" s="1" t="s">
        <v>88</v>
      </c>
      <c r="E80" s="10"/>
      <c r="F80" s="67">
        <v>22245.643</v>
      </c>
      <c r="G80" s="67">
        <v>31802.219000000001</v>
      </c>
      <c r="H80" s="67">
        <v>48495.214999999997</v>
      </c>
      <c r="I80" s="67">
        <v>64037.006000000001</v>
      </c>
      <c r="J80" s="67">
        <v>64525.114999999998</v>
      </c>
      <c r="K80" s="67">
        <v>73146</v>
      </c>
      <c r="L80" s="58">
        <f t="shared" ref="L80:N81" ca="1" si="198">SUM(OFFSET($P80,0,L$1,1,4))</f>
        <v>92335.981108261549</v>
      </c>
      <c r="M80" s="58">
        <f t="shared" ca="1" si="198"/>
        <v>111011.17916207635</v>
      </c>
      <c r="N80" s="58">
        <f t="shared" ca="1" si="198"/>
        <v>131113.71321328304</v>
      </c>
      <c r="O80" s="85"/>
      <c r="P80" s="58"/>
      <c r="Q80" s="67">
        <v>4260.53</v>
      </c>
      <c r="R80" s="67">
        <v>5451.5550000000003</v>
      </c>
      <c r="S80" s="67">
        <v>6246.009</v>
      </c>
      <c r="T80" s="217">
        <v>6287.549</v>
      </c>
      <c r="U80" s="67">
        <v>5952.8980000000001</v>
      </c>
      <c r="V80" s="67">
        <v>7539.1329999999998</v>
      </c>
      <c r="W80" s="67">
        <v>8847.9869999999992</v>
      </c>
      <c r="X80" s="217">
        <v>9462.2019999999993</v>
      </c>
      <c r="Y80" s="67">
        <v>9378.3179999999993</v>
      </c>
      <c r="Z80" s="67">
        <v>11836.858</v>
      </c>
      <c r="AA80" s="67">
        <v>13427.179</v>
      </c>
      <c r="AB80" s="217">
        <v>13844.607</v>
      </c>
      <c r="AC80" s="67">
        <v>12518.757</v>
      </c>
      <c r="AD80" s="67">
        <v>16227.495999999999</v>
      </c>
      <c r="AE80" s="67">
        <v>17680.374</v>
      </c>
      <c r="AF80" s="217">
        <v>17610.379000000001</v>
      </c>
      <c r="AG80" s="67">
        <v>14930.53</v>
      </c>
      <c r="AH80" s="67">
        <v>16938.794000000002</v>
      </c>
      <c r="AI80" s="67">
        <v>16490.04</v>
      </c>
      <c r="AJ80" s="217">
        <v>16165.751</v>
      </c>
      <c r="AK80" s="67">
        <v>14737.778</v>
      </c>
      <c r="AL80" s="67">
        <v>17883</v>
      </c>
      <c r="AM80" s="67">
        <v>20108</v>
      </c>
      <c r="AN80" s="217">
        <v>20418</v>
      </c>
      <c r="AO80" s="58">
        <f t="shared" ref="AO80:AV80" ca="1" si="199">AO82-AO81</f>
        <v>19120.167118153171</v>
      </c>
      <c r="AP80" s="58">
        <f t="shared" ca="1" si="199"/>
        <v>23043.050086751773</v>
      </c>
      <c r="AQ80" s="58">
        <f t="shared" ca="1" si="199"/>
        <v>25200.092414095976</v>
      </c>
      <c r="AR80" s="212">
        <f t="shared" ca="1" si="199"/>
        <v>24972.671489260636</v>
      </c>
      <c r="AS80" s="58">
        <f t="shared" ca="1" si="199"/>
        <v>23982.334193714734</v>
      </c>
      <c r="AT80" s="58">
        <f t="shared" ca="1" si="199"/>
        <v>27666.959035325344</v>
      </c>
      <c r="AU80" s="58">
        <f t="shared" ca="1" si="199"/>
        <v>30380.532054459156</v>
      </c>
      <c r="AV80" s="212">
        <f t="shared" ca="1" si="199"/>
        <v>28981.353878577131</v>
      </c>
      <c r="AW80" s="58">
        <f t="shared" ref="AW80:AZ80" ca="1" si="200">AW82-AW81</f>
        <v>28617.669887987962</v>
      </c>
      <c r="AX80" s="58">
        <f t="shared" ca="1" si="200"/>
        <v>32366.197761676929</v>
      </c>
      <c r="AY80" s="58">
        <f t="shared" ca="1" si="200"/>
        <v>35360.977366188068</v>
      </c>
      <c r="AZ80" s="58">
        <f t="shared" ca="1" si="200"/>
        <v>34768.8681974301</v>
      </c>
    </row>
    <row r="81" spans="1:60">
      <c r="B81" s="3" t="s">
        <v>133</v>
      </c>
      <c r="C81" s="1" t="s">
        <v>88</v>
      </c>
      <c r="E81" s="10"/>
      <c r="F81" s="67">
        <v>60.383000000000003</v>
      </c>
      <c r="G81" s="67">
        <v>141.70500000000001</v>
      </c>
      <c r="H81" s="67">
        <v>557.10299999999995</v>
      </c>
      <c r="I81" s="67">
        <v>2344.723</v>
      </c>
      <c r="J81" s="67">
        <v>6024.2489999999998</v>
      </c>
      <c r="K81" s="67">
        <v>11663</v>
      </c>
      <c r="L81" s="58">
        <f t="shared" ca="1" si="198"/>
        <v>12954.929422353018</v>
      </c>
      <c r="M81" s="58">
        <f t="shared" ca="1" si="198"/>
        <v>17587.737764550737</v>
      </c>
      <c r="N81" s="58">
        <f t="shared" ca="1" si="198"/>
        <v>23618.597917954452</v>
      </c>
      <c r="O81" s="85"/>
      <c r="P81" s="58"/>
      <c r="Q81" s="67">
        <v>3.1970000000000001</v>
      </c>
      <c r="R81" s="67">
        <v>4.6769999999999996</v>
      </c>
      <c r="S81" s="67">
        <v>4.7110000000000003</v>
      </c>
      <c r="T81" s="217">
        <v>47.796999999999997</v>
      </c>
      <c r="U81" s="67">
        <v>15.64</v>
      </c>
      <c r="V81" s="67">
        <v>21.681999999999999</v>
      </c>
      <c r="W81" s="67">
        <v>43.670999999999999</v>
      </c>
      <c r="X81" s="217">
        <v>60.710999999999999</v>
      </c>
      <c r="Y81" s="67">
        <v>118.23399999999999</v>
      </c>
      <c r="Z81" s="67">
        <v>148.92400000000001</v>
      </c>
      <c r="AA81" s="67">
        <v>92.576999999999998</v>
      </c>
      <c r="AB81" s="217">
        <v>205.62200000000001</v>
      </c>
      <c r="AC81" s="67">
        <v>205.85900000000001</v>
      </c>
      <c r="AD81" s="67">
        <v>347.74200000000002</v>
      </c>
      <c r="AE81" s="67">
        <v>702.70699999999999</v>
      </c>
      <c r="AF81" s="217">
        <v>1088.415</v>
      </c>
      <c r="AG81" s="67">
        <v>890.04200000000003</v>
      </c>
      <c r="AH81" s="67">
        <v>1324.854</v>
      </c>
      <c r="AI81" s="67">
        <v>1762.7190000000001</v>
      </c>
      <c r="AJ81" s="217">
        <v>2046.634</v>
      </c>
      <c r="AK81" s="67">
        <v>2153.0070000000001</v>
      </c>
      <c r="AL81" s="67">
        <v>2991</v>
      </c>
      <c r="AM81" s="67">
        <v>3381</v>
      </c>
      <c r="AN81" s="217">
        <v>3138</v>
      </c>
      <c r="AO81" s="58">
        <f ca="1">AO354+AO363</f>
        <v>2774.9636140231996</v>
      </c>
      <c r="AP81" s="58">
        <f t="shared" ref="AP81:AZ81" ca="1" si="201">AP354+AP363</f>
        <v>3167.867021338905</v>
      </c>
      <c r="AQ81" s="58">
        <f t="shared" ca="1" si="201"/>
        <v>3425.0369232723492</v>
      </c>
      <c r="AR81" s="212">
        <f t="shared" ca="1" si="201"/>
        <v>3587.0618637185639</v>
      </c>
      <c r="AS81" s="58">
        <f t="shared" ca="1" si="201"/>
        <v>3756.6091993143859</v>
      </c>
      <c r="AT81" s="58">
        <f t="shared" ca="1" si="201"/>
        <v>4322.9551075223135</v>
      </c>
      <c r="AU81" s="58">
        <f t="shared" ca="1" si="201"/>
        <v>4635.2905227851043</v>
      </c>
      <c r="AV81" s="212">
        <f t="shared" ca="1" si="201"/>
        <v>4872.8829349289317</v>
      </c>
      <c r="AW81" s="58">
        <f t="shared" ca="1" si="201"/>
        <v>5065.1154267652591</v>
      </c>
      <c r="AX81" s="58">
        <f t="shared" ca="1" si="201"/>
        <v>5832.7686990556558</v>
      </c>
      <c r="AY81" s="58">
        <f t="shared" ca="1" si="201"/>
        <v>6193.9328771363607</v>
      </c>
      <c r="AZ81" s="58">
        <f t="shared" ca="1" si="201"/>
        <v>6526.7809149971745</v>
      </c>
    </row>
    <row r="82" spans="1:60" s="8" customFormat="1">
      <c r="A82" s="296"/>
      <c r="B82" s="94" t="s">
        <v>130</v>
      </c>
      <c r="C82" s="93" t="s">
        <v>88</v>
      </c>
      <c r="D82" s="93"/>
      <c r="E82" s="92"/>
      <c r="F82" s="91">
        <f>SUM(F80:F81)</f>
        <v>22306.026000000002</v>
      </c>
      <c r="G82" s="91">
        <f>SUM(G80:G81)</f>
        <v>31943.924000000003</v>
      </c>
      <c r="H82" s="91">
        <f>SUM(H80:H81)</f>
        <v>49052.317999999999</v>
      </c>
      <c r="I82" s="91">
        <f>SUM(I80:I81)</f>
        <v>66381.729000000007</v>
      </c>
      <c r="J82" s="91">
        <f>SUM(J80:J81)</f>
        <v>70549.364000000001</v>
      </c>
      <c r="K82" s="91">
        <f ca="1">+K89</f>
        <v>84809.434999999998</v>
      </c>
      <c r="L82" s="91">
        <f ca="1">+L89</f>
        <v>105290.91053061458</v>
      </c>
      <c r="M82" s="91">
        <f ca="1">+M89</f>
        <v>128598.91692662711</v>
      </c>
      <c r="N82" s="91">
        <f ca="1">+N89</f>
        <v>154732.31113123751</v>
      </c>
      <c r="O82" s="85">
        <f ca="1">(N82/K82)^(1/3)-1</f>
        <v>0.22192799303565125</v>
      </c>
      <c r="Q82" s="91">
        <f t="shared" ref="Q82:AN82" si="202">SUM(Q80:Q81)</f>
        <v>4263.7269999999999</v>
      </c>
      <c r="R82" s="91">
        <f t="shared" si="202"/>
        <v>5456.232</v>
      </c>
      <c r="S82" s="91">
        <f t="shared" si="202"/>
        <v>6250.72</v>
      </c>
      <c r="T82" s="213">
        <f t="shared" si="202"/>
        <v>6335.3459999999995</v>
      </c>
      <c r="U82" s="91">
        <f t="shared" si="202"/>
        <v>5968.5380000000005</v>
      </c>
      <c r="V82" s="91">
        <f t="shared" si="202"/>
        <v>7560.8149999999996</v>
      </c>
      <c r="W82" s="91">
        <f t="shared" si="202"/>
        <v>8891.6579999999994</v>
      </c>
      <c r="X82" s="213">
        <f t="shared" si="202"/>
        <v>9522.9129999999986</v>
      </c>
      <c r="Y82" s="91">
        <f t="shared" si="202"/>
        <v>9496.5519999999997</v>
      </c>
      <c r="Z82" s="91">
        <f t="shared" si="202"/>
        <v>11985.782000000001</v>
      </c>
      <c r="AA82" s="91">
        <f t="shared" si="202"/>
        <v>13519.755999999999</v>
      </c>
      <c r="AB82" s="213">
        <f t="shared" si="202"/>
        <v>14050.228999999999</v>
      </c>
      <c r="AC82" s="91">
        <f t="shared" si="202"/>
        <v>12724.616</v>
      </c>
      <c r="AD82" s="91">
        <f t="shared" si="202"/>
        <v>16575.237999999998</v>
      </c>
      <c r="AE82" s="91">
        <f t="shared" si="202"/>
        <v>18383.080999999998</v>
      </c>
      <c r="AF82" s="213">
        <f t="shared" si="202"/>
        <v>18698.794000000002</v>
      </c>
      <c r="AG82" s="91">
        <f t="shared" si="202"/>
        <v>15820.572</v>
      </c>
      <c r="AH82" s="91">
        <f t="shared" si="202"/>
        <v>18263.648000000001</v>
      </c>
      <c r="AI82" s="91">
        <f t="shared" si="202"/>
        <v>18252.759000000002</v>
      </c>
      <c r="AJ82" s="213">
        <f t="shared" si="202"/>
        <v>18212.385000000002</v>
      </c>
      <c r="AK82" s="91">
        <f t="shared" si="202"/>
        <v>16890.785</v>
      </c>
      <c r="AL82" s="91">
        <f t="shared" si="202"/>
        <v>20874</v>
      </c>
      <c r="AM82" s="91">
        <f t="shared" si="202"/>
        <v>23489</v>
      </c>
      <c r="AN82" s="213">
        <f t="shared" si="202"/>
        <v>23556</v>
      </c>
      <c r="AO82" s="91">
        <f t="shared" ref="AO82:AV82" ca="1" si="203">AO89</f>
        <v>21895.130732176371</v>
      </c>
      <c r="AP82" s="91">
        <f t="shared" ca="1" si="203"/>
        <v>26210.917108090678</v>
      </c>
      <c r="AQ82" s="91">
        <f t="shared" ca="1" si="203"/>
        <v>28625.129337368326</v>
      </c>
      <c r="AR82" s="213">
        <f t="shared" ca="1" si="203"/>
        <v>28559.733352979201</v>
      </c>
      <c r="AS82" s="91">
        <f t="shared" ca="1" si="203"/>
        <v>27738.94339302912</v>
      </c>
      <c r="AT82" s="91">
        <f t="shared" ca="1" si="203"/>
        <v>31989.914142847658</v>
      </c>
      <c r="AU82" s="91">
        <f t="shared" ca="1" si="203"/>
        <v>35015.82257724426</v>
      </c>
      <c r="AV82" s="213">
        <f t="shared" ca="1" si="203"/>
        <v>33854.236813506061</v>
      </c>
      <c r="AW82" s="91">
        <f t="shared" ref="AW82:AZ82" ca="1" si="204">AW89</f>
        <v>33682.785314753222</v>
      </c>
      <c r="AX82" s="91">
        <f t="shared" ca="1" si="204"/>
        <v>38198.966460732583</v>
      </c>
      <c r="AY82" s="91">
        <f t="shared" ca="1" si="204"/>
        <v>41554.910243324426</v>
      </c>
      <c r="AZ82" s="91">
        <f t="shared" ca="1" si="204"/>
        <v>41295.649112427272</v>
      </c>
      <c r="BC82"/>
      <c r="BD82"/>
      <c r="BE82"/>
      <c r="BF82"/>
      <c r="BG82"/>
      <c r="BH82"/>
    </row>
    <row r="83" spans="1:60">
      <c r="E83" s="10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212"/>
      <c r="U83" s="58"/>
      <c r="V83" s="58"/>
      <c r="W83" s="58"/>
      <c r="X83" s="212"/>
      <c r="Y83" s="58"/>
      <c r="Z83" s="58"/>
      <c r="AA83" s="58"/>
      <c r="AB83" s="212"/>
      <c r="AC83" s="58"/>
      <c r="AD83" s="58"/>
      <c r="AE83" s="58"/>
      <c r="AF83" s="212"/>
      <c r="AG83" s="58"/>
      <c r="AH83" s="58"/>
      <c r="AI83" s="58"/>
      <c r="AJ83" s="212"/>
      <c r="AK83" s="58"/>
      <c r="AL83" s="58"/>
      <c r="AM83" s="58"/>
      <c r="AN83" s="212"/>
      <c r="AO83" s="58"/>
      <c r="AP83" s="58"/>
      <c r="AQ83" s="58"/>
      <c r="AR83" s="212"/>
      <c r="AS83" s="58"/>
      <c r="AT83" s="58"/>
      <c r="AU83" s="58"/>
      <c r="AV83" s="212"/>
      <c r="AW83" s="58"/>
      <c r="AX83" s="58"/>
      <c r="AY83" s="58"/>
      <c r="AZ83" s="58"/>
    </row>
    <row r="84" spans="1:60">
      <c r="B84" s="9" t="s">
        <v>132</v>
      </c>
      <c r="E84" s="10"/>
      <c r="F84" s="58"/>
      <c r="G84" s="58"/>
      <c r="H84" s="58"/>
      <c r="I84" s="58"/>
      <c r="J84" s="58"/>
      <c r="K84" s="95"/>
      <c r="L84" s="95"/>
      <c r="M84" s="95"/>
      <c r="N84" s="95"/>
      <c r="O84" s="58"/>
      <c r="P84" s="58"/>
      <c r="Q84" s="58"/>
      <c r="R84" s="58"/>
      <c r="S84" s="58"/>
      <c r="T84" s="212"/>
      <c r="U84" s="58"/>
      <c r="V84" s="58"/>
      <c r="W84" s="58"/>
      <c r="X84" s="212"/>
      <c r="Y84" s="165"/>
      <c r="Z84" s="58"/>
      <c r="AA84" s="58"/>
      <c r="AB84" s="212"/>
      <c r="AC84" s="165"/>
      <c r="AD84" s="58"/>
      <c r="AE84" s="58"/>
      <c r="AF84" s="212"/>
      <c r="AG84" s="165"/>
      <c r="AH84" s="58"/>
      <c r="AI84" s="58"/>
      <c r="AJ84" s="212"/>
      <c r="AK84" s="165"/>
      <c r="AL84" s="58"/>
      <c r="AM84" s="58"/>
      <c r="AN84" s="212"/>
      <c r="AO84" s="165"/>
      <c r="AP84" s="58"/>
      <c r="AQ84" s="58"/>
      <c r="AR84" s="212"/>
      <c r="AS84" s="58"/>
      <c r="AT84" s="58"/>
      <c r="AU84" s="58"/>
      <c r="AV84" s="212"/>
      <c r="AW84" s="58"/>
      <c r="AX84" s="58"/>
      <c r="AY84" s="58"/>
      <c r="AZ84" s="58"/>
    </row>
    <row r="85" spans="1:60">
      <c r="B85" s="3" t="s">
        <v>612</v>
      </c>
      <c r="C85" s="1" t="s">
        <v>88</v>
      </c>
      <c r="F85" s="58"/>
      <c r="G85" s="67">
        <v>29590.276000000002</v>
      </c>
      <c r="H85" s="67">
        <v>43727.459000000003</v>
      </c>
      <c r="I85" s="67">
        <v>55667.478000000003</v>
      </c>
      <c r="J85" s="67">
        <v>55375.031000000003</v>
      </c>
      <c r="K85" s="58">
        <f t="shared" ref="K85:N86" ca="1" si="205">SUM(OFFSET($P85,0,K$1,1,4))</f>
        <v>62162.542084177418</v>
      </c>
      <c r="L85" s="58">
        <f t="shared" ca="1" si="205"/>
        <v>74669.932567470314</v>
      </c>
      <c r="M85" s="58">
        <f t="shared" ca="1" si="205"/>
        <v>89734.394000721906</v>
      </c>
      <c r="N85" s="58">
        <f t="shared" ca="1" si="205"/>
        <v>103931.64327677251</v>
      </c>
      <c r="O85" s="85">
        <f ca="1">(N85/K85)^(1/3)-1</f>
        <v>0.18687871811302781</v>
      </c>
      <c r="P85" s="58"/>
      <c r="Q85" s="58">
        <f t="shared" ref="Q85:AF85" si="206">Q301</f>
        <v>4172.9569999999994</v>
      </c>
      <c r="R85" s="58">
        <f t="shared" si="206"/>
        <v>5350.3850000000002</v>
      </c>
      <c r="S85" s="58">
        <f t="shared" si="206"/>
        <v>6101.9009999999998</v>
      </c>
      <c r="T85" s="212">
        <f t="shared" si="206"/>
        <v>6151.4960000000001</v>
      </c>
      <c r="U85" s="58">
        <f t="shared" si="206"/>
        <v>5623.2785507117924</v>
      </c>
      <c r="V85" s="58">
        <f t="shared" si="206"/>
        <v>7114.7081028187704</v>
      </c>
      <c r="W85" s="58">
        <f t="shared" si="206"/>
        <v>8245.0122299652066</v>
      </c>
      <c r="X85" s="212">
        <f t="shared" si="206"/>
        <v>8607.2771165042286</v>
      </c>
      <c r="Y85" s="58">
        <f t="shared" si="206"/>
        <v>8653.5691289591741</v>
      </c>
      <c r="Z85" s="58">
        <f t="shared" si="206"/>
        <v>10862.541085637542</v>
      </c>
      <c r="AA85" s="58">
        <f t="shared" si="206"/>
        <v>12130.891639432159</v>
      </c>
      <c r="AB85" s="212">
        <f t="shared" si="206"/>
        <v>12080.457145971128</v>
      </c>
      <c r="AC85" s="58">
        <f t="shared" si="206"/>
        <v>11311.389820992161</v>
      </c>
      <c r="AD85" s="58">
        <f t="shared" si="206"/>
        <v>14678.845938174265</v>
      </c>
      <c r="AE85" s="58">
        <f t="shared" si="206"/>
        <v>15529.358430817852</v>
      </c>
      <c r="AF85" s="212">
        <f t="shared" si="206"/>
        <v>14792.726410015723</v>
      </c>
      <c r="AG85" s="58">
        <f t="shared" ref="AG85" si="207">AG301</f>
        <v>13246.699000000001</v>
      </c>
      <c r="AH85" s="58">
        <f t="shared" ref="AH85:AN85" ca="1" si="208">AH301</f>
        <v>14513.594369405577</v>
      </c>
      <c r="AI85" s="58">
        <f t="shared" ca="1" si="208"/>
        <v>13909.846759044915</v>
      </c>
      <c r="AJ85" s="212">
        <f t="shared" ca="1" si="208"/>
        <v>13704.890871549513</v>
      </c>
      <c r="AK85" s="58">
        <f t="shared" si="208"/>
        <v>12420.545</v>
      </c>
      <c r="AL85" s="58">
        <f t="shared" si="208"/>
        <v>15157.260316498114</v>
      </c>
      <c r="AM85" s="58">
        <f t="shared" si="208"/>
        <v>17002.254001718098</v>
      </c>
      <c r="AN85" s="212">
        <f t="shared" si="208"/>
        <v>17582.482765961206</v>
      </c>
      <c r="AO85" s="58">
        <f ca="1">+Operating_Model!AO73</f>
        <v>15429.569767841891</v>
      </c>
      <c r="AP85" s="58">
        <f ca="1">+Operating_Model!AP73</f>
        <v>18649.224389548417</v>
      </c>
      <c r="AQ85" s="58">
        <f ca="1">+Operating_Model!AQ73</f>
        <v>20195.156454298623</v>
      </c>
      <c r="AR85" s="212">
        <f ca="1">+Operating_Model!AR73</f>
        <v>20395.981955781386</v>
      </c>
      <c r="AS85" s="58">
        <f ca="1">+Operating_Model!AS73</f>
        <v>19331.850244958681</v>
      </c>
      <c r="AT85" s="58">
        <f ca="1">+Operating_Model!AT73</f>
        <v>22427.272851256563</v>
      </c>
      <c r="AU85" s="58">
        <f ca="1">+Operating_Model!AU73</f>
        <v>24529.04541659739</v>
      </c>
      <c r="AV85" s="212">
        <f ca="1">+Operating_Model!AV73</f>
        <v>23446.225487909262</v>
      </c>
      <c r="AW85" s="58">
        <f ca="1">+Operating_Model!AW73</f>
        <v>22732.986137669712</v>
      </c>
      <c r="AX85" s="58">
        <f ca="1">+Operating_Model!AX73</f>
        <v>25835.296257834423</v>
      </c>
      <c r="AY85" s="58">
        <f ca="1">+Operating_Model!AY73</f>
        <v>28057.466611633678</v>
      </c>
      <c r="AZ85" s="58">
        <f ca="1">+Operating_Model!AZ73</f>
        <v>27305.894269634693</v>
      </c>
    </row>
    <row r="86" spans="1:60">
      <c r="B86" s="3" t="s">
        <v>613</v>
      </c>
      <c r="C86" s="1" t="s">
        <v>88</v>
      </c>
      <c r="F86" s="58"/>
      <c r="G86" s="67">
        <v>1319.1869999999999</v>
      </c>
      <c r="H86" s="67">
        <v>3822.4560000000001</v>
      </c>
      <c r="I86" s="67">
        <v>7005.9409999999998</v>
      </c>
      <c r="J86" s="67">
        <v>4894.4859999999999</v>
      </c>
      <c r="K86" s="58">
        <f t="shared" ca="1" si="205"/>
        <v>6122.3167896783161</v>
      </c>
      <c r="L86" s="58">
        <f t="shared" ca="1" si="205"/>
        <v>6539.2762734472126</v>
      </c>
      <c r="M86" s="58">
        <f t="shared" ca="1" si="205"/>
        <v>7479.0389689758922</v>
      </c>
      <c r="N86" s="58">
        <f t="shared" ca="1" si="205"/>
        <v>10639.281458237821</v>
      </c>
      <c r="O86" s="85">
        <f t="shared" ref="O86:O87" ca="1" si="209">(N86/K86)^(1/3)-1</f>
        <v>0.20226120529970326</v>
      </c>
      <c r="P86" s="58"/>
      <c r="Q86" s="58">
        <f t="shared" ref="Q86:AF86" si="210">Q306</f>
        <v>90.770000000000437</v>
      </c>
      <c r="R86" s="58">
        <f t="shared" si="210"/>
        <v>105.84699999999975</v>
      </c>
      <c r="S86" s="58">
        <f t="shared" si="210"/>
        <v>148.81900000000041</v>
      </c>
      <c r="T86" s="212">
        <f t="shared" si="210"/>
        <v>183.84999999999945</v>
      </c>
      <c r="U86" s="58">
        <f t="shared" ca="1" si="210"/>
        <v>249.10219772103477</v>
      </c>
      <c r="V86" s="58">
        <f t="shared" ca="1" si="210"/>
        <v>276.34486966228076</v>
      </c>
      <c r="W86" s="58">
        <f t="shared" ca="1" si="210"/>
        <v>373.28195721580227</v>
      </c>
      <c r="X86" s="212">
        <f t="shared" ca="1" si="210"/>
        <v>420.45797540088074</v>
      </c>
      <c r="Y86" s="58">
        <f t="shared" ca="1" si="210"/>
        <v>605.33205258030762</v>
      </c>
      <c r="Z86" s="58">
        <f t="shared" ca="1" si="210"/>
        <v>724.61370945496924</v>
      </c>
      <c r="AA86" s="58">
        <f t="shared" ca="1" si="210"/>
        <v>762.49391085154309</v>
      </c>
      <c r="AB86" s="212">
        <f t="shared" ca="1" si="210"/>
        <v>827.58635523024714</v>
      </c>
      <c r="AC86" s="58">
        <f t="shared" ca="1" si="210"/>
        <v>738.62768578449663</v>
      </c>
      <c r="AD86" s="58">
        <f t="shared" ca="1" si="210"/>
        <v>1023.4594288136989</v>
      </c>
      <c r="AE86" s="58">
        <f t="shared" ca="1" si="210"/>
        <v>1644.607229226342</v>
      </c>
      <c r="AF86" s="212">
        <f t="shared" ca="1" si="210"/>
        <v>1963.9256629968097</v>
      </c>
      <c r="AG86" s="58">
        <f t="shared" ref="AG86" si="211">AG306</f>
        <v>900.06200000000001</v>
      </c>
      <c r="AH86" s="58">
        <f t="shared" ref="AH86:AN86" si="212">AH306</f>
        <v>1089.07502</v>
      </c>
      <c r="AI86" s="58">
        <f t="shared" si="212"/>
        <v>1317.7807742</v>
      </c>
      <c r="AJ86" s="212">
        <f t="shared" si="212"/>
        <v>1587.5682057999998</v>
      </c>
      <c r="AK86" s="58">
        <f t="shared" si="212"/>
        <v>1362.0060000000001</v>
      </c>
      <c r="AL86" s="58">
        <f t="shared" si="212"/>
        <v>1601.4906312786081</v>
      </c>
      <c r="AM86" s="58">
        <f t="shared" si="212"/>
        <v>1769.6471475628618</v>
      </c>
      <c r="AN86" s="212">
        <f t="shared" si="212"/>
        <v>1389.1730108368465</v>
      </c>
      <c r="AO86" s="58">
        <f>+Operating_Model!AO87</f>
        <v>1562.8196371914523</v>
      </c>
      <c r="AP86" s="58">
        <f>+Operating_Model!AP87</f>
        <v>1640.9606190510251</v>
      </c>
      <c r="AQ86" s="58">
        <f>+Operating_Model!AQ87</f>
        <v>1727.2301809729086</v>
      </c>
      <c r="AR86" s="212">
        <f>+Operating_Model!AR87</f>
        <v>1608.2658362318257</v>
      </c>
      <c r="AS86" s="58">
        <f>+Operating_Model!AS87</f>
        <v>1787.1364437515058</v>
      </c>
      <c r="AT86" s="58">
        <f>+Operating_Model!AT87</f>
        <v>1865.8157616978358</v>
      </c>
      <c r="AU86" s="58">
        <f>+Operating_Model!AU87</f>
        <v>1935.9777126214726</v>
      </c>
      <c r="AV86" s="212">
        <f>+Operating_Model!AV87</f>
        <v>1890.1090509050769</v>
      </c>
      <c r="AW86" s="58">
        <f>+Operating_Model!AW87</f>
        <v>2287.7840410770004</v>
      </c>
      <c r="AX86" s="58">
        <f>+Operating_Model!AX87</f>
        <v>2512.6645782663281</v>
      </c>
      <c r="AY86" s="58">
        <f>+Operating_Model!AY87</f>
        <v>2728.6870537520549</v>
      </c>
      <c r="AZ86" s="58">
        <f>+Operating_Model!AZ87</f>
        <v>3110.1457851424379</v>
      </c>
    </row>
    <row r="87" spans="1:60">
      <c r="B87" s="3" t="s">
        <v>3</v>
      </c>
      <c r="C87" s="1" t="s">
        <v>88</v>
      </c>
      <c r="F87" s="58"/>
      <c r="G87" s="67">
        <v>1345.0419999999999</v>
      </c>
      <c r="H87" s="67">
        <v>2873.5520000000001</v>
      </c>
      <c r="I87" s="67">
        <v>5319</v>
      </c>
      <c r="J87" s="67">
        <v>11237</v>
      </c>
      <c r="K87" s="67">
        <v>17378</v>
      </c>
      <c r="L87" s="58">
        <f t="shared" ref="L87:N88" ca="1" si="213">SUM(OFFSET($P87,0,L$1,1,4))</f>
        <v>25086.789113457951</v>
      </c>
      <c r="M87" s="58">
        <f t="shared" ca="1" si="213"/>
        <v>32581.779156902514</v>
      </c>
      <c r="N87" s="58">
        <f t="shared" ca="1" si="213"/>
        <v>41537.038351479554</v>
      </c>
      <c r="O87" s="85">
        <f t="shared" ca="1" si="209"/>
        <v>0.33704260054015589</v>
      </c>
      <c r="P87" s="58"/>
      <c r="Q87" s="58">
        <f t="shared" ref="Q87:AF87" si="214">Q311</f>
        <v>0</v>
      </c>
      <c r="R87" s="58">
        <f t="shared" si="214"/>
        <v>0</v>
      </c>
      <c r="S87" s="58">
        <f t="shared" si="214"/>
        <v>0</v>
      </c>
      <c r="T87" s="212">
        <f t="shared" si="214"/>
        <v>0</v>
      </c>
      <c r="U87" s="58">
        <f t="shared" si="214"/>
        <v>155.163449288208</v>
      </c>
      <c r="V87" s="58">
        <f t="shared" si="214"/>
        <v>244.02797718122903</v>
      </c>
      <c r="W87" s="58">
        <f t="shared" si="214"/>
        <v>359.96119003479174</v>
      </c>
      <c r="X87" s="212">
        <f t="shared" si="214"/>
        <v>585.88938349577109</v>
      </c>
      <c r="Y87" s="58">
        <f t="shared" si="214"/>
        <v>330.68507104082636</v>
      </c>
      <c r="Z87" s="58">
        <f t="shared" si="214"/>
        <v>515.05595436245801</v>
      </c>
      <c r="AA87" s="58">
        <f t="shared" si="214"/>
        <v>755.92432056784367</v>
      </c>
      <c r="AB87" s="212">
        <f t="shared" si="214"/>
        <v>1271.8866540288723</v>
      </c>
      <c r="AC87" s="58">
        <f t="shared" si="214"/>
        <v>795.67812787348771</v>
      </c>
      <c r="AD87" s="58">
        <f t="shared" si="214"/>
        <v>1030.7107769799331</v>
      </c>
      <c r="AE87" s="58">
        <f t="shared" si="214"/>
        <v>1381.6808558517662</v>
      </c>
      <c r="AF87" s="212">
        <f t="shared" si="214"/>
        <v>2110.5142392948128</v>
      </c>
      <c r="AG87" s="58">
        <f t="shared" ref="AG87" si="215">AG311</f>
        <v>1925.405</v>
      </c>
      <c r="AH87" s="58">
        <f t="shared" ref="AH87:AN87" si="216">AH311</f>
        <v>2899.2299999999996</v>
      </c>
      <c r="AI87" s="58">
        <f t="shared" si="216"/>
        <v>3257.6559999999999</v>
      </c>
      <c r="AJ87" s="212">
        <f t="shared" si="216"/>
        <v>3155.116</v>
      </c>
      <c r="AK87" s="58">
        <f t="shared" si="216"/>
        <v>3284.0340000000006</v>
      </c>
      <c r="AL87" s="58">
        <f t="shared" si="216"/>
        <v>4326.3190000000004</v>
      </c>
      <c r="AM87" s="58">
        <f t="shared" si="216"/>
        <v>4950.5829999999996</v>
      </c>
      <c r="AN87" s="212">
        <f t="shared" si="216"/>
        <v>4817.4139999999998</v>
      </c>
      <c r="AO87" s="58">
        <f>+Operating_Model!AO214</f>
        <v>5113.3945998747795</v>
      </c>
      <c r="AP87" s="58">
        <f>+Operating_Model!AP214</f>
        <v>6172.2678767450325</v>
      </c>
      <c r="AQ87" s="58">
        <f>+Operating_Model!AQ214</f>
        <v>6973.8501308370242</v>
      </c>
      <c r="AR87" s="212">
        <f>+Operating_Model!AR214</f>
        <v>6827.2765060011143</v>
      </c>
      <c r="AS87" s="58">
        <f>+Operating_Model!AS214</f>
        <v>6880.4392926215614</v>
      </c>
      <c r="AT87" s="58">
        <f>+Operating_Model!AT214</f>
        <v>7996.2146101674343</v>
      </c>
      <c r="AU87" s="58">
        <f>+Operating_Model!AU214</f>
        <v>8876.671232227889</v>
      </c>
      <c r="AV87" s="212">
        <f>+Operating_Model!AV214</f>
        <v>8828.4540218856273</v>
      </c>
      <c r="AW87" s="58">
        <f>+Operating_Model!AW214</f>
        <v>8965.4944183851949</v>
      </c>
      <c r="AX87" s="58">
        <f>+Operating_Model!AX214</f>
        <v>10193.498094495686</v>
      </c>
      <c r="AY87" s="58">
        <f>+Operating_Model!AY214</f>
        <v>11139.241401344339</v>
      </c>
      <c r="AZ87" s="58">
        <f>+Operating_Model!AZ214</f>
        <v>11238.80443725433</v>
      </c>
    </row>
    <row r="88" spans="1:60">
      <c r="B88" s="3" t="s">
        <v>131</v>
      </c>
      <c r="C88" s="1" t="s">
        <v>88</v>
      </c>
      <c r="F88" s="58"/>
      <c r="G88" s="58">
        <f>+G89-SUM(G85:G87)</f>
        <v>-310.58100000000559</v>
      </c>
      <c r="H88" s="58">
        <f>+H89-SUM(H85:H87)</f>
        <v>-1371.1490000000049</v>
      </c>
      <c r="I88" s="58">
        <f>+I89-SUM(I85:I87)</f>
        <v>-1610.6899999999878</v>
      </c>
      <c r="J88" s="58">
        <f>+J89-SUM(J85:J87)</f>
        <v>-957.15299999999115</v>
      </c>
      <c r="K88" s="58">
        <f ca="1">SUM(OFFSET($P88,0,K$1,1,4))</f>
        <v>-853.42387385573238</v>
      </c>
      <c r="L88" s="58">
        <f t="shared" ca="1" si="213"/>
        <v>-1005.0874237609028</v>
      </c>
      <c r="M88" s="58">
        <f t="shared" ca="1" si="213"/>
        <v>-1196.295199973199</v>
      </c>
      <c r="N88" s="58">
        <f t="shared" ca="1" si="213"/>
        <v>-1375.6519552523812</v>
      </c>
      <c r="O88" s="85"/>
      <c r="P88" s="58"/>
      <c r="Q88" s="58">
        <f t="shared" ref="Q88:AM88" si="217">(Q89-SUM(Q85:Q87))</f>
        <v>0</v>
      </c>
      <c r="R88" s="58">
        <f t="shared" si="217"/>
        <v>0</v>
      </c>
      <c r="S88" s="58">
        <f t="shared" si="217"/>
        <v>0</v>
      </c>
      <c r="T88" s="212">
        <f t="shared" si="217"/>
        <v>0</v>
      </c>
      <c r="U88" s="58">
        <f t="shared" ca="1" si="217"/>
        <v>-59.006197721034368</v>
      </c>
      <c r="V88" s="58">
        <f t="shared" ca="1" si="217"/>
        <v>-74.265949662280946</v>
      </c>
      <c r="W88" s="58">
        <f t="shared" ca="1" si="217"/>
        <v>-86.597377215801316</v>
      </c>
      <c r="X88" s="212">
        <f t="shared" ca="1" si="217"/>
        <v>-90.711475400881682</v>
      </c>
      <c r="Y88" s="58">
        <f t="shared" ca="1" si="217"/>
        <v>-93.03425258030984</v>
      </c>
      <c r="Z88" s="58">
        <f t="shared" ca="1" si="217"/>
        <v>-116.42874945496806</v>
      </c>
      <c r="AA88" s="58">
        <f t="shared" ca="1" si="217"/>
        <v>-129.55387085154507</v>
      </c>
      <c r="AB88" s="212">
        <f t="shared" ca="1" si="217"/>
        <v>-129.70115523024833</v>
      </c>
      <c r="AC88" s="58">
        <f t="shared" ca="1" si="217"/>
        <v>-121.07963465014473</v>
      </c>
      <c r="AD88" s="58">
        <f t="shared" ca="1" si="217"/>
        <v>-157.778143967902</v>
      </c>
      <c r="AE88" s="58">
        <f t="shared" ca="1" si="217"/>
        <v>-172.56551589596347</v>
      </c>
      <c r="AF88" s="212">
        <f t="shared" ca="1" si="217"/>
        <v>-168.37231230734324</v>
      </c>
      <c r="AG88" s="58">
        <f t="shared" ref="AG88" si="218">(AG89-SUM(AG85:AG87))</f>
        <v>-251.59400000000096</v>
      </c>
      <c r="AH88" s="58">
        <f t="shared" ca="1" si="217"/>
        <v>-238.25138940557372</v>
      </c>
      <c r="AI88" s="58">
        <f t="shared" ca="1" si="217"/>
        <v>-232.52453324491216</v>
      </c>
      <c r="AJ88" s="212">
        <f t="shared" ca="1" si="217"/>
        <v>-235.19007734951083</v>
      </c>
      <c r="AK88" s="58">
        <f t="shared" ref="AK88" si="219">(AK89-SUM(AK85:AK87))</f>
        <v>-175.79999999999927</v>
      </c>
      <c r="AL88" s="58">
        <f t="shared" si="217"/>
        <v>-211.06994777672298</v>
      </c>
      <c r="AM88" s="58">
        <f t="shared" si="217"/>
        <v>-233.48414928095735</v>
      </c>
      <c r="AN88" s="212">
        <f t="shared" ref="AN88" si="220">(AN89-SUM(AN85:AN87))</f>
        <v>-233.06977679805277</v>
      </c>
      <c r="AO88" s="58">
        <f ca="1">+Operating_Model!AO107</f>
        <v>-210.65327273175217</v>
      </c>
      <c r="AP88" s="58">
        <f ca="1">+Operating_Model!AP107</f>
        <v>-251.53577725379463</v>
      </c>
      <c r="AQ88" s="58">
        <f ca="1">+Operating_Model!AQ107</f>
        <v>-271.10742874023106</v>
      </c>
      <c r="AR88" s="212">
        <f ca="1">+Operating_Model!AR107</f>
        <v>-271.79094503512493</v>
      </c>
      <c r="AS88" s="58">
        <f ca="1">+Operating_Model!AS107</f>
        <v>-260.48258830263086</v>
      </c>
      <c r="AT88" s="58">
        <f ca="1">+Operating_Model!AT107</f>
        <v>-299.38908027417341</v>
      </c>
      <c r="AU88" s="58">
        <f ca="1">+Operating_Model!AU107</f>
        <v>-325.87178420249359</v>
      </c>
      <c r="AV88" s="212">
        <f ca="1">+Operating_Model!AV107</f>
        <v>-310.55174719390118</v>
      </c>
      <c r="AW88" s="58">
        <f ca="1">+Operating_Model!AW107</f>
        <v>-303.47928237868211</v>
      </c>
      <c r="AX88" s="58">
        <f ca="1">+Operating_Model!AX107</f>
        <v>-342.49246986385771</v>
      </c>
      <c r="AY88" s="58">
        <f ca="1">+Operating_Model!AY107</f>
        <v>-370.48482340565067</v>
      </c>
      <c r="AZ88" s="58">
        <f ca="1">+Operating_Model!AZ107</f>
        <v>-359.19537960419058</v>
      </c>
    </row>
    <row r="89" spans="1:60" s="8" customFormat="1">
      <c r="A89" s="296"/>
      <c r="B89" s="94" t="s">
        <v>130</v>
      </c>
      <c r="C89" s="93" t="s">
        <v>88</v>
      </c>
      <c r="D89" s="93"/>
      <c r="E89" s="92"/>
      <c r="F89" s="91">
        <v>22306.026000000002</v>
      </c>
      <c r="G89" s="91">
        <v>31943.923999999999</v>
      </c>
      <c r="H89" s="91">
        <v>49052.317999999999</v>
      </c>
      <c r="I89" s="91">
        <v>66381.729000000007</v>
      </c>
      <c r="J89" s="91">
        <f>+J82</f>
        <v>70549.364000000001</v>
      </c>
      <c r="K89" s="91">
        <f ca="1">SUM(K85:K88)</f>
        <v>84809.434999999998</v>
      </c>
      <c r="L89" s="91">
        <f ca="1">SUM(L85:L88)</f>
        <v>105290.91053061458</v>
      </c>
      <c r="M89" s="91">
        <f ca="1">SUM(M85:M88)</f>
        <v>128598.91692662711</v>
      </c>
      <c r="N89" s="91">
        <f ca="1">SUM(N85:N88)</f>
        <v>154732.31113123751</v>
      </c>
      <c r="O89" s="85"/>
      <c r="P89" s="58"/>
      <c r="Q89" s="91">
        <f t="shared" ref="Q89:AN89" si="221">+Q82</f>
        <v>4263.7269999999999</v>
      </c>
      <c r="R89" s="91">
        <f t="shared" si="221"/>
        <v>5456.232</v>
      </c>
      <c r="S89" s="91">
        <f t="shared" si="221"/>
        <v>6250.72</v>
      </c>
      <c r="T89" s="213">
        <f t="shared" si="221"/>
        <v>6335.3459999999995</v>
      </c>
      <c r="U89" s="91">
        <f t="shared" si="221"/>
        <v>5968.5380000000005</v>
      </c>
      <c r="V89" s="91">
        <f t="shared" si="221"/>
        <v>7560.8149999999996</v>
      </c>
      <c r="W89" s="91">
        <f t="shared" si="221"/>
        <v>8891.6579999999994</v>
      </c>
      <c r="X89" s="213">
        <f t="shared" si="221"/>
        <v>9522.9129999999986</v>
      </c>
      <c r="Y89" s="91">
        <f t="shared" si="221"/>
        <v>9496.5519999999997</v>
      </c>
      <c r="Z89" s="91">
        <f t="shared" si="221"/>
        <v>11985.782000000001</v>
      </c>
      <c r="AA89" s="91">
        <f t="shared" si="221"/>
        <v>13519.755999999999</v>
      </c>
      <c r="AB89" s="213">
        <f t="shared" si="221"/>
        <v>14050.228999999999</v>
      </c>
      <c r="AC89" s="91">
        <f t="shared" si="221"/>
        <v>12724.616</v>
      </c>
      <c r="AD89" s="91">
        <f t="shared" si="221"/>
        <v>16575.237999999998</v>
      </c>
      <c r="AE89" s="91">
        <f t="shared" si="221"/>
        <v>18383.080999999998</v>
      </c>
      <c r="AF89" s="213">
        <f t="shared" si="221"/>
        <v>18698.794000000002</v>
      </c>
      <c r="AG89" s="91">
        <f t="shared" ref="AG89" si="222">+AG82</f>
        <v>15820.572</v>
      </c>
      <c r="AH89" s="91">
        <f t="shared" si="221"/>
        <v>18263.648000000001</v>
      </c>
      <c r="AI89" s="91">
        <f t="shared" si="221"/>
        <v>18252.759000000002</v>
      </c>
      <c r="AJ89" s="213">
        <f t="shared" si="221"/>
        <v>18212.385000000002</v>
      </c>
      <c r="AK89" s="91">
        <f t="shared" ref="AK89" si="223">+AK82</f>
        <v>16890.785</v>
      </c>
      <c r="AL89" s="91">
        <f t="shared" si="221"/>
        <v>20874</v>
      </c>
      <c r="AM89" s="91">
        <f t="shared" si="221"/>
        <v>23489</v>
      </c>
      <c r="AN89" s="213">
        <f t="shared" si="221"/>
        <v>23556</v>
      </c>
      <c r="AO89" s="91">
        <f t="shared" ref="AO89:AV89" ca="1" si="224">SUM(AO85:AO88)</f>
        <v>21895.130732176371</v>
      </c>
      <c r="AP89" s="91">
        <f t="shared" ca="1" si="224"/>
        <v>26210.917108090678</v>
      </c>
      <c r="AQ89" s="91">
        <f t="shared" ca="1" si="224"/>
        <v>28625.129337368326</v>
      </c>
      <c r="AR89" s="213">
        <f t="shared" ca="1" si="224"/>
        <v>28559.733352979201</v>
      </c>
      <c r="AS89" s="91">
        <f t="shared" ca="1" si="224"/>
        <v>27738.94339302912</v>
      </c>
      <c r="AT89" s="91">
        <f t="shared" ca="1" si="224"/>
        <v>31989.914142847658</v>
      </c>
      <c r="AU89" s="91">
        <f t="shared" ca="1" si="224"/>
        <v>35015.82257724426</v>
      </c>
      <c r="AV89" s="213">
        <f t="shared" ca="1" si="224"/>
        <v>33854.236813506061</v>
      </c>
      <c r="AW89" s="91">
        <f t="shared" ref="AW89:AZ89" ca="1" si="225">SUM(AW85:AW88)</f>
        <v>33682.785314753222</v>
      </c>
      <c r="AX89" s="91">
        <f t="shared" ca="1" si="225"/>
        <v>38198.966460732583</v>
      </c>
      <c r="AY89" s="91">
        <f t="shared" ca="1" si="225"/>
        <v>41554.910243324426</v>
      </c>
      <c r="AZ89" s="91">
        <f t="shared" ca="1" si="225"/>
        <v>41295.649112427272</v>
      </c>
      <c r="BC89"/>
      <c r="BD89"/>
      <c r="BE89"/>
      <c r="BF89"/>
      <c r="BG89"/>
      <c r="BH89"/>
    </row>
    <row r="90" spans="1:60">
      <c r="B90" s="52" t="s">
        <v>128</v>
      </c>
      <c r="E90" s="10"/>
      <c r="F90" s="10"/>
      <c r="G90" s="4">
        <f t="shared" ref="G90:N90" si="226">G89/F89-1</f>
        <v>0.43207597803391762</v>
      </c>
      <c r="H90" s="4">
        <f t="shared" si="226"/>
        <v>0.53557584221650423</v>
      </c>
      <c r="I90" s="4">
        <f t="shared" si="226"/>
        <v>0.3532842423471203</v>
      </c>
      <c r="J90" s="4">
        <f t="shared" si="226"/>
        <v>6.2782863037508241E-2</v>
      </c>
      <c r="K90" s="4">
        <f t="shared" ca="1" si="226"/>
        <v>0.20212898021306036</v>
      </c>
      <c r="L90" s="4">
        <f t="shared" ca="1" si="226"/>
        <v>0.24149996436852317</v>
      </c>
      <c r="M90" s="4">
        <f t="shared" ca="1" si="226"/>
        <v>0.22136769715972249</v>
      </c>
      <c r="N90" s="4">
        <f t="shared" ca="1" si="226"/>
        <v>0.20321628540247327</v>
      </c>
      <c r="O90" s="58"/>
      <c r="P90" s="58"/>
      <c r="Q90" s="71"/>
      <c r="R90" s="71"/>
      <c r="S90" s="71"/>
      <c r="T90" s="241"/>
      <c r="U90" s="4">
        <f t="shared" ref="U90:AV90" si="227">U89/Q89-1</f>
        <v>0.39984056202472651</v>
      </c>
      <c r="V90" s="4">
        <f t="shared" si="227"/>
        <v>0.38572095174838594</v>
      </c>
      <c r="W90" s="4">
        <f t="shared" si="227"/>
        <v>0.42250140783781687</v>
      </c>
      <c r="X90" s="215">
        <f t="shared" si="227"/>
        <v>0.50314015998494788</v>
      </c>
      <c r="Y90" s="4">
        <f t="shared" si="227"/>
        <v>0.59110187452940721</v>
      </c>
      <c r="Z90" s="4">
        <f t="shared" si="227"/>
        <v>0.58525000281054385</v>
      </c>
      <c r="AA90" s="4">
        <f t="shared" si="227"/>
        <v>0.52049887658747118</v>
      </c>
      <c r="AB90" s="215">
        <f t="shared" si="227"/>
        <v>0.47541293299644782</v>
      </c>
      <c r="AC90" s="4">
        <f t="shared" si="227"/>
        <v>0.33991958344460182</v>
      </c>
      <c r="AD90" s="4">
        <f t="shared" si="227"/>
        <v>0.38290834924246053</v>
      </c>
      <c r="AE90" s="4">
        <f t="shared" si="227"/>
        <v>0.35971987955995655</v>
      </c>
      <c r="AF90" s="215">
        <f t="shared" si="227"/>
        <v>0.33085332630521558</v>
      </c>
      <c r="AG90" s="4">
        <f t="shared" si="227"/>
        <v>0.2433044737852994</v>
      </c>
      <c r="AH90" s="4">
        <f t="shared" si="227"/>
        <v>0.10186339405805245</v>
      </c>
      <c r="AI90" s="4">
        <f t="shared" si="227"/>
        <v>-7.0892360208822947E-3</v>
      </c>
      <c r="AJ90" s="215">
        <f t="shared" si="227"/>
        <v>-2.6012854091017834E-2</v>
      </c>
      <c r="AK90" s="4">
        <f t="shared" si="227"/>
        <v>6.7646921994982234E-2</v>
      </c>
      <c r="AL90" s="4">
        <f t="shared" si="227"/>
        <v>0.14292610107246917</v>
      </c>
      <c r="AM90" s="4">
        <f t="shared" si="227"/>
        <v>0.28687394601550364</v>
      </c>
      <c r="AN90" s="215">
        <f t="shared" si="227"/>
        <v>0.29340555890950015</v>
      </c>
      <c r="AO90" s="4">
        <f t="shared" ca="1" si="227"/>
        <v>0.29627668176324384</v>
      </c>
      <c r="AP90" s="4">
        <f t="shared" ca="1" si="227"/>
        <v>0.25567294759464776</v>
      </c>
      <c r="AQ90" s="4">
        <f t="shared" ca="1" si="227"/>
        <v>0.21866104718669699</v>
      </c>
      <c r="AR90" s="215">
        <f t="shared" ca="1" si="227"/>
        <v>0.21241863444469344</v>
      </c>
      <c r="AS90" s="4">
        <f t="shared" ca="1" si="227"/>
        <v>0.26690010360453664</v>
      </c>
      <c r="AT90" s="4">
        <f t="shared" ca="1" si="227"/>
        <v>0.22048053530233558</v>
      </c>
      <c r="AU90" s="4">
        <f t="shared" ca="1" si="227"/>
        <v>0.22325465029544111</v>
      </c>
      <c r="AV90" s="215">
        <f t="shared" ca="1" si="227"/>
        <v>0.18538350463886832</v>
      </c>
      <c r="AW90" s="4">
        <f t="shared" ref="AW90" ca="1" si="228">AW89/AS89-1</f>
        <v>0.21427787776580587</v>
      </c>
      <c r="AX90" s="4">
        <f t="shared" ref="AX90" ca="1" si="229">AX89/AT89-1</f>
        <v>0.1940940600890344</v>
      </c>
      <c r="AY90" s="4">
        <f t="shared" ref="AY90" ca="1" si="230">AY89/AU89-1</f>
        <v>0.1867466529353996</v>
      </c>
      <c r="AZ90" s="4">
        <f t="shared" ref="AZ90" ca="1" si="231">AZ89/AV89-1</f>
        <v>0.21980741553602168</v>
      </c>
    </row>
    <row r="91" spans="1:60">
      <c r="B91" s="3"/>
      <c r="E91" s="10"/>
      <c r="F91" s="10"/>
      <c r="G91" s="38"/>
      <c r="H91" s="38"/>
      <c r="I91" s="38"/>
      <c r="J91" s="38"/>
      <c r="K91" s="38"/>
      <c r="L91" s="38"/>
      <c r="M91" s="38"/>
      <c r="N91" s="38"/>
      <c r="Q91" s="10"/>
      <c r="R91" s="10"/>
      <c r="S91" s="10"/>
      <c r="T91" s="255"/>
      <c r="U91" s="38"/>
      <c r="V91" s="38"/>
      <c r="W91" s="38"/>
      <c r="X91" s="218"/>
      <c r="Y91" s="38"/>
      <c r="Z91" s="38"/>
      <c r="AA91" s="38"/>
      <c r="AB91" s="218"/>
      <c r="AC91" s="38"/>
      <c r="AD91" s="38"/>
      <c r="AE91" s="38"/>
      <c r="AF91" s="218"/>
      <c r="AG91" s="38"/>
      <c r="AH91" s="38"/>
      <c r="AI91" s="38"/>
      <c r="AJ91" s="218"/>
      <c r="AK91" s="38"/>
      <c r="AL91" s="38"/>
      <c r="AM91" s="38"/>
      <c r="AN91" s="218"/>
      <c r="AO91" s="38"/>
      <c r="AP91" s="38"/>
      <c r="AQ91" s="38"/>
      <c r="AR91" s="218"/>
      <c r="AS91" s="38"/>
      <c r="AT91" s="38"/>
      <c r="AU91" s="38"/>
      <c r="AV91" s="218"/>
      <c r="AW91" s="38"/>
      <c r="AX91" s="38"/>
      <c r="AY91" s="38"/>
      <c r="AZ91" s="38"/>
    </row>
    <row r="92" spans="1:60">
      <c r="B92" s="3" t="s">
        <v>395</v>
      </c>
      <c r="E92" s="10"/>
      <c r="F92" s="58">
        <f>F99</f>
        <v>1249.1374560000002</v>
      </c>
      <c r="G92" s="58">
        <f t="shared" ref="G92:K92" si="232">G99</f>
        <v>1788.8597440000001</v>
      </c>
      <c r="H92" s="58">
        <f t="shared" si="232"/>
        <v>2746.9298079999999</v>
      </c>
      <c r="I92" s="58">
        <f t="shared" si="232"/>
        <v>3717.3768240000004</v>
      </c>
      <c r="J92" s="58">
        <f t="shared" si="232"/>
        <v>3950.7643840000001</v>
      </c>
      <c r="K92" s="58">
        <f t="shared" ca="1" si="232"/>
        <v>4749.3479600000001</v>
      </c>
      <c r="L92" s="58">
        <f ca="1">SUM(OFFSET($P92,0,L$1,1,4))</f>
        <v>5896.799259702655</v>
      </c>
      <c r="M92" s="58">
        <f ca="1">SUM(OFFSET($P92,0,M$1,1,4))</f>
        <v>7202.147828211363</v>
      </c>
      <c r="N92" s="58">
        <f ca="1">SUM(OFFSET($P92,0,N$1,1,4))</f>
        <v>8665.7267650388276</v>
      </c>
      <c r="Q92" s="58">
        <f t="shared" ref="Q92:AN92" si="233">Q99</f>
        <v>238.76871199999999</v>
      </c>
      <c r="R92" s="58">
        <f t="shared" si="233"/>
        <v>305.548992</v>
      </c>
      <c r="S92" s="58">
        <f t="shared" si="233"/>
        <v>350.04032000000001</v>
      </c>
      <c r="T92" s="212">
        <f t="shared" si="233"/>
        <v>354.77937599999996</v>
      </c>
      <c r="U92" s="58">
        <f t="shared" si="233"/>
        <v>334.23812800000002</v>
      </c>
      <c r="V92" s="58">
        <f t="shared" si="233"/>
        <v>423.40564000000001</v>
      </c>
      <c r="W92" s="58">
        <f t="shared" si="233"/>
        <v>497.93284799999998</v>
      </c>
      <c r="X92" s="212">
        <f t="shared" si="233"/>
        <v>533.28312799999992</v>
      </c>
      <c r="Y92" s="58">
        <f t="shared" si="233"/>
        <v>531.80691200000001</v>
      </c>
      <c r="Z92" s="58">
        <f t="shared" si="233"/>
        <v>671.20379200000002</v>
      </c>
      <c r="AA92" s="58">
        <f t="shared" si="233"/>
        <v>757.10633599999994</v>
      </c>
      <c r="AB92" s="212">
        <f t="shared" si="233"/>
        <v>786.81282399999998</v>
      </c>
      <c r="AC92" s="58">
        <f t="shared" si="233"/>
        <v>712.57849599999997</v>
      </c>
      <c r="AD92" s="58">
        <f t="shared" si="233"/>
        <v>928.21332799999993</v>
      </c>
      <c r="AE92" s="58">
        <f t="shared" si="233"/>
        <v>1029.452536</v>
      </c>
      <c r="AF92" s="212">
        <f t="shared" si="233"/>
        <v>1047.132464</v>
      </c>
      <c r="AG92" s="58">
        <f t="shared" si="233"/>
        <v>885.95203200000003</v>
      </c>
      <c r="AH92" s="58">
        <f t="shared" si="233"/>
        <v>1022.7642880000001</v>
      </c>
      <c r="AI92" s="58">
        <f t="shared" si="233"/>
        <v>1022.1545040000001</v>
      </c>
      <c r="AJ92" s="212">
        <f t="shared" si="233"/>
        <v>1019.8935600000001</v>
      </c>
      <c r="AK92" s="58">
        <f t="shared" si="233"/>
        <v>945.88396</v>
      </c>
      <c r="AL92" s="58">
        <f t="shared" si="233"/>
        <v>1168.944</v>
      </c>
      <c r="AM92" s="58">
        <f t="shared" si="233"/>
        <v>1315.384</v>
      </c>
      <c r="AN92" s="212">
        <f t="shared" si="233"/>
        <v>1319.136</v>
      </c>
      <c r="AO92" s="58">
        <f ca="1">Operating_Model!AO267</f>
        <v>1226.2336703100652</v>
      </c>
      <c r="AP92" s="58">
        <f ca="1">Operating_Model!AP267</f>
        <v>1467.9383470884191</v>
      </c>
      <c r="AQ92" s="58">
        <f ca="1">Operating_Model!AQ267</f>
        <v>1603.1444514952916</v>
      </c>
      <c r="AR92" s="212">
        <f ca="1">Operating_Model!AR267</f>
        <v>1599.4827908088791</v>
      </c>
      <c r="AS92" s="58">
        <f ca="1">Operating_Model!AS267</f>
        <v>1553.5130146336433</v>
      </c>
      <c r="AT92" s="58">
        <f ca="1">Operating_Model!AT267</f>
        <v>1791.5872450007835</v>
      </c>
      <c r="AU92" s="58">
        <f ca="1">Operating_Model!AU267</f>
        <v>1961.0517134957204</v>
      </c>
      <c r="AV92" s="212">
        <f ca="1">Operating_Model!AV267</f>
        <v>1895.995855081216</v>
      </c>
      <c r="AW92" s="58">
        <f ca="1">Operating_Model!AW267</f>
        <v>1886.3926161745646</v>
      </c>
      <c r="AX92" s="58">
        <f ca="1">Operating_Model!AX267</f>
        <v>2139.3195982052994</v>
      </c>
      <c r="AY92" s="58">
        <f ca="1">Operating_Model!AY267</f>
        <v>2327.2677239658187</v>
      </c>
      <c r="AZ92" s="58">
        <f ca="1">Operating_Model!AZ267</f>
        <v>2312.7468266931451</v>
      </c>
    </row>
    <row r="93" spans="1:60">
      <c r="B93" s="3"/>
      <c r="E93" s="10"/>
      <c r="F93" s="10"/>
      <c r="G93" s="38"/>
      <c r="H93" s="38"/>
      <c r="I93" s="38"/>
      <c r="J93" s="38"/>
      <c r="K93" s="38"/>
      <c r="L93" s="38"/>
      <c r="M93" s="38"/>
      <c r="N93" s="38"/>
      <c r="Q93" s="10"/>
      <c r="R93" s="10"/>
      <c r="S93" s="10"/>
      <c r="T93" s="255"/>
      <c r="U93" s="38"/>
      <c r="V93" s="38"/>
      <c r="W93" s="38"/>
      <c r="X93" s="218"/>
      <c r="Y93" s="38"/>
      <c r="Z93" s="38"/>
      <c r="AA93" s="38"/>
      <c r="AB93" s="218"/>
      <c r="AC93" s="38"/>
      <c r="AD93" s="38"/>
      <c r="AE93" s="38"/>
      <c r="AF93" s="218"/>
      <c r="AG93" s="38"/>
      <c r="AH93" s="38"/>
      <c r="AI93" s="38"/>
      <c r="AJ93" s="218"/>
      <c r="AK93" s="38"/>
      <c r="AL93" s="38"/>
      <c r="AM93" s="38"/>
      <c r="AN93" s="218"/>
      <c r="AO93" s="38"/>
      <c r="AP93" s="38"/>
      <c r="AQ93" s="38"/>
      <c r="AR93" s="218"/>
      <c r="AS93" s="38"/>
      <c r="AT93" s="38"/>
      <c r="AU93" s="38"/>
      <c r="AV93" s="218"/>
      <c r="AW93" s="38"/>
      <c r="AX93" s="38"/>
      <c r="AY93" s="38"/>
      <c r="AZ93" s="38"/>
    </row>
    <row r="94" spans="1:60" s="8" customFormat="1">
      <c r="A94" s="296" t="s">
        <v>702</v>
      </c>
      <c r="B94" s="8" t="s">
        <v>129</v>
      </c>
      <c r="E94" s="81"/>
      <c r="F94" s="281">
        <f>F89-F92</f>
        <v>21056.888544000001</v>
      </c>
      <c r="G94" s="281">
        <f t="shared" ref="G94:M94" si="234">G89-G92</f>
        <v>30155.064255999998</v>
      </c>
      <c r="H94" s="281">
        <f t="shared" si="234"/>
        <v>46305.388191999999</v>
      </c>
      <c r="I94" s="281">
        <f t="shared" si="234"/>
        <v>62664.352176000008</v>
      </c>
      <c r="J94" s="281">
        <f t="shared" si="234"/>
        <v>66598.599616000007</v>
      </c>
      <c r="K94" s="281">
        <f t="shared" ca="1" si="234"/>
        <v>80060.087039999999</v>
      </c>
      <c r="L94" s="82">
        <f t="shared" ca="1" si="234"/>
        <v>99394.111270911919</v>
      </c>
      <c r="M94" s="82">
        <f t="shared" ca="1" si="234"/>
        <v>121396.76909841574</v>
      </c>
      <c r="N94" s="82">
        <f t="shared" ref="N94" ca="1" si="235">N89-N92</f>
        <v>146066.58436619869</v>
      </c>
      <c r="O94" s="85">
        <f t="shared" ref="O94" ca="1" si="236">(N94/K94)^(1/3)-1</f>
        <v>0.22192609243755257</v>
      </c>
      <c r="P94" s="82"/>
      <c r="Q94" s="82">
        <f>Q89-Q92</f>
        <v>4024.9582879999998</v>
      </c>
      <c r="R94" s="82">
        <f t="shared" ref="R94:AV94" si="237">R89-R92</f>
        <v>5150.683008</v>
      </c>
      <c r="S94" s="82">
        <f t="shared" si="237"/>
        <v>5900.6796800000002</v>
      </c>
      <c r="T94" s="219">
        <f t="shared" si="237"/>
        <v>5980.5666239999991</v>
      </c>
      <c r="U94" s="82">
        <f t="shared" si="237"/>
        <v>5634.2998720000005</v>
      </c>
      <c r="V94" s="82">
        <f t="shared" si="237"/>
        <v>7137.4093599999997</v>
      </c>
      <c r="W94" s="82">
        <f t="shared" si="237"/>
        <v>8393.7251519999991</v>
      </c>
      <c r="X94" s="219">
        <f t="shared" si="237"/>
        <v>8989.6298719999995</v>
      </c>
      <c r="Y94" s="82">
        <f t="shared" si="237"/>
        <v>8964.7450879999997</v>
      </c>
      <c r="Z94" s="82">
        <f t="shared" si="237"/>
        <v>11314.578208000001</v>
      </c>
      <c r="AA94" s="82">
        <f t="shared" si="237"/>
        <v>12762.649663999999</v>
      </c>
      <c r="AB94" s="219">
        <f t="shared" si="237"/>
        <v>13263.416175999999</v>
      </c>
      <c r="AC94" s="82">
        <f t="shared" si="237"/>
        <v>12012.037504</v>
      </c>
      <c r="AD94" s="82">
        <f t="shared" si="237"/>
        <v>15647.024671999998</v>
      </c>
      <c r="AE94" s="82">
        <f t="shared" si="237"/>
        <v>17353.628463999998</v>
      </c>
      <c r="AF94" s="219">
        <f t="shared" si="237"/>
        <v>17651.661536000003</v>
      </c>
      <c r="AG94" s="82">
        <f t="shared" si="237"/>
        <v>14934.619968000001</v>
      </c>
      <c r="AH94" s="82">
        <f t="shared" si="237"/>
        <v>17240.883712000003</v>
      </c>
      <c r="AI94" s="82">
        <f t="shared" si="237"/>
        <v>17230.604496</v>
      </c>
      <c r="AJ94" s="219">
        <f t="shared" si="237"/>
        <v>17192.491440000002</v>
      </c>
      <c r="AK94" s="82">
        <f t="shared" si="237"/>
        <v>15944.901040000001</v>
      </c>
      <c r="AL94" s="82">
        <f t="shared" si="237"/>
        <v>19705.056</v>
      </c>
      <c r="AM94" s="82">
        <f t="shared" si="237"/>
        <v>22173.616000000002</v>
      </c>
      <c r="AN94" s="219">
        <f t="shared" si="237"/>
        <v>22236.864000000001</v>
      </c>
      <c r="AO94" s="82">
        <f t="shared" ca="1" si="237"/>
        <v>20668.897061866304</v>
      </c>
      <c r="AP94" s="82">
        <f t="shared" ca="1" si="237"/>
        <v>24742.978761002258</v>
      </c>
      <c r="AQ94" s="82">
        <f t="shared" ca="1" si="237"/>
        <v>27021.984885873033</v>
      </c>
      <c r="AR94" s="219">
        <f t="shared" ca="1" si="237"/>
        <v>26960.250562170324</v>
      </c>
      <c r="AS94" s="82">
        <f t="shared" ca="1" si="237"/>
        <v>26185.430378395475</v>
      </c>
      <c r="AT94" s="82">
        <f t="shared" ca="1" si="237"/>
        <v>30198.326897846873</v>
      </c>
      <c r="AU94" s="82">
        <f t="shared" ca="1" si="237"/>
        <v>33054.770863748541</v>
      </c>
      <c r="AV94" s="219">
        <f t="shared" ca="1" si="237"/>
        <v>31958.240958424845</v>
      </c>
      <c r="AW94" s="82">
        <f t="shared" ref="AW94:AZ94" ca="1" si="238">AW89-AW92</f>
        <v>31796.392698578657</v>
      </c>
      <c r="AX94" s="82">
        <f t="shared" ca="1" si="238"/>
        <v>36059.646862527283</v>
      </c>
      <c r="AY94" s="82">
        <f t="shared" ca="1" si="238"/>
        <v>39227.642519358604</v>
      </c>
      <c r="AZ94" s="82">
        <f t="shared" ca="1" si="238"/>
        <v>38982.902285734126</v>
      </c>
      <c r="BC94"/>
      <c r="BD94"/>
      <c r="BE94"/>
      <c r="BF94"/>
      <c r="BG94"/>
      <c r="BH94"/>
    </row>
    <row r="95" spans="1:60">
      <c r="B95" s="3" t="s">
        <v>128</v>
      </c>
      <c r="E95" s="10"/>
      <c r="F95" s="10"/>
      <c r="G95" s="4">
        <f t="shared" ref="G95:N95" si="239">G94/F94-1</f>
        <v>0.43207597803391762</v>
      </c>
      <c r="H95" s="4">
        <f t="shared" si="239"/>
        <v>0.53557584221650423</v>
      </c>
      <c r="I95" s="4">
        <f t="shared" si="239"/>
        <v>0.3532842423471203</v>
      </c>
      <c r="J95" s="4">
        <f t="shared" si="239"/>
        <v>6.2782863037508463E-2</v>
      </c>
      <c r="K95" s="4">
        <f t="shared" ca="1" si="239"/>
        <v>0.20212868591257793</v>
      </c>
      <c r="L95" s="4">
        <f t="shared" ca="1" si="239"/>
        <v>0.24149391970123846</v>
      </c>
      <c r="M95" s="4">
        <f t="shared" ca="1" si="239"/>
        <v>0.22136782095201424</v>
      </c>
      <c r="N95" s="4">
        <f t="shared" ca="1" si="239"/>
        <v>0.20321640724872392</v>
      </c>
      <c r="Q95" s="10"/>
      <c r="R95" s="10"/>
      <c r="S95" s="10"/>
      <c r="T95" s="255"/>
      <c r="U95" s="4">
        <f t="shared" ref="U95:AV95" si="240">U94/Q94-1</f>
        <v>0.39984056202472651</v>
      </c>
      <c r="V95" s="4">
        <f t="shared" si="240"/>
        <v>0.38572095174838594</v>
      </c>
      <c r="W95" s="4">
        <f t="shared" si="240"/>
        <v>0.42250140783781687</v>
      </c>
      <c r="X95" s="215">
        <f t="shared" si="240"/>
        <v>0.5031401599849481</v>
      </c>
      <c r="Y95" s="4">
        <f t="shared" si="240"/>
        <v>0.59110187452940721</v>
      </c>
      <c r="Z95" s="4">
        <f t="shared" si="240"/>
        <v>0.58525000281054385</v>
      </c>
      <c r="AA95" s="4">
        <f t="shared" si="240"/>
        <v>0.52049887658747118</v>
      </c>
      <c r="AB95" s="215">
        <f t="shared" si="240"/>
        <v>0.4754129329964476</v>
      </c>
      <c r="AC95" s="4">
        <f t="shared" si="240"/>
        <v>0.33991958344460182</v>
      </c>
      <c r="AD95" s="4">
        <f t="shared" si="240"/>
        <v>0.38290834924246053</v>
      </c>
      <c r="AE95" s="4">
        <f t="shared" si="240"/>
        <v>0.35971987955995655</v>
      </c>
      <c r="AF95" s="215">
        <f t="shared" si="240"/>
        <v>0.3308533263052158</v>
      </c>
      <c r="AG95" s="4">
        <f t="shared" si="240"/>
        <v>0.2433044737852994</v>
      </c>
      <c r="AH95" s="4">
        <f t="shared" si="240"/>
        <v>0.10186339405805245</v>
      </c>
      <c r="AI95" s="4">
        <f t="shared" si="240"/>
        <v>-7.0892360208822947E-3</v>
      </c>
      <c r="AJ95" s="215">
        <f t="shared" si="240"/>
        <v>-2.6012854091017945E-2</v>
      </c>
      <c r="AK95" s="4">
        <f t="shared" si="240"/>
        <v>6.7646921994982234E-2</v>
      </c>
      <c r="AL95" s="4">
        <f t="shared" si="240"/>
        <v>0.14292610107246917</v>
      </c>
      <c r="AM95" s="4">
        <f t="shared" si="240"/>
        <v>0.28687394601550387</v>
      </c>
      <c r="AN95" s="215">
        <f t="shared" si="240"/>
        <v>0.29340555890950037</v>
      </c>
      <c r="AO95" s="4">
        <f t="shared" ca="1" si="240"/>
        <v>0.29627001196279013</v>
      </c>
      <c r="AP95" s="4">
        <f t="shared" ca="1" si="240"/>
        <v>0.25566650310469852</v>
      </c>
      <c r="AQ95" s="4">
        <f t="shared" ca="1" si="240"/>
        <v>0.21865485926485917</v>
      </c>
      <c r="AR95" s="215">
        <f t="shared" ca="1" si="240"/>
        <v>0.21241244098854595</v>
      </c>
      <c r="AS95" s="4">
        <f t="shared" ca="1" si="240"/>
        <v>0.26690022694568749</v>
      </c>
      <c r="AT95" s="4">
        <f t="shared" ca="1" si="240"/>
        <v>0.22048065390747795</v>
      </c>
      <c r="AU95" s="4">
        <f t="shared" ca="1" si="240"/>
        <v>0.2232547314105493</v>
      </c>
      <c r="AV95" s="215">
        <f t="shared" ca="1" si="240"/>
        <v>0.18538367752662976</v>
      </c>
      <c r="AW95" s="4">
        <f t="shared" ref="AW95" ca="1" si="241">AW94/AS94-1</f>
        <v>0.21427802556999631</v>
      </c>
      <c r="AX95" s="4">
        <f t="shared" ref="AX95" ca="1" si="242">AX94/AT94-1</f>
        <v>0.19409419549989426</v>
      </c>
      <c r="AY95" s="4">
        <f t="shared" ref="AY95" ca="1" si="243">AY94/AU94-1</f>
        <v>0.18674676890227371</v>
      </c>
      <c r="AZ95" s="4">
        <f t="shared" ref="AZ95" ca="1" si="244">AZ94/AV94-1</f>
        <v>0.2198075086938549</v>
      </c>
    </row>
    <row r="96" spans="1:60">
      <c r="G96" s="10"/>
      <c r="J96" s="40"/>
      <c r="K96" s="40"/>
      <c r="L96" s="40"/>
      <c r="M96" s="40"/>
      <c r="N96" s="40"/>
      <c r="X96" s="255"/>
      <c r="AM96" s="70"/>
      <c r="AN96" s="236"/>
      <c r="AO96" s="70"/>
      <c r="AP96" s="4"/>
      <c r="AQ96" s="4"/>
      <c r="AR96" s="215"/>
    </row>
    <row r="97" spans="1:60">
      <c r="B97" s="8" t="s">
        <v>127</v>
      </c>
      <c r="J97" s="40"/>
      <c r="K97" s="40"/>
      <c r="L97" s="40"/>
      <c r="M97" s="40"/>
      <c r="N97" s="40"/>
      <c r="AF97" s="255"/>
      <c r="AM97" s="70"/>
      <c r="AN97" s="237"/>
      <c r="AO97" s="70"/>
      <c r="AP97" s="70"/>
    </row>
    <row r="98" spans="1:60">
      <c r="B98" s="3" t="s">
        <v>38</v>
      </c>
      <c r="C98" s="1" t="s">
        <v>88</v>
      </c>
      <c r="F98" s="67">
        <v>1572.42</v>
      </c>
      <c r="G98" s="67">
        <v>2329.558</v>
      </c>
      <c r="H98" s="67">
        <v>3597.7629999999999</v>
      </c>
      <c r="I98" s="67">
        <v>4644.357</v>
      </c>
      <c r="J98" s="67">
        <v>4718.4679999999998</v>
      </c>
      <c r="K98" s="67">
        <v>6181</v>
      </c>
      <c r="L98" s="58">
        <f t="shared" ref="L98:N108" ca="1" si="245">SUM(OFFSET($P98,0,L$1,1,4))</f>
        <v>1762.8432619139794</v>
      </c>
      <c r="M98" s="58">
        <f t="shared" ca="1" si="245"/>
        <v>2154.2749863549557</v>
      </c>
      <c r="N98" s="58">
        <f t="shared" ca="1" si="245"/>
        <v>2593.4955428565099</v>
      </c>
      <c r="O98" s="85"/>
      <c r="P98" s="58"/>
      <c r="Q98" s="67">
        <v>310.02100000000002</v>
      </c>
      <c r="R98" s="67">
        <v>392.54399999999998</v>
      </c>
      <c r="S98" s="67">
        <v>427.14600000000002</v>
      </c>
      <c r="T98" s="217">
        <v>442.709</v>
      </c>
      <c r="U98" s="67">
        <v>432.76799999999997</v>
      </c>
      <c r="V98" s="67">
        <v>544.95799999999997</v>
      </c>
      <c r="W98" s="67">
        <v>649.49599999999998</v>
      </c>
      <c r="X98" s="217">
        <v>702.33600000000001</v>
      </c>
      <c r="Y98" s="67">
        <v>699.37</v>
      </c>
      <c r="Z98" s="67">
        <v>872.08600000000001</v>
      </c>
      <c r="AA98" s="67">
        <v>997.04</v>
      </c>
      <c r="AB98" s="217">
        <v>1029.2670000000001</v>
      </c>
      <c r="AC98" s="67">
        <v>948.20899999999995</v>
      </c>
      <c r="AD98" s="67">
        <v>1175.617</v>
      </c>
      <c r="AE98" s="67">
        <v>1260.606</v>
      </c>
      <c r="AF98" s="217">
        <v>1259.925</v>
      </c>
      <c r="AG98" s="67">
        <v>1047.5640000000001</v>
      </c>
      <c r="AH98" s="67">
        <v>1211.5619999999999</v>
      </c>
      <c r="AI98" s="67">
        <v>1220.377</v>
      </c>
      <c r="AJ98" s="217">
        <v>1238.9649999999999</v>
      </c>
      <c r="AK98" s="67">
        <v>1258.508</v>
      </c>
      <c r="AL98" s="67">
        <v>1509</v>
      </c>
      <c r="AM98" s="67">
        <v>1700</v>
      </c>
      <c r="AN98" s="217">
        <v>1713</v>
      </c>
      <c r="AO98" s="58">
        <f ca="1">SUM(AO99:AO100)</f>
        <v>366.5177111664936</v>
      </c>
      <c r="AP98" s="58">
        <f t="shared" ref="AP98:AV98" ca="1" si="246">SUM(AP99:AP100)</f>
        <v>438.79401047239014</v>
      </c>
      <c r="AQ98" s="58">
        <f t="shared" ca="1" si="246"/>
        <v>479.35353653565375</v>
      </c>
      <c r="AR98" s="212">
        <f t="shared" ca="1" si="246"/>
        <v>478.17800373944198</v>
      </c>
      <c r="AS98" s="58">
        <f t="shared" ca="1" si="246"/>
        <v>464.58895503241882</v>
      </c>
      <c r="AT98" s="58">
        <f t="shared" ca="1" si="246"/>
        <v>535.82460553612964</v>
      </c>
      <c r="AU98" s="58">
        <f t="shared" ca="1" si="246"/>
        <v>586.58435209637923</v>
      </c>
      <c r="AV98" s="212">
        <f t="shared" ca="1" si="246"/>
        <v>567.27707369002792</v>
      </c>
      <c r="AW98" s="58">
        <f t="shared" ref="AW98:AZ98" ca="1" si="247">SUM(AW99:AW100)</f>
        <v>564.51603359638602</v>
      </c>
      <c r="AX98" s="58">
        <f t="shared" ca="1" si="247"/>
        <v>640.22218142971292</v>
      </c>
      <c r="AY98" s="58">
        <f t="shared" ca="1" si="247"/>
        <v>696.49936014322668</v>
      </c>
      <c r="AZ98" s="58">
        <f t="shared" ca="1" si="247"/>
        <v>692.25796768718396</v>
      </c>
    </row>
    <row r="99" spans="1:60">
      <c r="B99" s="52" t="s">
        <v>395</v>
      </c>
      <c r="C99" s="1" t="s">
        <v>88</v>
      </c>
      <c r="F99" s="58">
        <f>Operating_Model!F267</f>
        <v>1249.1374560000002</v>
      </c>
      <c r="G99" s="58">
        <f>Operating_Model!G267</f>
        <v>1788.8597440000001</v>
      </c>
      <c r="H99" s="58">
        <f>Operating_Model!H267</f>
        <v>2746.9298079999999</v>
      </c>
      <c r="I99" s="58">
        <f>Operating_Model!I267</f>
        <v>3717.3768240000004</v>
      </c>
      <c r="J99" s="58">
        <f>Operating_Model!J267</f>
        <v>3950.7643840000001</v>
      </c>
      <c r="K99" s="58">
        <f ca="1">Operating_Model!K267</f>
        <v>4749.3479600000001</v>
      </c>
      <c r="L99" s="199">
        <f t="shared" ca="1" si="245"/>
        <v>0</v>
      </c>
      <c r="M99" s="58">
        <f t="shared" ca="1" si="245"/>
        <v>0</v>
      </c>
      <c r="N99" s="58">
        <f t="shared" ca="1" si="245"/>
        <v>0</v>
      </c>
      <c r="O99" s="85"/>
      <c r="P99" s="58"/>
      <c r="Q99" s="58">
        <f>Operating_Model!Q267</f>
        <v>238.76871199999999</v>
      </c>
      <c r="R99" s="58">
        <f>Operating_Model!R267</f>
        <v>305.548992</v>
      </c>
      <c r="S99" s="58">
        <f>Operating_Model!S267</f>
        <v>350.04032000000001</v>
      </c>
      <c r="T99" s="212">
        <f>Operating_Model!T267</f>
        <v>354.77937599999996</v>
      </c>
      <c r="U99" s="58">
        <f>Operating_Model!U267</f>
        <v>334.23812800000002</v>
      </c>
      <c r="V99" s="58">
        <f>Operating_Model!V267</f>
        <v>423.40564000000001</v>
      </c>
      <c r="W99" s="58">
        <f>Operating_Model!W267</f>
        <v>497.93284799999998</v>
      </c>
      <c r="X99" s="212">
        <f>Operating_Model!X267</f>
        <v>533.28312799999992</v>
      </c>
      <c r="Y99" s="58">
        <f>Operating_Model!Y267</f>
        <v>531.80691200000001</v>
      </c>
      <c r="Z99" s="58">
        <f>Operating_Model!Z267</f>
        <v>671.20379200000002</v>
      </c>
      <c r="AA99" s="58">
        <f>Operating_Model!AA267</f>
        <v>757.10633599999994</v>
      </c>
      <c r="AB99" s="212">
        <f>Operating_Model!AB267</f>
        <v>786.81282399999998</v>
      </c>
      <c r="AC99" s="58">
        <f>Operating_Model!AC267</f>
        <v>712.57849599999997</v>
      </c>
      <c r="AD99" s="58">
        <f>Operating_Model!AD267</f>
        <v>928.21332799999993</v>
      </c>
      <c r="AE99" s="58">
        <f>Operating_Model!AE267</f>
        <v>1029.452536</v>
      </c>
      <c r="AF99" s="212">
        <f>Operating_Model!AF267</f>
        <v>1047.132464</v>
      </c>
      <c r="AG99" s="58">
        <f>Operating_Model!AG267</f>
        <v>885.95203200000003</v>
      </c>
      <c r="AH99" s="58">
        <f>Operating_Model!AH267</f>
        <v>1022.7642880000001</v>
      </c>
      <c r="AI99" s="58">
        <f>Operating_Model!AI267</f>
        <v>1022.1545040000001</v>
      </c>
      <c r="AJ99" s="212">
        <f>Operating_Model!AJ267</f>
        <v>1019.8935600000001</v>
      </c>
      <c r="AK99" s="58">
        <f>Operating_Model!AK267</f>
        <v>945.88396</v>
      </c>
      <c r="AL99" s="58">
        <f>Operating_Model!AL267</f>
        <v>1168.944</v>
      </c>
      <c r="AM99" s="58">
        <f>Operating_Model!AM267</f>
        <v>1315.384</v>
      </c>
      <c r="AN99" s="212">
        <f>Operating_Model!AN267</f>
        <v>1319.136</v>
      </c>
      <c r="AO99" s="58"/>
      <c r="AP99" s="58"/>
      <c r="AQ99" s="58"/>
      <c r="AR99" s="212"/>
      <c r="AS99" s="58"/>
      <c r="AT99" s="58"/>
      <c r="AU99" s="58"/>
      <c r="AV99" s="212"/>
      <c r="AW99" s="58"/>
      <c r="AX99" s="58"/>
      <c r="AY99" s="58"/>
      <c r="AZ99" s="58"/>
    </row>
    <row r="100" spans="1:60">
      <c r="B100" s="52" t="s">
        <v>396</v>
      </c>
      <c r="C100" s="1" t="s">
        <v>88</v>
      </c>
      <c r="F100" s="58">
        <f>Operating_Model!F269</f>
        <v>323.28254399999992</v>
      </c>
      <c r="G100" s="58">
        <f>Operating_Model!G269</f>
        <v>540.6982559999999</v>
      </c>
      <c r="H100" s="58">
        <f>Operating_Model!H269</f>
        <v>850.83319200000005</v>
      </c>
      <c r="I100" s="58">
        <f>Operating_Model!I269</f>
        <v>926.98017599999957</v>
      </c>
      <c r="J100" s="58">
        <f>Operating_Model!J269</f>
        <v>767.70361599999978</v>
      </c>
      <c r="K100" s="58">
        <f ca="1">Operating_Model!K269</f>
        <v>1431.6520399999999</v>
      </c>
      <c r="L100" s="58">
        <f t="shared" ca="1" si="245"/>
        <v>1762.8432619139794</v>
      </c>
      <c r="M100" s="58">
        <f t="shared" ca="1" si="245"/>
        <v>2154.2749863549557</v>
      </c>
      <c r="N100" s="58">
        <f t="shared" ca="1" si="245"/>
        <v>2593.4955428565099</v>
      </c>
      <c r="O100" s="85"/>
      <c r="P100" s="58"/>
      <c r="Q100" s="58">
        <f>Operating_Model!Q269</f>
        <v>71.252288000000021</v>
      </c>
      <c r="R100" s="58">
        <f>Operating_Model!R269</f>
        <v>86.995007999999984</v>
      </c>
      <c r="S100" s="58">
        <f>Operating_Model!S269</f>
        <v>77.105680000000007</v>
      </c>
      <c r="T100" s="212">
        <f>Operating_Model!T269</f>
        <v>87.929624000000047</v>
      </c>
      <c r="U100" s="58">
        <f>Operating_Model!U269</f>
        <v>98.529871999999955</v>
      </c>
      <c r="V100" s="58">
        <f>Operating_Model!V269</f>
        <v>121.55235999999996</v>
      </c>
      <c r="W100" s="58">
        <f>Operating_Model!W269</f>
        <v>151.563152</v>
      </c>
      <c r="X100" s="212">
        <f>Operating_Model!X269</f>
        <v>169.05287200000009</v>
      </c>
      <c r="Y100" s="58">
        <f>Operating_Model!Y269</f>
        <v>167.56308799999999</v>
      </c>
      <c r="Z100" s="58">
        <f>Operating_Model!Z269</f>
        <v>200.88220799999999</v>
      </c>
      <c r="AA100" s="58">
        <f>Operating_Model!AA269</f>
        <v>239.93366400000002</v>
      </c>
      <c r="AB100" s="212">
        <f>Operating_Model!AB269</f>
        <v>242.45417600000007</v>
      </c>
      <c r="AC100" s="58">
        <f>Operating_Model!AC269</f>
        <v>235.63050399999997</v>
      </c>
      <c r="AD100" s="58">
        <f>Operating_Model!AD269</f>
        <v>247.40367200000003</v>
      </c>
      <c r="AE100" s="58">
        <f>Operating_Model!AE269</f>
        <v>231.15346399999999</v>
      </c>
      <c r="AF100" s="212">
        <f>Operating_Model!AF269</f>
        <v>212.79253599999993</v>
      </c>
      <c r="AG100" s="58">
        <f>Operating_Model!AG269</f>
        <v>161.61196800000005</v>
      </c>
      <c r="AH100" s="58">
        <f>Operating_Model!AH269</f>
        <v>188.79771199999982</v>
      </c>
      <c r="AI100" s="58">
        <f>Operating_Model!AI269</f>
        <v>198.22249599999986</v>
      </c>
      <c r="AJ100" s="212">
        <f>Operating_Model!AJ269</f>
        <v>219.07143999999982</v>
      </c>
      <c r="AK100" s="58">
        <f>Operating_Model!AK269</f>
        <v>312.62404000000004</v>
      </c>
      <c r="AL100" s="58">
        <f>Operating_Model!AL269</f>
        <v>340.05600000000004</v>
      </c>
      <c r="AM100" s="58">
        <f>Operating_Model!AM269</f>
        <v>384.61599999999999</v>
      </c>
      <c r="AN100" s="212">
        <f>Operating_Model!AN269</f>
        <v>393.86400000000003</v>
      </c>
      <c r="AO100" s="58">
        <f ca="1">Operating_Model!AO269</f>
        <v>366.5177111664936</v>
      </c>
      <c r="AP100" s="58">
        <f ca="1">Operating_Model!AP269</f>
        <v>438.79401047239014</v>
      </c>
      <c r="AQ100" s="58">
        <f ca="1">Operating_Model!AQ269</f>
        <v>479.35353653565375</v>
      </c>
      <c r="AR100" s="212">
        <f ca="1">Operating_Model!AR269</f>
        <v>478.17800373944198</v>
      </c>
      <c r="AS100" s="58">
        <f ca="1">Operating_Model!AS269</f>
        <v>464.58895503241882</v>
      </c>
      <c r="AT100" s="58">
        <f ca="1">Operating_Model!AT269</f>
        <v>535.82460553612964</v>
      </c>
      <c r="AU100" s="58">
        <f ca="1">Operating_Model!AU269</f>
        <v>586.58435209637923</v>
      </c>
      <c r="AV100" s="212">
        <f ca="1">Operating_Model!AV269</f>
        <v>567.27707369002792</v>
      </c>
      <c r="AW100" s="58">
        <f ca="1">Operating_Model!AW269</f>
        <v>564.51603359638602</v>
      </c>
      <c r="AX100" s="58">
        <f ca="1">Operating_Model!AX269</f>
        <v>640.22218142971292</v>
      </c>
      <c r="AY100" s="58">
        <f ca="1">Operating_Model!AY269</f>
        <v>696.49936014322668</v>
      </c>
      <c r="AZ100" s="58">
        <f ca="1">Operating_Model!AZ269</f>
        <v>692.25796768718396</v>
      </c>
    </row>
    <row r="101" spans="1:60">
      <c r="B101" s="3" t="s">
        <v>31</v>
      </c>
      <c r="C101" s="1" t="s">
        <v>88</v>
      </c>
      <c r="F101" s="67">
        <v>1929.9659999999999</v>
      </c>
      <c r="G101" s="67">
        <v>3704.1460000000002</v>
      </c>
      <c r="H101" s="67">
        <v>6328.1549999999997</v>
      </c>
      <c r="I101" s="67">
        <v>8860.8610000000008</v>
      </c>
      <c r="J101" s="67">
        <v>10372.516</v>
      </c>
      <c r="K101" s="67">
        <v>9657</v>
      </c>
      <c r="L101" s="58">
        <f t="shared" ca="1" si="245"/>
        <v>8983.1708530913238</v>
      </c>
      <c r="M101" s="58">
        <f t="shared" ca="1" si="245"/>
        <v>9184.1790108115056</v>
      </c>
      <c r="N101" s="58">
        <f t="shared" ca="1" si="245"/>
        <v>10714.953058659157</v>
      </c>
      <c r="O101" s="58"/>
      <c r="P101" s="58"/>
      <c r="Q101" s="67">
        <v>331.27699999999999</v>
      </c>
      <c r="R101" s="67">
        <v>453.68700000000001</v>
      </c>
      <c r="S101" s="67">
        <v>538.19200000000001</v>
      </c>
      <c r="T101" s="217">
        <v>606.80899999999997</v>
      </c>
      <c r="U101" s="67">
        <v>609.60599999999999</v>
      </c>
      <c r="V101" s="67">
        <v>879.971</v>
      </c>
      <c r="W101" s="67">
        <v>1038.6410000000001</v>
      </c>
      <c r="X101" s="217">
        <v>1175.9290000000001</v>
      </c>
      <c r="Y101" s="67">
        <v>1181.8030000000001</v>
      </c>
      <c r="Z101" s="67">
        <v>1517.1279999999999</v>
      </c>
      <c r="AA101" s="67">
        <v>1741.922</v>
      </c>
      <c r="AB101" s="217">
        <v>1887.3009999999999</v>
      </c>
      <c r="AC101" s="67">
        <v>1721.6289999999999</v>
      </c>
      <c r="AD101" s="67">
        <v>2111.7339999999999</v>
      </c>
      <c r="AE101" s="67">
        <v>2411.1799999999998</v>
      </c>
      <c r="AF101" s="217">
        <v>2616.319</v>
      </c>
      <c r="AG101" s="67">
        <v>2233.2080000000001</v>
      </c>
      <c r="AH101" s="67">
        <v>2908.4009999999998</v>
      </c>
      <c r="AI101" s="67">
        <v>2594.4520000000002</v>
      </c>
      <c r="AJ101" s="217">
        <v>2636.4549999999999</v>
      </c>
      <c r="AK101" s="67">
        <v>2185.3040000000001</v>
      </c>
      <c r="AL101" s="67">
        <v>2478</v>
      </c>
      <c r="AM101" s="67">
        <v>2476</v>
      </c>
      <c r="AN101" s="217">
        <v>2518</v>
      </c>
      <c r="AO101" s="58">
        <f ca="1">Operating_Model!AO271</f>
        <v>2038.9809400746431</v>
      </c>
      <c r="AP101" s="58">
        <f ca="1">Operating_Model!AP271</f>
        <v>2332.4987705286335</v>
      </c>
      <c r="AQ101" s="58">
        <f ca="1">Operating_Model!AQ271</f>
        <v>2301.5309796542774</v>
      </c>
      <c r="AR101" s="212">
        <f ca="1">Operating_Model!AR271</f>
        <v>2310.1601628337708</v>
      </c>
      <c r="AS101" s="58">
        <f ca="1">Operating_Model!AS271</f>
        <v>2217.2589858733236</v>
      </c>
      <c r="AT101" s="58">
        <f ca="1">Operating_Model!AT271</f>
        <v>2305.7945250905696</v>
      </c>
      <c r="AU101" s="58">
        <f ca="1">Operating_Model!AU271</f>
        <v>2381.2766875309912</v>
      </c>
      <c r="AV101" s="212">
        <f ca="1">Operating_Model!AV271</f>
        <v>2279.8488123166217</v>
      </c>
      <c r="AW101" s="58">
        <f ca="1">Operating_Model!AW271</f>
        <v>2600.259002297917</v>
      </c>
      <c r="AX101" s="58">
        <f ca="1">Operating_Model!AX271</f>
        <v>2666.1205884657525</v>
      </c>
      <c r="AY101" s="58">
        <f ca="1">Operating_Model!AY271</f>
        <v>2740.4517626624051</v>
      </c>
      <c r="AZ101" s="58">
        <f ca="1">Operating_Model!AZ271</f>
        <v>2708.1217052330821</v>
      </c>
    </row>
    <row r="102" spans="1:60">
      <c r="B102" s="3" t="s">
        <v>37</v>
      </c>
      <c r="C102" s="1" t="s">
        <v>88</v>
      </c>
      <c r="F102" s="67">
        <v>1069.306</v>
      </c>
      <c r="G102" s="67">
        <v>1938.52</v>
      </c>
      <c r="H102" s="67">
        <v>2847.77</v>
      </c>
      <c r="I102" s="67">
        <v>3716.7469999999998</v>
      </c>
      <c r="J102" s="67">
        <v>4716.4160000000002</v>
      </c>
      <c r="K102" s="67">
        <v>5558</v>
      </c>
      <c r="L102" s="58">
        <f t="shared" ca="1" si="245"/>
        <v>6130.5861089428563</v>
      </c>
      <c r="M102" s="58">
        <f t="shared" ca="1" si="245"/>
        <v>6585.4518692416232</v>
      </c>
      <c r="N102" s="58">
        <f t="shared" ca="1" si="245"/>
        <v>6966.4222551025478</v>
      </c>
      <c r="O102" s="58"/>
      <c r="P102" s="58"/>
      <c r="Q102" s="67">
        <v>222.648</v>
      </c>
      <c r="R102" s="67">
        <v>242.59200000000001</v>
      </c>
      <c r="S102" s="67">
        <v>266.87099999999998</v>
      </c>
      <c r="T102" s="217">
        <v>337.19400000000002</v>
      </c>
      <c r="U102" s="67">
        <v>404.88</v>
      </c>
      <c r="V102" s="67">
        <v>457.28699999999998</v>
      </c>
      <c r="W102" s="67">
        <v>512.64400000000001</v>
      </c>
      <c r="X102" s="217">
        <v>563.70899999999995</v>
      </c>
      <c r="Y102" s="67">
        <v>646.08699999999999</v>
      </c>
      <c r="Z102" s="67">
        <v>700.47299999999996</v>
      </c>
      <c r="AA102" s="67">
        <v>752.60699999999997</v>
      </c>
      <c r="AB102" s="217">
        <v>748.60400000000004</v>
      </c>
      <c r="AC102" s="67">
        <v>849.62800000000004</v>
      </c>
      <c r="AD102" s="67">
        <v>896.15599999999995</v>
      </c>
      <c r="AE102" s="67">
        <v>970.005</v>
      </c>
      <c r="AF102" s="217">
        <v>1000.957</v>
      </c>
      <c r="AG102" s="67">
        <v>1088.038</v>
      </c>
      <c r="AH102" s="67">
        <v>1151.992</v>
      </c>
      <c r="AI102" s="67">
        <v>1240.9860000000001</v>
      </c>
      <c r="AJ102" s="217">
        <v>1235.4000000000001</v>
      </c>
      <c r="AK102" s="67">
        <v>1335.5150000000001</v>
      </c>
      <c r="AL102" s="67">
        <v>1382</v>
      </c>
      <c r="AM102" s="67">
        <v>1440</v>
      </c>
      <c r="AN102" s="217">
        <v>1400</v>
      </c>
      <c r="AO102" s="58">
        <f>Operating_Model!AO273</f>
        <v>1494.3098645664095</v>
      </c>
      <c r="AP102" s="58">
        <f>Operating_Model!AP273</f>
        <v>1524.338127720453</v>
      </c>
      <c r="AQ102" s="58">
        <f>Operating_Model!AQ273</f>
        <v>1576.0848149869482</v>
      </c>
      <c r="AR102" s="212">
        <f>Operating_Model!AR273</f>
        <v>1535.8533016690449</v>
      </c>
      <c r="AS102" s="58">
        <f>Operating_Model!AS273</f>
        <v>1608.5732393415512</v>
      </c>
      <c r="AT102" s="58">
        <f>Operating_Model!AT273</f>
        <v>1641.8859690419722</v>
      </c>
      <c r="AU102" s="58">
        <f>Operating_Model!AU273</f>
        <v>1685.2009035036886</v>
      </c>
      <c r="AV102" s="212">
        <f>Operating_Model!AV273</f>
        <v>1649.7917573544119</v>
      </c>
      <c r="AW102" s="58">
        <f>Operating_Model!AW273</f>
        <v>1701.3215582056246</v>
      </c>
      <c r="AX102" s="58">
        <f>Operating_Model!AX273</f>
        <v>1737.9926299005579</v>
      </c>
      <c r="AY102" s="58">
        <f>Operating_Model!AY273</f>
        <v>1775.9609239779961</v>
      </c>
      <c r="AZ102" s="58">
        <f>Operating_Model!AZ273</f>
        <v>1751.1471430183692</v>
      </c>
    </row>
    <row r="103" spans="1:60">
      <c r="B103" s="3" t="s">
        <v>36</v>
      </c>
      <c r="C103" s="1" t="s">
        <v>88</v>
      </c>
      <c r="F103" s="67">
        <v>1062.06</v>
      </c>
      <c r="G103" s="67">
        <v>1533.15</v>
      </c>
      <c r="H103" s="67">
        <v>1987.69</v>
      </c>
      <c r="I103" s="67">
        <v>2559.623</v>
      </c>
      <c r="J103" s="67">
        <v>3074.893</v>
      </c>
      <c r="K103" s="67">
        <v>3388</v>
      </c>
      <c r="L103" s="58">
        <f t="shared" ca="1" si="245"/>
        <v>3819.0107201926417</v>
      </c>
      <c r="M103" s="58">
        <f t="shared" ca="1" si="245"/>
        <v>4410.0050997604467</v>
      </c>
      <c r="N103" s="58">
        <f t="shared" ca="1" si="245"/>
        <v>5179.8625297606613</v>
      </c>
      <c r="O103" s="58"/>
      <c r="P103" s="58"/>
      <c r="Q103" s="67">
        <v>228.43600000000001</v>
      </c>
      <c r="R103" s="67">
        <v>245.92500000000001</v>
      </c>
      <c r="S103" s="67">
        <v>279.87299999999999</v>
      </c>
      <c r="T103" s="217">
        <v>317.488</v>
      </c>
      <c r="U103" s="67">
        <v>333.101</v>
      </c>
      <c r="V103" s="67">
        <v>356.97899999999998</v>
      </c>
      <c r="W103" s="67">
        <v>369.40300000000002</v>
      </c>
      <c r="X103" s="217">
        <v>410.16399999999999</v>
      </c>
      <c r="Y103" s="67">
        <v>430.49700000000001</v>
      </c>
      <c r="Z103" s="67">
        <v>461.92700000000002</v>
      </c>
      <c r="AA103" s="67">
        <v>512.75800000000004</v>
      </c>
      <c r="AB103" s="217">
        <v>553.572</v>
      </c>
      <c r="AC103" s="67">
        <v>582.43700000000001</v>
      </c>
      <c r="AD103" s="67">
        <v>616.072</v>
      </c>
      <c r="AE103" s="67">
        <v>657.32500000000005</v>
      </c>
      <c r="AF103" s="217">
        <v>692.04600000000005</v>
      </c>
      <c r="AG103" s="67">
        <v>707.33199999999999</v>
      </c>
      <c r="AH103" s="67">
        <v>753.77499999999998</v>
      </c>
      <c r="AI103" s="67">
        <v>802.25699999999995</v>
      </c>
      <c r="AJ103" s="217">
        <v>811.529</v>
      </c>
      <c r="AK103" s="67">
        <v>823.01</v>
      </c>
      <c r="AL103" s="67">
        <v>828</v>
      </c>
      <c r="AM103" s="67">
        <v>852</v>
      </c>
      <c r="AN103" s="217">
        <v>885</v>
      </c>
      <c r="AO103" s="58">
        <f>Operating_Model!AO275</f>
        <v>915.60582186100521</v>
      </c>
      <c r="AP103" s="58">
        <f ca="1">Operating_Model!AP275</f>
        <v>932.09393749294713</v>
      </c>
      <c r="AQ103" s="58">
        <f ca="1">Operating_Model!AQ275</f>
        <v>965.3368290169708</v>
      </c>
      <c r="AR103" s="212">
        <f ca="1">Operating_Model!AR275</f>
        <v>1005.9741318217189</v>
      </c>
      <c r="AS103" s="58">
        <f ca="1">Operating_Model!AS275</f>
        <v>1042.990417298038</v>
      </c>
      <c r="AT103" s="58">
        <f ca="1">Operating_Model!AT275</f>
        <v>1073.5136262370975</v>
      </c>
      <c r="AU103" s="58">
        <f ca="1">Operating_Model!AU275</f>
        <v>1119.3637736413798</v>
      </c>
      <c r="AV103" s="212">
        <f ca="1">Operating_Model!AV275</f>
        <v>1174.137282583931</v>
      </c>
      <c r="AW103" s="58">
        <f ca="1">Operating_Model!AW275</f>
        <v>1219.5251120331689</v>
      </c>
      <c r="AX103" s="58">
        <f ca="1">Operating_Model!AX275</f>
        <v>1260.4556124038602</v>
      </c>
      <c r="AY103" s="58">
        <f ca="1">Operating_Model!AY275</f>
        <v>1316.9690322300742</v>
      </c>
      <c r="AZ103" s="58">
        <f ca="1">Operating_Model!AZ275</f>
        <v>1382.9127730935581</v>
      </c>
    </row>
    <row r="104" spans="1:60">
      <c r="B104" s="3" t="s">
        <v>35</v>
      </c>
      <c r="C104" s="1" t="s">
        <v>88</v>
      </c>
      <c r="F104" s="67">
        <v>589.55499999999995</v>
      </c>
      <c r="G104" s="67">
        <v>1082.7940000000001</v>
      </c>
      <c r="H104" s="67">
        <v>2217.5549999999998</v>
      </c>
      <c r="I104" s="67">
        <v>3881.6089999999999</v>
      </c>
      <c r="J104" s="67">
        <v>4429.7129999999997</v>
      </c>
      <c r="K104" s="67">
        <v>4697</v>
      </c>
      <c r="L104" s="58">
        <f t="shared" ca="1" si="245"/>
        <v>5703.6890429955192</v>
      </c>
      <c r="M104" s="58">
        <f t="shared" ca="1" si="245"/>
        <v>6757.6154569968148</v>
      </c>
      <c r="N104" s="58">
        <f t="shared" ca="1" si="245"/>
        <v>7874.7886767961872</v>
      </c>
      <c r="O104" s="58"/>
      <c r="P104" s="58"/>
      <c r="Q104" s="67">
        <v>127.996</v>
      </c>
      <c r="R104" s="67">
        <v>137.76499999999999</v>
      </c>
      <c r="S104" s="67">
        <v>149.72</v>
      </c>
      <c r="T104" s="217">
        <v>164.41200000000001</v>
      </c>
      <c r="U104" s="67">
        <v>218.71199999999999</v>
      </c>
      <c r="V104" s="67">
        <v>243.22900000000001</v>
      </c>
      <c r="W104" s="67">
        <v>280.20400000000001</v>
      </c>
      <c r="X104" s="217">
        <v>433.47800000000001</v>
      </c>
      <c r="Y104" s="67">
        <v>479.54199999999997</v>
      </c>
      <c r="Z104" s="67">
        <v>627.05200000000002</v>
      </c>
      <c r="AA104" s="67">
        <v>557.51499999999999</v>
      </c>
      <c r="AB104" s="217">
        <v>616.22799999999995</v>
      </c>
      <c r="AC104" s="67">
        <v>607.06799999999998</v>
      </c>
      <c r="AD104" s="67">
        <v>850.50300000000004</v>
      </c>
      <c r="AE104" s="67">
        <v>1254.114</v>
      </c>
      <c r="AF104" s="217">
        <v>1181.6669999999999</v>
      </c>
      <c r="AG104" s="67">
        <v>1092.153</v>
      </c>
      <c r="AH104" s="67">
        <v>992.75400000000002</v>
      </c>
      <c r="AI104" s="67">
        <v>1158.5540000000001</v>
      </c>
      <c r="AJ104" s="217">
        <v>1186.252</v>
      </c>
      <c r="AK104" s="67">
        <v>958.70399999999995</v>
      </c>
      <c r="AL104" s="67">
        <v>1225</v>
      </c>
      <c r="AM104" s="67">
        <v>1383</v>
      </c>
      <c r="AN104" s="217">
        <v>1130</v>
      </c>
      <c r="AO104" s="58">
        <f ca="1">Operating_Model!AO277</f>
        <v>1226.8948324527009</v>
      </c>
      <c r="AP104" s="58">
        <f ca="1">Operating_Model!AP277</f>
        <v>1526.1819102534023</v>
      </c>
      <c r="AQ104" s="58">
        <f ca="1">Operating_Model!AQ277</f>
        <v>1631.1871136026891</v>
      </c>
      <c r="AR104" s="212">
        <f ca="1">Operating_Model!AR277</f>
        <v>1319.4251866867273</v>
      </c>
      <c r="AS104" s="58">
        <f ca="1">Operating_Model!AS277</f>
        <v>1507.8113521141888</v>
      </c>
      <c r="AT104" s="58">
        <f ca="1">Operating_Model!AT277</f>
        <v>1817.1692826059898</v>
      </c>
      <c r="AU104" s="58">
        <f ca="1">Operating_Model!AU277</f>
        <v>1926.2479760804431</v>
      </c>
      <c r="AV104" s="212">
        <f ca="1">Operating_Model!AV277</f>
        <v>1506.3868461961933</v>
      </c>
      <c r="AW104" s="58">
        <f ca="1">Operating_Model!AW277</f>
        <v>1777.681186954751</v>
      </c>
      <c r="AX104" s="58">
        <f ca="1">Operating_Model!AX277</f>
        <v>2119.8354551934594</v>
      </c>
      <c r="AY104" s="58">
        <f ca="1">Operating_Model!AY277</f>
        <v>2206.3865496979706</v>
      </c>
      <c r="AZ104" s="58">
        <f ca="1">Operating_Model!AZ277</f>
        <v>1770.8854849500067</v>
      </c>
    </row>
    <row r="105" spans="1:60">
      <c r="B105" s="3" t="s">
        <v>30</v>
      </c>
      <c r="C105" s="1" t="s">
        <v>88</v>
      </c>
      <c r="F105" s="67">
        <v>215.13300000000001</v>
      </c>
      <c r="G105" s="67">
        <v>859.69500000000005</v>
      </c>
      <c r="H105" s="67">
        <v>1871.9059999999999</v>
      </c>
      <c r="I105" s="67">
        <v>3745.0630000000001</v>
      </c>
      <c r="J105" s="67">
        <v>7863.585</v>
      </c>
      <c r="K105" s="67">
        <v>13398</v>
      </c>
      <c r="L105" s="58">
        <f t="shared" ca="1" si="245"/>
        <v>23125.573166263453</v>
      </c>
      <c r="M105" s="58">
        <f t="shared" ca="1" si="245"/>
        <v>27606.859963072351</v>
      </c>
      <c r="N105" s="58">
        <f t="shared" ca="1" si="245"/>
        <v>31344.604264268986</v>
      </c>
      <c r="O105" s="58"/>
      <c r="P105" s="58"/>
      <c r="Q105" s="67">
        <v>29.327000000000002</v>
      </c>
      <c r="R105" s="67">
        <v>33.161999999999999</v>
      </c>
      <c r="S105" s="67">
        <v>32.307000000000002</v>
      </c>
      <c r="T105" s="217">
        <v>120.337</v>
      </c>
      <c r="U105" s="67">
        <v>95.790999999999997</v>
      </c>
      <c r="V105" s="67">
        <v>150.65199999999999</v>
      </c>
      <c r="W105" s="67">
        <v>222.22399999999999</v>
      </c>
      <c r="X105" s="217">
        <v>361.702</v>
      </c>
      <c r="Y105" s="67">
        <v>393.63900000000001</v>
      </c>
      <c r="Z105" s="67">
        <v>354.29399999999998</v>
      </c>
      <c r="AA105" s="67">
        <v>498.11900000000003</v>
      </c>
      <c r="AB105" s="217">
        <v>592.00800000000004</v>
      </c>
      <c r="AC105" s="67">
        <v>608.41999999999996</v>
      </c>
      <c r="AD105" s="67">
        <v>840.22299999999996</v>
      </c>
      <c r="AE105" s="67">
        <v>914.54499999999996</v>
      </c>
      <c r="AF105" s="217">
        <v>1381.875</v>
      </c>
      <c r="AG105" s="67">
        <v>1382.4680000000001</v>
      </c>
      <c r="AH105" s="67">
        <v>1699.0150000000001</v>
      </c>
      <c r="AI105" s="67">
        <v>2211.373</v>
      </c>
      <c r="AJ105" s="217">
        <v>2570.7289999999998</v>
      </c>
      <c r="AK105" s="67">
        <v>2635.864</v>
      </c>
      <c r="AL105" s="67">
        <v>3112</v>
      </c>
      <c r="AM105" s="67">
        <v>3897</v>
      </c>
      <c r="AN105" s="217">
        <v>3754</v>
      </c>
      <c r="AO105" s="58">
        <f ca="1">Operating_Model!AO279</f>
        <v>4337.7734596409182</v>
      </c>
      <c r="AP105" s="58">
        <f ca="1">Operating_Model!AP279</f>
        <v>5928.0006191771827</v>
      </c>
      <c r="AQ105" s="58">
        <f ca="1">Operating_Model!AQ279</f>
        <v>6270.3566216604277</v>
      </c>
      <c r="AR105" s="212">
        <f ca="1">Operating_Model!AR279</f>
        <v>6589.4424657849277</v>
      </c>
      <c r="AS105" s="58">
        <f ca="1">Operating_Model!AS279</f>
        <v>6299.8685945030447</v>
      </c>
      <c r="AT105" s="58">
        <f ca="1">Operating_Model!AT279</f>
        <v>7036.4471685993731</v>
      </c>
      <c r="AU105" s="58">
        <f ca="1">Operating_Model!AU279</f>
        <v>7107.184933136431</v>
      </c>
      <c r="AV105" s="212">
        <f ca="1">Operating_Model!AV279</f>
        <v>7163.3592668335014</v>
      </c>
      <c r="AW105" s="58">
        <f ca="1">Operating_Model!AW279</f>
        <v>7337.9840792668165</v>
      </c>
      <c r="AX105" s="58">
        <f ca="1">Operating_Model!AX279</f>
        <v>8207.8940660794415</v>
      </c>
      <c r="AY105" s="58">
        <f ca="1">Operating_Model!AY279</f>
        <v>7939.0120354558339</v>
      </c>
      <c r="AZ105" s="58">
        <f ca="1">Operating_Model!AZ279</f>
        <v>7859.7140834668926</v>
      </c>
    </row>
    <row r="106" spans="1:60" s="202" customFormat="1">
      <c r="A106" s="296"/>
      <c r="B106" s="52" t="s">
        <v>3</v>
      </c>
      <c r="F106" s="67"/>
      <c r="G106" s="67"/>
      <c r="H106" s="67"/>
      <c r="I106" s="200">
        <f>IQ_IS!I95</f>
        <v>3694.4</v>
      </c>
      <c r="J106" s="200">
        <f>IQ_IS!J95</f>
        <v>7541</v>
      </c>
      <c r="K106" s="200">
        <f>IQ_IS!K95</f>
        <v>12616.9</v>
      </c>
      <c r="L106" s="200">
        <f ca="1">IQ_IS!L95</f>
        <v>21454.363793391116</v>
      </c>
      <c r="M106" s="200">
        <f ca="1">IQ_IS!M95</f>
        <v>25542.969888122345</v>
      </c>
      <c r="N106" s="200">
        <f ca="1">IQ_IS!N95</f>
        <v>28837.936670780251</v>
      </c>
      <c r="O106" s="200"/>
      <c r="P106" s="200"/>
      <c r="Q106" s="200"/>
      <c r="R106" s="67"/>
      <c r="S106" s="67"/>
      <c r="T106" s="217"/>
      <c r="U106" s="67"/>
      <c r="V106" s="67"/>
      <c r="W106" s="67"/>
      <c r="X106" s="217"/>
      <c r="Y106" s="67"/>
      <c r="Z106" s="67"/>
      <c r="AA106" s="67"/>
      <c r="AB106" s="217"/>
      <c r="AC106" s="67"/>
      <c r="AD106" s="67"/>
      <c r="AE106" s="67"/>
      <c r="AF106" s="217"/>
      <c r="AG106" s="67"/>
      <c r="AH106" s="200"/>
      <c r="AI106" s="200">
        <f ca="1">IQ_IS!AI95</f>
        <v>2186.0900736264157</v>
      </c>
      <c r="AJ106" s="200">
        <f ca="1">IQ_IS!AJ95</f>
        <v>2117.2793470949305</v>
      </c>
      <c r="AK106" s="200">
        <f ca="1">IQ_IS!AK95</f>
        <v>2565.0350945357932</v>
      </c>
      <c r="AL106" s="200">
        <f ca="1">IQ_IS!AL95</f>
        <v>3033.0190765044817</v>
      </c>
      <c r="AM106" s="200">
        <f ca="1">IQ_IS!AM95</f>
        <v>3619.1845117380603</v>
      </c>
      <c r="AN106" s="200">
        <f ca="1">IQ_IS!AN95</f>
        <v>3399.6613172216639</v>
      </c>
      <c r="AO106" s="200">
        <f ca="1">IQ_IS!AO95</f>
        <v>3935.0117924656797</v>
      </c>
      <c r="AP106" s="200">
        <f ca="1">IQ_IS!AP95</f>
        <v>5527.2276345502696</v>
      </c>
      <c r="AQ106" s="200">
        <f ca="1">IQ_IS!AQ95</f>
        <v>5837.3310375298015</v>
      </c>
      <c r="AR106" s="200">
        <f ca="1">IQ_IS!AR95</f>
        <v>6154.793328845366</v>
      </c>
      <c r="AS106" s="200">
        <f ca="1">IQ_IS!AS95</f>
        <v>5784.2463731409698</v>
      </c>
      <c r="AT106" s="200">
        <f ca="1">IQ_IS!AT95</f>
        <v>6542.1769582261604</v>
      </c>
      <c r="AU106" s="200">
        <f ca="1">IQ_IS!AU95</f>
        <v>6568.7184154290935</v>
      </c>
      <c r="AV106" s="200">
        <f ca="1">IQ_IS!AV95</f>
        <v>6647.8281413261202</v>
      </c>
      <c r="AW106" s="200">
        <f ca="1">IQ_IS!AW95</f>
        <v>6708.6423053798526</v>
      </c>
      <c r="AX106" s="200">
        <f ca="1">IQ_IS!AX95</f>
        <v>7613.6740382846274</v>
      </c>
      <c r="AY106" s="200">
        <f ca="1">IQ_IS!AY95</f>
        <v>7293.6523739667009</v>
      </c>
      <c r="AZ106" s="200">
        <f ca="1">IQ_IS!AZ95</f>
        <v>7221.9679531490729</v>
      </c>
      <c r="BC106"/>
      <c r="BD106"/>
      <c r="BE106"/>
      <c r="BF106"/>
      <c r="BG106"/>
      <c r="BH106"/>
    </row>
    <row r="107" spans="1:60" s="202" customFormat="1">
      <c r="A107" s="296"/>
      <c r="B107" s="52" t="s">
        <v>452</v>
      </c>
      <c r="F107" s="67"/>
      <c r="G107" s="67"/>
      <c r="H107" s="67"/>
      <c r="I107" s="200">
        <f>I105-I106</f>
        <v>50.663000000000011</v>
      </c>
      <c r="J107" s="200">
        <f t="shared" ref="J107:N107" si="248">J105-J106</f>
        <v>322.58500000000004</v>
      </c>
      <c r="K107" s="200">
        <f t="shared" si="248"/>
        <v>781.10000000000036</v>
      </c>
      <c r="L107" s="200">
        <f t="shared" ca="1" si="248"/>
        <v>1671.2093728723376</v>
      </c>
      <c r="M107" s="200">
        <f t="shared" ca="1" si="248"/>
        <v>2063.8900749500062</v>
      </c>
      <c r="N107" s="200">
        <f t="shared" ca="1" si="248"/>
        <v>2506.6675934887353</v>
      </c>
      <c r="O107" s="200"/>
      <c r="P107" s="200"/>
      <c r="Q107" s="200"/>
      <c r="R107" s="67"/>
      <c r="S107" s="67"/>
      <c r="T107" s="217"/>
      <c r="U107" s="67"/>
      <c r="V107" s="67"/>
      <c r="W107" s="67"/>
      <c r="X107" s="217"/>
      <c r="Y107" s="67"/>
      <c r="Z107" s="67"/>
      <c r="AA107" s="67"/>
      <c r="AB107" s="217"/>
      <c r="AC107" s="67"/>
      <c r="AD107" s="67"/>
      <c r="AE107" s="67"/>
      <c r="AF107" s="217"/>
      <c r="AG107" s="67"/>
      <c r="AH107" s="200"/>
      <c r="AI107" s="200">
        <f t="shared" ref="AI107" ca="1" si="249">AI105-AI106</f>
        <v>25.28292637358436</v>
      </c>
      <c r="AJ107" s="200">
        <f t="shared" ref="AJ107" ca="1" si="250">AJ105-AJ106</f>
        <v>453.44965290506934</v>
      </c>
      <c r="AK107" s="200">
        <f t="shared" ref="AK107" ca="1" si="251">AK105-AK106</f>
        <v>70.828905464206855</v>
      </c>
      <c r="AL107" s="200">
        <f t="shared" ref="AL107" ca="1" si="252">AL105-AL106</f>
        <v>78.980923495518255</v>
      </c>
      <c r="AM107" s="200">
        <f t="shared" ref="AM107" ca="1" si="253">AM105-AM106</f>
        <v>277.81548826193966</v>
      </c>
      <c r="AN107" s="200">
        <f t="shared" ref="AN107" ca="1" si="254">AN105-AN106</f>
        <v>354.33868277833608</v>
      </c>
      <c r="AO107" s="200">
        <f t="shared" ref="AO107" ca="1" si="255">AO105-AO106</f>
        <v>402.76166717523847</v>
      </c>
      <c r="AP107" s="200">
        <f t="shared" ref="AP107" ca="1" si="256">AP105-AP106</f>
        <v>400.77298462691306</v>
      </c>
      <c r="AQ107" s="200">
        <f t="shared" ref="AQ107" ca="1" si="257">AQ105-AQ106</f>
        <v>433.02558413062616</v>
      </c>
      <c r="AR107" s="200">
        <f t="shared" ref="AR107" ca="1" si="258">AR105-AR106</f>
        <v>434.64913693956169</v>
      </c>
      <c r="AS107" s="200">
        <f t="shared" ref="AS107" ca="1" si="259">AS105-AS106</f>
        <v>515.62222136207492</v>
      </c>
      <c r="AT107" s="200">
        <f t="shared" ref="AT107" ca="1" si="260">AT105-AT106</f>
        <v>494.27021037321265</v>
      </c>
      <c r="AU107" s="200">
        <f t="shared" ref="AU107" ca="1" si="261">AU105-AU106</f>
        <v>538.46651770733752</v>
      </c>
      <c r="AV107" s="200">
        <f t="shared" ref="AV107" ca="1" si="262">AV105-AV106</f>
        <v>515.53112550738115</v>
      </c>
      <c r="AW107" s="200">
        <f t="shared" ref="AW107" ca="1" si="263">AW105-AW106</f>
        <v>629.34177388696389</v>
      </c>
      <c r="AX107" s="200">
        <f t="shared" ref="AX107" ca="1" si="264">AX105-AX106</f>
        <v>594.22002779481409</v>
      </c>
      <c r="AY107" s="200">
        <f t="shared" ref="AY107" ca="1" si="265">AY105-AY106</f>
        <v>645.35966148913303</v>
      </c>
      <c r="AZ107" s="200">
        <f t="shared" ref="AZ107" ca="1" si="266">AZ105-AZ106</f>
        <v>637.74613031781973</v>
      </c>
      <c r="BC107"/>
      <c r="BD107"/>
      <c r="BE107"/>
      <c r="BF107"/>
      <c r="BG107"/>
      <c r="BH107"/>
    </row>
    <row r="108" spans="1:60">
      <c r="B108" s="3" t="s">
        <v>99</v>
      </c>
      <c r="C108" s="1" t="s">
        <v>88</v>
      </c>
      <c r="F108" s="58">
        <f t="shared" ref="F108:K108" si="267">+F265</f>
        <v>10.105</v>
      </c>
      <c r="G108" s="58">
        <f t="shared" si="267"/>
        <v>23.975999999999999</v>
      </c>
      <c r="H108" s="58">
        <f t="shared" si="267"/>
        <v>34.610999999999997</v>
      </c>
      <c r="I108" s="58">
        <f t="shared" si="267"/>
        <v>49.77</v>
      </c>
      <c r="J108" s="58">
        <f t="shared" si="267"/>
        <v>103.354</v>
      </c>
      <c r="K108" s="58">
        <f t="shared" si="267"/>
        <v>183</v>
      </c>
      <c r="L108" s="58">
        <f t="shared" ca="1" si="245"/>
        <v>205.6113892175357</v>
      </c>
      <c r="M108" s="58">
        <f t="shared" ca="1" si="245"/>
        <v>251.12710895843293</v>
      </c>
      <c r="N108" s="58">
        <f t="shared" ca="1" si="245"/>
        <v>302.16022720482783</v>
      </c>
      <c r="O108" s="58"/>
      <c r="P108" s="58"/>
      <c r="Q108" s="67">
        <v>0.84499999999999997</v>
      </c>
      <c r="R108" s="67">
        <v>2.4929999999999999</v>
      </c>
      <c r="S108" s="67">
        <v>2.403</v>
      </c>
      <c r="T108" s="217">
        <v>4.3639999999999999</v>
      </c>
      <c r="U108" s="67">
        <v>4.4059999999999997</v>
      </c>
      <c r="V108" s="67">
        <v>4.0419999999999998</v>
      </c>
      <c r="W108" s="67">
        <v>6.3570000000000002</v>
      </c>
      <c r="X108" s="217">
        <v>9.1709999999999994</v>
      </c>
      <c r="Y108" s="67">
        <v>6.4020000000000001</v>
      </c>
      <c r="Z108" s="67">
        <v>8.4619999999999997</v>
      </c>
      <c r="AA108" s="67">
        <v>8.3759999999999994</v>
      </c>
      <c r="AB108" s="217">
        <v>11.371</v>
      </c>
      <c r="AC108" s="67">
        <v>8.7119999999999997</v>
      </c>
      <c r="AD108" s="67">
        <v>12.715</v>
      </c>
      <c r="AE108" s="67">
        <v>11.805</v>
      </c>
      <c r="AF108" s="217">
        <v>16.538</v>
      </c>
      <c r="AG108" s="67">
        <v>12.420999999999999</v>
      </c>
      <c r="AH108" s="67">
        <v>20.321999999999999</v>
      </c>
      <c r="AI108" s="67">
        <v>28.370999999999999</v>
      </c>
      <c r="AJ108" s="217">
        <v>42.24</v>
      </c>
      <c r="AK108" s="67">
        <v>36.350999999999999</v>
      </c>
      <c r="AL108" s="67">
        <v>48</v>
      </c>
      <c r="AM108" s="67">
        <v>53</v>
      </c>
      <c r="AN108" s="217">
        <v>46</v>
      </c>
      <c r="AO108" s="58">
        <f ca="1">Operating_Model!AO141</f>
        <v>42.756665549334059</v>
      </c>
      <c r="AP108" s="58">
        <f ca="1">Operating_Model!AP141</f>
        <v>51.18450445628168</v>
      </c>
      <c r="AQ108" s="58">
        <f ca="1">Operating_Model!AQ141</f>
        <v>55.898962027464044</v>
      </c>
      <c r="AR108" s="212">
        <f ca="1">Operating_Model!AR141</f>
        <v>55.771257184455905</v>
      </c>
      <c r="AS108" s="58">
        <f ca="1">Operating_Model!AS141</f>
        <v>54.168424014235839</v>
      </c>
      <c r="AT108" s="58">
        <f ca="1">Operating_Model!AT141</f>
        <v>62.469691397987447</v>
      </c>
      <c r="AU108" s="58">
        <f ca="1">Operating_Model!AU141</f>
        <v>68.378665246783669</v>
      </c>
      <c r="AV108" s="212">
        <f ca="1">Operating_Model!AV141</f>
        <v>66.110328299426001</v>
      </c>
      <c r="AW108" s="58">
        <f ca="1">Operating_Model!AW141</f>
        <v>65.775518953924617</v>
      </c>
      <c r="AX108" s="58">
        <f ca="1">Operating_Model!AX141</f>
        <v>74.594687433931853</v>
      </c>
      <c r="AY108" s="58">
        <f ca="1">Operating_Model!AY141</f>
        <v>81.148152113810653</v>
      </c>
      <c r="AZ108" s="58">
        <f ca="1">Operating_Model!AZ141</f>
        <v>80.641868703160739</v>
      </c>
    </row>
    <row r="109" spans="1:60">
      <c r="A109" s="296" t="s">
        <v>704</v>
      </c>
      <c r="B109" s="74" t="s">
        <v>87</v>
      </c>
      <c r="C109" s="36" t="s">
        <v>88</v>
      </c>
      <c r="D109" s="36"/>
      <c r="E109" s="90"/>
      <c r="F109" s="72">
        <f>SUM(F98:F108)-SUM(F99:F100,F106:F107)</f>
        <v>6448.5450000000001</v>
      </c>
      <c r="G109" s="72">
        <f t="shared" ref="G109:N109" si="268">SUM(G98:G108)-SUM(G99:G100,G106:G107)</f>
        <v>11471.839</v>
      </c>
      <c r="H109" s="72">
        <f t="shared" si="268"/>
        <v>18885.45</v>
      </c>
      <c r="I109" s="72">
        <f t="shared" si="268"/>
        <v>27458.03</v>
      </c>
      <c r="J109" s="72">
        <f t="shared" si="268"/>
        <v>35278.945</v>
      </c>
      <c r="K109" s="72">
        <f t="shared" ca="1" si="268"/>
        <v>43062</v>
      </c>
      <c r="L109" s="72">
        <f t="shared" ca="1" si="268"/>
        <v>49730.484542617312</v>
      </c>
      <c r="M109" s="72">
        <f t="shared" ca="1" si="268"/>
        <v>56949.513495196137</v>
      </c>
      <c r="N109" s="72">
        <f t="shared" ca="1" si="268"/>
        <v>64976.286554648876</v>
      </c>
      <c r="O109" s="58"/>
      <c r="P109" s="58"/>
      <c r="Q109" s="72">
        <f t="shared" ref="Q109" si="269">SUM(Q98:Q108)-SUM(Q99:Q100,Q106:Q107)</f>
        <v>1250.55</v>
      </c>
      <c r="R109" s="72">
        <f t="shared" ref="R109" si="270">SUM(R98:R108)-SUM(R99:R100,R106:R107)</f>
        <v>1508.1680000000001</v>
      </c>
      <c r="S109" s="72">
        <f t="shared" ref="S109" si="271">SUM(S98:S108)-SUM(S99:S100,S106:S107)</f>
        <v>1696.5119999999995</v>
      </c>
      <c r="T109" s="72">
        <f t="shared" ref="T109" si="272">SUM(T98:T108)-SUM(T99:T100,T106:T107)</f>
        <v>1993.3129999999999</v>
      </c>
      <c r="U109" s="72">
        <f t="shared" ref="U109" si="273">SUM(U98:U108)-SUM(U99:U100,U106:U107)</f>
        <v>2099.2640000000001</v>
      </c>
      <c r="V109" s="72">
        <f t="shared" ref="V109" si="274">SUM(V98:V108)-SUM(V99:V100,V106:V107)</f>
        <v>2637.1179999999995</v>
      </c>
      <c r="W109" s="72">
        <f t="shared" ref="W109" si="275">SUM(W98:W108)-SUM(W99:W100,W106:W107)</f>
        <v>3078.9690000000005</v>
      </c>
      <c r="X109" s="72">
        <f t="shared" ref="X109" si="276">SUM(X98:X108)-SUM(X99:X100,X106:X107)</f>
        <v>3656.4890000000005</v>
      </c>
      <c r="Y109" s="72">
        <f t="shared" ref="Y109" si="277">SUM(Y98:Y108)-SUM(Y99:Y100,Y106:Y107)</f>
        <v>3837.34</v>
      </c>
      <c r="Z109" s="72">
        <f t="shared" ref="Z109" si="278">SUM(Z98:Z108)-SUM(Z99:Z100,Z106:Z107)</f>
        <v>4541.4219999999996</v>
      </c>
      <c r="AA109" s="72">
        <f t="shared" ref="AA109" si="279">SUM(AA98:AA108)-SUM(AA99:AA100,AA106:AA107)</f>
        <v>5068.3370000000004</v>
      </c>
      <c r="AB109" s="72">
        <f t="shared" ref="AB109" si="280">SUM(AB98:AB108)-SUM(AB99:AB100,AB106:AB107)</f>
        <v>5438.3510000000006</v>
      </c>
      <c r="AC109" s="72">
        <f t="shared" ref="AC109" si="281">SUM(AC98:AC108)-SUM(AC99:AC100,AC106:AC107)</f>
        <v>5326.1030000000001</v>
      </c>
      <c r="AD109" s="72">
        <f t="shared" ref="AD109" si="282">SUM(AD98:AD108)-SUM(AD99:AD100,AD106:AD107)</f>
        <v>6503.0199999999995</v>
      </c>
      <c r="AE109" s="72">
        <f t="shared" ref="AE109" si="283">SUM(AE98:AE108)-SUM(AE99:AE100,AE106:AE107)</f>
        <v>7479.58</v>
      </c>
      <c r="AF109" s="72">
        <f t="shared" ref="AF109" si="284">SUM(AF98:AF108)-SUM(AF99:AF100,AF106:AF107)</f>
        <v>8149.3270000000002</v>
      </c>
      <c r="AG109" s="72">
        <f t="shared" ref="AG109" si="285">SUM(AG98:AG108)-SUM(AG99:AG100,AG106:AG107)</f>
        <v>7563.1840000000011</v>
      </c>
      <c r="AH109" s="72">
        <f t="shared" ref="AH109" si="286">SUM(AH98:AH108)-SUM(AH99:AH100,AH106:AH107)</f>
        <v>8737.8209999999999</v>
      </c>
      <c r="AI109" s="72">
        <f t="shared" ref="AI109" ca="1" si="287">SUM(AI98:AI108)-SUM(AI99:AI100,AI106:AI107)</f>
        <v>9256.369999999999</v>
      </c>
      <c r="AJ109" s="72">
        <f t="shared" ref="AJ109" ca="1" si="288">SUM(AJ98:AJ108)-SUM(AJ99:AJ100,AJ106:AJ107)</f>
        <v>9721.5700000000015</v>
      </c>
      <c r="AK109" s="72">
        <f t="shared" ref="AK109" ca="1" si="289">SUM(AK98:AK108)-SUM(AK99:AK100,AK106:AK107)</f>
        <v>9233.2560000000012</v>
      </c>
      <c r="AL109" s="72">
        <f t="shared" ref="AL109" ca="1" si="290">SUM(AL98:AL108)-SUM(AL99:AL100,AL106:AL107)</f>
        <v>10582</v>
      </c>
      <c r="AM109" s="72">
        <f t="shared" ref="AM109" ca="1" si="291">SUM(AM98:AM108)-SUM(AM99:AM100,AM106:AM107)</f>
        <v>11801</v>
      </c>
      <c r="AN109" s="72">
        <f t="shared" ref="AN109" ca="1" si="292">SUM(AN98:AN108)-SUM(AN99:AN100,AN106:AN107)</f>
        <v>11446</v>
      </c>
      <c r="AO109" s="72">
        <f t="shared" ref="AO109" ca="1" si="293">SUM(AO98:AO108)-SUM(AO99:AO100,AO106:AO107)</f>
        <v>10422.839295311505</v>
      </c>
      <c r="AP109" s="72">
        <f t="shared" ref="AP109" ca="1" si="294">SUM(AP98:AP108)-SUM(AP99:AP100,AP106:AP107)</f>
        <v>12733.091880101296</v>
      </c>
      <c r="AQ109" s="72">
        <f t="shared" ref="AQ109" ca="1" si="295">SUM(AQ98:AQ108)-SUM(AQ99:AQ100,AQ106:AQ107)</f>
        <v>13279.748857484428</v>
      </c>
      <c r="AR109" s="72">
        <f t="shared" ref="AR109" ca="1" si="296">SUM(AR98:AR108)-SUM(AR99:AR100,AR106:AR107)</f>
        <v>13294.804509720092</v>
      </c>
      <c r="AS109" s="72">
        <f t="shared" ref="AS109" ca="1" si="297">SUM(AS98:AS108)-SUM(AS99:AS100,AS106:AS107)</f>
        <v>13195.259968176799</v>
      </c>
      <c r="AT109" s="72">
        <f t="shared" ref="AT109" ca="1" si="298">SUM(AT98:AT108)-SUM(AT99:AT100,AT106:AT107)</f>
        <v>14473.104868509117</v>
      </c>
      <c r="AU109" s="72">
        <f t="shared" ref="AU109" ca="1" si="299">SUM(AU98:AU108)-SUM(AU99:AU100,AU106:AU107)</f>
        <v>14874.237291236092</v>
      </c>
      <c r="AV109" s="72">
        <f t="shared" ref="AV109" ca="1" si="300">SUM(AV98:AV108)-SUM(AV99:AV100,AV106:AV107)</f>
        <v>14406.911367274113</v>
      </c>
      <c r="AW109" s="72">
        <f t="shared" ref="AW109" ca="1" si="301">SUM(AW98:AW108)-SUM(AW99:AW100,AW106:AW107)</f>
        <v>15267.062491308589</v>
      </c>
      <c r="AX109" s="72">
        <f t="shared" ref="AX109" ca="1" si="302">SUM(AX98:AX108)-SUM(AX99:AX100,AX106:AX107)</f>
        <v>16707.115220906711</v>
      </c>
      <c r="AY109" s="72">
        <f t="shared" ref="AY109" ca="1" si="303">SUM(AY98:AY108)-SUM(AY99:AY100,AY106:AY107)</f>
        <v>16756.427816281317</v>
      </c>
      <c r="AZ109" s="72">
        <f t="shared" ref="AZ109" ca="1" si="304">SUM(AZ98:AZ108)-SUM(AZ99:AZ100,AZ106:AZ107)</f>
        <v>16245.681026152255</v>
      </c>
    </row>
    <row r="110" spans="1:60">
      <c r="B110" s="11"/>
      <c r="E110" s="10"/>
      <c r="F110" s="58"/>
      <c r="G110" s="200"/>
      <c r="H110" s="200"/>
      <c r="I110" s="200"/>
      <c r="J110" s="200"/>
      <c r="K110" s="200"/>
      <c r="L110" s="200"/>
      <c r="M110" s="200"/>
      <c r="N110" s="200"/>
      <c r="O110" s="58"/>
      <c r="P110" s="58"/>
      <c r="Q110" s="58"/>
      <c r="R110" s="58"/>
      <c r="S110" s="58"/>
      <c r="T110" s="212"/>
      <c r="U110" s="58"/>
      <c r="V110" s="58"/>
      <c r="W110" s="58"/>
      <c r="X110" s="212"/>
      <c r="Y110" s="58"/>
      <c r="Z110" s="58"/>
      <c r="AA110" s="58"/>
      <c r="AB110" s="212"/>
      <c r="AC110" s="58"/>
      <c r="AD110" s="58"/>
      <c r="AE110" s="58"/>
      <c r="AF110" s="212"/>
      <c r="AG110" s="58"/>
      <c r="AH110" s="58"/>
      <c r="AI110" s="58"/>
      <c r="AJ110" s="212"/>
      <c r="AK110" s="58"/>
      <c r="AL110" s="58"/>
      <c r="AM110" s="58"/>
      <c r="AN110" s="212"/>
      <c r="AO110" s="58"/>
      <c r="AP110" s="58"/>
      <c r="AQ110" s="58"/>
      <c r="AR110" s="212"/>
      <c r="AS110" s="58"/>
      <c r="AT110" s="58"/>
      <c r="AU110" s="58"/>
      <c r="AV110" s="212"/>
      <c r="AW110" s="58"/>
      <c r="AX110" s="58"/>
      <c r="AY110" s="58"/>
      <c r="AZ110" s="58"/>
    </row>
    <row r="111" spans="1:60" s="8" customFormat="1">
      <c r="A111" s="296" t="s">
        <v>703</v>
      </c>
      <c r="B111" s="68" t="s">
        <v>115</v>
      </c>
      <c r="C111" s="8" t="s">
        <v>88</v>
      </c>
      <c r="E111" s="81"/>
      <c r="F111" s="82">
        <f t="shared" ref="F111:K111" si="305">+F89-F109</f>
        <v>15857.481000000002</v>
      </c>
      <c r="G111" s="82">
        <f t="shared" si="305"/>
        <v>20472.084999999999</v>
      </c>
      <c r="H111" s="82">
        <f t="shared" si="305"/>
        <v>30166.867999999999</v>
      </c>
      <c r="I111" s="82">
        <f t="shared" si="305"/>
        <v>38923.699000000008</v>
      </c>
      <c r="J111" s="82">
        <f t="shared" si="305"/>
        <v>35270.419000000002</v>
      </c>
      <c r="K111" s="82">
        <f t="shared" ca="1" si="305"/>
        <v>41747.434999999998</v>
      </c>
      <c r="L111" s="169">
        <f ca="1">L94-L109</f>
        <v>49663.626728294606</v>
      </c>
      <c r="M111" s="169">
        <f ca="1">M94-M109</f>
        <v>64447.255603219601</v>
      </c>
      <c r="N111" s="169">
        <f ca="1">N94-N109</f>
        <v>81090.297811549812</v>
      </c>
      <c r="O111" s="58"/>
      <c r="P111" s="58"/>
      <c r="Q111" s="82">
        <f t="shared" ref="Q111:AN111" si="306">+Q89-Q109</f>
        <v>3013.1769999999997</v>
      </c>
      <c r="R111" s="82">
        <f t="shared" si="306"/>
        <v>3948.0639999999999</v>
      </c>
      <c r="S111" s="82">
        <f t="shared" si="306"/>
        <v>4554.2080000000005</v>
      </c>
      <c r="T111" s="219">
        <f t="shared" si="306"/>
        <v>4342.0329999999994</v>
      </c>
      <c r="U111" s="82">
        <f t="shared" si="306"/>
        <v>3869.2740000000003</v>
      </c>
      <c r="V111" s="82">
        <f t="shared" si="306"/>
        <v>4923.6970000000001</v>
      </c>
      <c r="W111" s="82">
        <f t="shared" si="306"/>
        <v>5812.6889999999985</v>
      </c>
      <c r="X111" s="219">
        <f t="shared" si="306"/>
        <v>5866.4239999999982</v>
      </c>
      <c r="Y111" s="82">
        <f t="shared" si="306"/>
        <v>5659.2119999999995</v>
      </c>
      <c r="Z111" s="82">
        <f t="shared" si="306"/>
        <v>7444.3600000000015</v>
      </c>
      <c r="AA111" s="82">
        <f t="shared" si="306"/>
        <v>8451.4189999999981</v>
      </c>
      <c r="AB111" s="219">
        <f t="shared" si="306"/>
        <v>8611.8779999999988</v>
      </c>
      <c r="AC111" s="82">
        <f t="shared" si="306"/>
        <v>7398.5129999999999</v>
      </c>
      <c r="AD111" s="82">
        <f t="shared" si="306"/>
        <v>10072.217999999997</v>
      </c>
      <c r="AE111" s="82">
        <f t="shared" si="306"/>
        <v>10903.500999999998</v>
      </c>
      <c r="AF111" s="219">
        <f t="shared" si="306"/>
        <v>10549.467000000001</v>
      </c>
      <c r="AG111" s="82">
        <f t="shared" si="306"/>
        <v>8257.387999999999</v>
      </c>
      <c r="AH111" s="82">
        <f t="shared" si="306"/>
        <v>9525.8270000000011</v>
      </c>
      <c r="AI111" s="82">
        <f t="shared" ca="1" si="306"/>
        <v>8996.3890000000029</v>
      </c>
      <c r="AJ111" s="219">
        <f t="shared" ca="1" si="306"/>
        <v>8490.8150000000005</v>
      </c>
      <c r="AK111" s="82">
        <f t="shared" ca="1" si="306"/>
        <v>7657.5289999999986</v>
      </c>
      <c r="AL111" s="82">
        <f t="shared" ca="1" si="306"/>
        <v>10292</v>
      </c>
      <c r="AM111" s="82">
        <f t="shared" ca="1" si="306"/>
        <v>11688</v>
      </c>
      <c r="AN111" s="219">
        <f t="shared" ca="1" si="306"/>
        <v>12110</v>
      </c>
      <c r="AO111" s="169">
        <f ca="1">AO94-AO109</f>
        <v>10246.057766554799</v>
      </c>
      <c r="AP111" s="169">
        <f t="shared" ref="AP111:AV111" ca="1" si="307">AP94-AP109</f>
        <v>12009.886880900962</v>
      </c>
      <c r="AQ111" s="169">
        <f t="shared" ca="1" si="307"/>
        <v>13742.236028388605</v>
      </c>
      <c r="AR111" s="244">
        <f t="shared" ca="1" si="307"/>
        <v>13665.446052450232</v>
      </c>
      <c r="AS111" s="169">
        <f t="shared" ca="1" si="307"/>
        <v>12990.170410218676</v>
      </c>
      <c r="AT111" s="169">
        <f t="shared" ca="1" si="307"/>
        <v>15725.222029337756</v>
      </c>
      <c r="AU111" s="169">
        <f t="shared" ca="1" si="307"/>
        <v>18180.53357251245</v>
      </c>
      <c r="AV111" s="244">
        <f t="shared" ca="1" si="307"/>
        <v>17551.32959115073</v>
      </c>
      <c r="AW111" s="169">
        <f t="shared" ref="AW111:AZ111" ca="1" si="308">AW94-AW109</f>
        <v>16529.330207270068</v>
      </c>
      <c r="AX111" s="169">
        <f t="shared" ca="1" si="308"/>
        <v>19352.531641620571</v>
      </c>
      <c r="AY111" s="169">
        <f t="shared" ca="1" si="308"/>
        <v>22471.214703077287</v>
      </c>
      <c r="AZ111" s="169">
        <f t="shared" ca="1" si="308"/>
        <v>22737.221259581871</v>
      </c>
      <c r="BC111"/>
      <c r="BD111"/>
      <c r="BE111"/>
      <c r="BF111"/>
      <c r="BG111"/>
      <c r="BH111"/>
    </row>
    <row r="112" spans="1:60">
      <c r="A112" s="296" t="s">
        <v>719</v>
      </c>
      <c r="B112" s="3" t="s">
        <v>111</v>
      </c>
      <c r="E112" s="10"/>
      <c r="F112" s="4">
        <f t="shared" ref="F112:M112" si="309">F111/F$94</f>
        <v>0.75307807071612531</v>
      </c>
      <c r="G112" s="4">
        <f t="shared" si="309"/>
        <v>0.67889376146584191</v>
      </c>
      <c r="H112" s="4">
        <f t="shared" si="309"/>
        <v>0.65147640863988721</v>
      </c>
      <c r="I112" s="4">
        <f t="shared" si="309"/>
        <v>0.62114579738538334</v>
      </c>
      <c r="J112" s="4">
        <f t="shared" si="309"/>
        <v>0.52959700659421138</v>
      </c>
      <c r="K112" s="4">
        <f t="shared" ca="1" si="309"/>
        <v>0.52145128169973065</v>
      </c>
      <c r="L112" s="4">
        <f t="shared" ca="1" si="309"/>
        <v>0.49966367316198201</v>
      </c>
      <c r="M112" s="4">
        <f t="shared" ca="1" si="309"/>
        <v>0.53088114355805094</v>
      </c>
      <c r="N112" s="4">
        <f t="shared" ref="N112" ca="1" si="310">N111/N$94</f>
        <v>0.55515981402187797</v>
      </c>
      <c r="O112" s="58"/>
      <c r="P112" s="58"/>
      <c r="Q112" s="4">
        <f t="shared" ref="Q112:AV112" si="311">Q111/Q$94</f>
        <v>0.74862316188057842</v>
      </c>
      <c r="R112" s="4">
        <f t="shared" si="311"/>
        <v>0.76651271178364078</v>
      </c>
      <c r="S112" s="4">
        <f t="shared" si="311"/>
        <v>0.77181074841873143</v>
      </c>
      <c r="T112" s="215">
        <f t="shared" si="311"/>
        <v>0.72602368186576693</v>
      </c>
      <c r="U112" s="4">
        <f t="shared" si="311"/>
        <v>0.68673554619068033</v>
      </c>
      <c r="V112" s="4">
        <f t="shared" si="311"/>
        <v>0.6898437166282978</v>
      </c>
      <c r="W112" s="4">
        <f t="shared" si="311"/>
        <v>0.69250409022685133</v>
      </c>
      <c r="X112" s="215">
        <f t="shared" si="311"/>
        <v>0.65257681167409898</v>
      </c>
      <c r="Y112" s="4">
        <f t="shared" si="311"/>
        <v>0.6312741683614953</v>
      </c>
      <c r="Z112" s="4">
        <f t="shared" si="311"/>
        <v>0.65794410212626819</v>
      </c>
      <c r="AA112" s="4">
        <f t="shared" si="311"/>
        <v>0.66219940392465504</v>
      </c>
      <c r="AB112" s="215">
        <f t="shared" si="311"/>
        <v>0.64929561778986433</v>
      </c>
      <c r="AC112" s="4">
        <f t="shared" si="311"/>
        <v>0.6159249001292495</v>
      </c>
      <c r="AD112" s="4">
        <f t="shared" si="311"/>
        <v>0.64371458543322979</v>
      </c>
      <c r="AE112" s="4">
        <f t="shared" si="311"/>
        <v>0.62831246056807366</v>
      </c>
      <c r="AF112" s="215">
        <f t="shared" si="311"/>
        <v>0.59764725142076269</v>
      </c>
      <c r="AG112" s="4">
        <f t="shared" si="311"/>
        <v>0.55290245200031052</v>
      </c>
      <c r="AH112" s="4">
        <f t="shared" si="311"/>
        <v>0.5525138478470123</v>
      </c>
      <c r="AI112" s="4">
        <f t="shared" ca="1" si="311"/>
        <v>0.5221168533053191</v>
      </c>
      <c r="AJ112" s="215">
        <f t="shared" ca="1" si="311"/>
        <v>0.49386762992624178</v>
      </c>
      <c r="AK112" s="4">
        <f t="shared" ca="1" si="311"/>
        <v>0.4802493901210188</v>
      </c>
      <c r="AL112" s="4">
        <f t="shared" ca="1" si="311"/>
        <v>0.52230249941943829</v>
      </c>
      <c r="AM112" s="4">
        <f t="shared" ca="1" si="311"/>
        <v>0.52711294359927574</v>
      </c>
      <c r="AN112" s="215">
        <f t="shared" ca="1" si="311"/>
        <v>0.54459117976347737</v>
      </c>
      <c r="AO112" s="4">
        <f t="shared" ca="1" si="311"/>
        <v>0.49572348906118302</v>
      </c>
      <c r="AP112" s="4">
        <f t="shared" ca="1" si="311"/>
        <v>0.48538565210385687</v>
      </c>
      <c r="AQ112" s="4">
        <f t="shared" ca="1" si="311"/>
        <v>0.50855760916264081</v>
      </c>
      <c r="AR112" s="215">
        <f t="shared" ca="1" si="311"/>
        <v>0.50687385196727752</v>
      </c>
      <c r="AS112" s="4">
        <f t="shared" ca="1" si="311"/>
        <v>0.49608389942432768</v>
      </c>
      <c r="AT112" s="4">
        <f t="shared" ca="1" si="311"/>
        <v>0.52073156511392549</v>
      </c>
      <c r="AU112" s="4">
        <f t="shared" ca="1" si="311"/>
        <v>0.55001239147754011</v>
      </c>
      <c r="AV112" s="215">
        <f t="shared" ca="1" si="311"/>
        <v>0.5491957337071095</v>
      </c>
      <c r="AW112" s="4">
        <f t="shared" ref="AW112:AZ112" ca="1" si="312">AW111/AW$94</f>
        <v>0.51984922830598179</v>
      </c>
      <c r="AX112" s="4">
        <f t="shared" ca="1" si="312"/>
        <v>0.53668111935204421</v>
      </c>
      <c r="AY112" s="4">
        <f t="shared" ca="1" si="312"/>
        <v>0.57284132463448134</v>
      </c>
      <c r="AZ112" s="4">
        <f t="shared" ca="1" si="312"/>
        <v>0.58326137681910373</v>
      </c>
    </row>
    <row r="113" spans="1:60">
      <c r="B113" s="3" t="s">
        <v>110</v>
      </c>
      <c r="E113" s="10"/>
      <c r="F113" s="4">
        <f t="shared" ref="F113:M113" si="313">F111/F$89</f>
        <v>0.71090569875602228</v>
      </c>
      <c r="G113" s="4">
        <f t="shared" si="313"/>
        <v>0.64087571082375472</v>
      </c>
      <c r="H113" s="4">
        <f t="shared" si="313"/>
        <v>0.61499372975605349</v>
      </c>
      <c r="I113" s="4">
        <f t="shared" si="313"/>
        <v>0.58636163273180186</v>
      </c>
      <c r="J113" s="4">
        <f t="shared" si="313"/>
        <v>0.49993957422493562</v>
      </c>
      <c r="K113" s="4">
        <f t="shared" ca="1" si="313"/>
        <v>0.49224988941383702</v>
      </c>
      <c r="L113" s="4">
        <f t="shared" ca="1" si="313"/>
        <v>0.47168009544237266</v>
      </c>
      <c r="M113" s="4">
        <f t="shared" ca="1" si="313"/>
        <v>0.50114928759462551</v>
      </c>
      <c r="N113" s="4">
        <f t="shared" ref="N113" ca="1" si="314">N111/N$89</f>
        <v>0.52406829070608529</v>
      </c>
      <c r="O113" s="58"/>
      <c r="P113" s="58"/>
      <c r="Q113" s="4">
        <f t="shared" ref="Q113:AV113" si="315">Q111/Q$89</f>
        <v>0.70670026481526604</v>
      </c>
      <c r="R113" s="4">
        <f t="shared" si="315"/>
        <v>0.72358799992375689</v>
      </c>
      <c r="S113" s="4">
        <f t="shared" si="315"/>
        <v>0.72858934650728246</v>
      </c>
      <c r="T113" s="215">
        <f t="shared" si="315"/>
        <v>0.68536635568128401</v>
      </c>
      <c r="U113" s="4">
        <f t="shared" si="315"/>
        <v>0.64827835560400215</v>
      </c>
      <c r="V113" s="4">
        <f t="shared" si="315"/>
        <v>0.65121246849711312</v>
      </c>
      <c r="W113" s="4">
        <f t="shared" si="315"/>
        <v>0.6537238611741476</v>
      </c>
      <c r="X113" s="215">
        <f t="shared" si="315"/>
        <v>0.61603251022034944</v>
      </c>
      <c r="Y113" s="4">
        <f t="shared" si="315"/>
        <v>0.5959228149332515</v>
      </c>
      <c r="Z113" s="4">
        <f t="shared" si="315"/>
        <v>0.62109923240719722</v>
      </c>
      <c r="AA113" s="4">
        <f t="shared" si="315"/>
        <v>0.62511623730487431</v>
      </c>
      <c r="AB113" s="215">
        <f t="shared" si="315"/>
        <v>0.61293506319363189</v>
      </c>
      <c r="AC113" s="4">
        <f t="shared" si="315"/>
        <v>0.58143310572201157</v>
      </c>
      <c r="AD113" s="4">
        <f t="shared" si="315"/>
        <v>0.60766656864896895</v>
      </c>
      <c r="AE113" s="4">
        <f t="shared" si="315"/>
        <v>0.59312696277626142</v>
      </c>
      <c r="AF113" s="215">
        <f t="shared" si="315"/>
        <v>0.56417900534120002</v>
      </c>
      <c r="AG113" s="4">
        <f t="shared" si="315"/>
        <v>0.52193991468829315</v>
      </c>
      <c r="AH113" s="4">
        <f t="shared" si="315"/>
        <v>0.52157307236757966</v>
      </c>
      <c r="AI113" s="4">
        <f t="shared" ca="1" si="315"/>
        <v>0.49287830952022116</v>
      </c>
      <c r="AJ113" s="215">
        <f t="shared" ca="1" si="315"/>
        <v>0.46621104265037222</v>
      </c>
      <c r="AK113" s="4">
        <f t="shared" ca="1" si="315"/>
        <v>0.45335542427424175</v>
      </c>
      <c r="AL113" s="4">
        <f t="shared" ca="1" si="315"/>
        <v>0.49305355945194979</v>
      </c>
      <c r="AM113" s="4">
        <f t="shared" ca="1" si="315"/>
        <v>0.49759461875771638</v>
      </c>
      <c r="AN113" s="215">
        <f t="shared" ca="1" si="315"/>
        <v>0.51409407369672266</v>
      </c>
      <c r="AO113" s="4">
        <f t="shared" ca="1" si="315"/>
        <v>0.46796056583930445</v>
      </c>
      <c r="AP113" s="4">
        <f t="shared" ca="1" si="315"/>
        <v>0.45820170394548304</v>
      </c>
      <c r="AQ113" s="4">
        <f t="shared" ca="1" si="315"/>
        <v>0.48007594538442733</v>
      </c>
      <c r="AR113" s="215">
        <f t="shared" ca="1" si="315"/>
        <v>0.47848647196927435</v>
      </c>
      <c r="AS113" s="4">
        <f t="shared" ca="1" si="315"/>
        <v>0.46830083706371978</v>
      </c>
      <c r="AT113" s="4">
        <f t="shared" ca="1" si="315"/>
        <v>0.49156812235001324</v>
      </c>
      <c r="AU113" s="4">
        <f t="shared" ca="1" si="315"/>
        <v>0.5192090956140335</v>
      </c>
      <c r="AV113" s="215">
        <f t="shared" ca="1" si="315"/>
        <v>0.51843819985771089</v>
      </c>
      <c r="AW113" s="4">
        <f t="shared" ref="AW113:AZ113" ca="1" si="316">AW111/AW$89</f>
        <v>0.49073525401208856</v>
      </c>
      <c r="AX113" s="4">
        <f t="shared" ca="1" si="316"/>
        <v>0.50662448319156506</v>
      </c>
      <c r="AY113" s="4">
        <f t="shared" ca="1" si="316"/>
        <v>0.5407595533595736</v>
      </c>
      <c r="AZ113" s="4">
        <f t="shared" ca="1" si="316"/>
        <v>0.55059604942108697</v>
      </c>
    </row>
    <row r="114" spans="1:60">
      <c r="B114" s="3"/>
      <c r="E114" s="10"/>
      <c r="F114" s="10"/>
      <c r="J114" s="10"/>
      <c r="K114" s="10"/>
      <c r="L114" s="10"/>
      <c r="M114" s="165"/>
      <c r="N114" s="10"/>
      <c r="O114" s="58"/>
      <c r="P114" s="58"/>
      <c r="AM114" s="70"/>
      <c r="AN114" s="236"/>
      <c r="AO114" s="70"/>
      <c r="AP114" s="4"/>
      <c r="AQ114" s="4"/>
    </row>
    <row r="115" spans="1:60">
      <c r="B115" s="8" t="s">
        <v>126</v>
      </c>
      <c r="F115" s="10"/>
      <c r="O115" s="58"/>
      <c r="P115" s="58"/>
      <c r="AM115" s="70"/>
      <c r="AN115" s="236"/>
      <c r="AO115" s="70"/>
      <c r="AP115" s="70"/>
    </row>
    <row r="116" spans="1:60">
      <c r="A116" s="296" t="s">
        <v>705</v>
      </c>
      <c r="B116" s="3" t="s">
        <v>29</v>
      </c>
      <c r="C116" s="1" t="s">
        <v>88</v>
      </c>
      <c r="F116" s="58">
        <f t="shared" ref="F116:J117" si="317">F280-F$266*F285</f>
        <v>1801.456682249006</v>
      </c>
      <c r="G116" s="58">
        <f t="shared" si="317"/>
        <v>3884.9608590031221</v>
      </c>
      <c r="H116" s="58">
        <f t="shared" si="317"/>
        <v>7958.0100443839056</v>
      </c>
      <c r="I116" s="58">
        <f t="shared" si="317"/>
        <v>14090.358502869198</v>
      </c>
      <c r="J116" s="58">
        <f t="shared" si="317"/>
        <v>12059.696252504051</v>
      </c>
      <c r="K116" s="58">
        <f t="shared" ref="K116:N119" ca="1" si="318">SUM(OFFSET($P116,0,K$1,1,4))</f>
        <v>9314.1329398624857</v>
      </c>
      <c r="L116" s="58">
        <f t="shared" ca="1" si="318"/>
        <v>13301.705946399534</v>
      </c>
      <c r="M116" s="58">
        <f t="shared" ca="1" si="318"/>
        <v>16895.480583505196</v>
      </c>
      <c r="N116" s="58">
        <f t="shared" ca="1" si="318"/>
        <v>19010.045587189255</v>
      </c>
      <c r="O116" s="58"/>
      <c r="P116" s="58"/>
      <c r="Q116" s="58">
        <f t="shared" ref="Q116:AM116" si="319">Q280-Q$266*Q285</f>
        <v>348.66174873089273</v>
      </c>
      <c r="R116" s="58">
        <f t="shared" si="319"/>
        <v>416.38829844607284</v>
      </c>
      <c r="S116" s="58">
        <f t="shared" si="319"/>
        <v>442.30933869580639</v>
      </c>
      <c r="T116" s="212">
        <f t="shared" si="319"/>
        <v>594.42698679510795</v>
      </c>
      <c r="U116" s="58">
        <f t="shared" si="319"/>
        <v>628.46056493942001</v>
      </c>
      <c r="V116" s="58">
        <f t="shared" si="319"/>
        <v>796.73586442223848</v>
      </c>
      <c r="W116" s="58">
        <f t="shared" si="319"/>
        <v>1017.9247981728735</v>
      </c>
      <c r="X116" s="212">
        <f t="shared" si="319"/>
        <v>1441.5542405796052</v>
      </c>
      <c r="Y116" s="58">
        <f t="shared" si="319"/>
        <v>1548.3652626711707</v>
      </c>
      <c r="Z116" s="58">
        <f t="shared" si="319"/>
        <v>1536.8380156145217</v>
      </c>
      <c r="AA116" s="58">
        <f t="shared" si="319"/>
        <v>2051.0925391781593</v>
      </c>
      <c r="AB116" s="212">
        <f t="shared" si="319"/>
        <v>2821.9184930527963</v>
      </c>
      <c r="AC116" s="58">
        <f t="shared" si="319"/>
        <v>2350.314503367355</v>
      </c>
      <c r="AD116" s="58">
        <f t="shared" si="319"/>
        <v>3134.6652520003031</v>
      </c>
      <c r="AE116" s="58">
        <f t="shared" si="319"/>
        <v>4882.0921368419276</v>
      </c>
      <c r="AF116" s="212">
        <f t="shared" si="319"/>
        <v>3724.7672639704861</v>
      </c>
      <c r="AG116" s="58">
        <f t="shared" si="319"/>
        <v>3263.4286798483204</v>
      </c>
      <c r="AH116" s="58">
        <f t="shared" si="319"/>
        <v>3431.0821230002502</v>
      </c>
      <c r="AI116" s="58">
        <f t="shared" si="319"/>
        <v>2817.0635430010725</v>
      </c>
      <c r="AJ116" s="212">
        <f t="shared" si="319"/>
        <v>2549.4470188946802</v>
      </c>
      <c r="AK116" s="58">
        <f t="shared" ca="1" si="319"/>
        <v>2046.3083111034152</v>
      </c>
      <c r="AL116" s="58">
        <f t="shared" ca="1" si="319"/>
        <v>2006.9809570552147</v>
      </c>
      <c r="AM116" s="58">
        <f t="shared" ca="1" si="319"/>
        <v>2705.2812664175121</v>
      </c>
      <c r="AN116" s="212">
        <f t="shared" ref="AN116" ca="1" si="320">AN280-AN$266*AN285</f>
        <v>2555.5624052863436</v>
      </c>
      <c r="AO116" s="58">
        <f ca="1">Operating_Model!AO281</f>
        <v>3021.3921181693299</v>
      </c>
      <c r="AP116" s="58">
        <f ca="1">Operating_Model!AP281</f>
        <v>3122.0579415927091</v>
      </c>
      <c r="AQ116" s="58">
        <f ca="1">Operating_Model!AQ281</f>
        <v>3442.3128086244014</v>
      </c>
      <c r="AR116" s="212">
        <f ca="1">Operating_Model!AR281</f>
        <v>3715.9430780130933</v>
      </c>
      <c r="AS116" s="58">
        <f ca="1">Operating_Model!AS281</f>
        <v>3525.8690380731109</v>
      </c>
      <c r="AT116" s="58">
        <f ca="1">Operating_Model!AT281</f>
        <v>3926.8087262796962</v>
      </c>
      <c r="AU116" s="58">
        <f ca="1">Operating_Model!AU281</f>
        <v>4758.245546142989</v>
      </c>
      <c r="AV116" s="212">
        <f ca="1">Operating_Model!AV281</f>
        <v>4684.5572730093972</v>
      </c>
      <c r="AW116" s="58">
        <f ca="1">Operating_Model!AW281</f>
        <v>4094.3194866832614</v>
      </c>
      <c r="AX116" s="58">
        <f ca="1">Operating_Model!AX281</f>
        <v>4275.0183133034161</v>
      </c>
      <c r="AY116" s="58">
        <f ca="1">Operating_Model!AY281</f>
        <v>5448.8858078160183</v>
      </c>
      <c r="AZ116" s="58">
        <f ca="1">Operating_Model!AZ281</f>
        <v>5191.8219793865592</v>
      </c>
    </row>
    <row r="117" spans="1:60">
      <c r="A117" s="296" t="s">
        <v>706</v>
      </c>
      <c r="B117" s="3" t="s">
        <v>34</v>
      </c>
      <c r="C117" s="1" t="s">
        <v>88</v>
      </c>
      <c r="F117" s="58">
        <f t="shared" si="317"/>
        <v>645.36831775099381</v>
      </c>
      <c r="G117" s="58">
        <f t="shared" si="317"/>
        <v>1123.8681409968779</v>
      </c>
      <c r="H117" s="58">
        <f t="shared" si="317"/>
        <v>1998.0799556160953</v>
      </c>
      <c r="I117" s="58">
        <f t="shared" si="317"/>
        <v>2499.2644971308032</v>
      </c>
      <c r="J117" s="58">
        <f t="shared" si="317"/>
        <v>2581.65574749595</v>
      </c>
      <c r="K117" s="58">
        <f t="shared" ca="1" si="318"/>
        <v>2841.5700601375142</v>
      </c>
      <c r="L117" s="58">
        <f t="shared" ca="1" si="318"/>
        <v>3303.2206859660628</v>
      </c>
      <c r="M117" s="58">
        <f t="shared" ca="1" si="318"/>
        <v>3809.9516182114307</v>
      </c>
      <c r="N117" s="58">
        <f t="shared" ca="1" si="318"/>
        <v>4528.1996755620657</v>
      </c>
      <c r="O117" s="58"/>
      <c r="P117" s="58"/>
      <c r="Q117" s="58">
        <f t="shared" ref="Q117:AM117" si="321">Q281-Q$266*Q286</f>
        <v>115.89325126910724</v>
      </c>
      <c r="R117" s="58">
        <f t="shared" si="321"/>
        <v>153.43770155392716</v>
      </c>
      <c r="S117" s="58">
        <f t="shared" si="321"/>
        <v>182.18466130419361</v>
      </c>
      <c r="T117" s="212">
        <f t="shared" si="321"/>
        <v>193.52301320489207</v>
      </c>
      <c r="U117" s="58">
        <f t="shared" si="321"/>
        <v>190.10143506058</v>
      </c>
      <c r="V117" s="58">
        <f t="shared" si="321"/>
        <v>259.1951355777615</v>
      </c>
      <c r="W117" s="58">
        <f t="shared" si="321"/>
        <v>317.30720182712639</v>
      </c>
      <c r="X117" s="212">
        <f t="shared" si="321"/>
        <v>357.55075942039474</v>
      </c>
      <c r="Y117" s="58">
        <f t="shared" si="321"/>
        <v>383.57773732882936</v>
      </c>
      <c r="Z117" s="58">
        <f t="shared" si="321"/>
        <v>515.0059843854782</v>
      </c>
      <c r="AA117" s="58">
        <f t="shared" si="321"/>
        <v>546.23546082184055</v>
      </c>
      <c r="AB117" s="212">
        <f t="shared" si="321"/>
        <v>553.05750694720382</v>
      </c>
      <c r="AC117" s="58">
        <f t="shared" si="321"/>
        <v>488.69749663264531</v>
      </c>
      <c r="AD117" s="58">
        <f t="shared" si="321"/>
        <v>624.7607479996966</v>
      </c>
      <c r="AE117" s="58">
        <f t="shared" si="321"/>
        <v>681.63386315807315</v>
      </c>
      <c r="AF117" s="212">
        <f t="shared" si="321"/>
        <v>702.69273602951398</v>
      </c>
      <c r="AG117" s="58">
        <f t="shared" si="321"/>
        <v>577.47932015167976</v>
      </c>
      <c r="AH117" s="58">
        <f t="shared" si="321"/>
        <v>669.56387699974891</v>
      </c>
      <c r="AI117" s="58">
        <f t="shared" si="321"/>
        <v>662.27545699892733</v>
      </c>
      <c r="AJ117" s="212">
        <f t="shared" si="321"/>
        <v>671.01198110531971</v>
      </c>
      <c r="AK117" s="58">
        <f t="shared" ca="1" si="321"/>
        <v>583.39468889658463</v>
      </c>
      <c r="AL117" s="58">
        <f t="shared" ca="1" si="321"/>
        <v>691.01904294478527</v>
      </c>
      <c r="AM117" s="58">
        <f t="shared" ca="1" si="321"/>
        <v>788.71873358248797</v>
      </c>
      <c r="AN117" s="212">
        <f t="shared" ref="AN117" ca="1" si="322">AN281-AN$266*AN286</f>
        <v>778.43759471365638</v>
      </c>
      <c r="AO117" s="58">
        <f ca="1">Operating_Model!AO283+'BIDU_BS + CFS'!AO225</f>
        <v>701.66785196056003</v>
      </c>
      <c r="AP117" s="58">
        <f ca="1">Operating_Model!AP283+'BIDU_BS + CFS'!AP225</f>
        <v>822.18631145750635</v>
      </c>
      <c r="AQ117" s="58">
        <f ca="1">Operating_Model!AQ283+'BIDU_BS + CFS'!AQ225</f>
        <v>888.10042404203261</v>
      </c>
      <c r="AR117" s="212">
        <f ca="1">Operating_Model!AR283+'BIDU_BS + CFS'!AR225</f>
        <v>891.26609850596355</v>
      </c>
      <c r="AS117" s="58">
        <f ca="1">Operating_Model!AS283+'BIDU_BS + CFS'!AS225</f>
        <v>832.62094710864903</v>
      </c>
      <c r="AT117" s="58">
        <f ca="1">Operating_Model!AT283+'BIDU_BS + CFS'!AT225</f>
        <v>946.46735915172985</v>
      </c>
      <c r="AU117" s="58">
        <f ca="1">Operating_Model!AU283+'BIDU_BS + CFS'!AU225</f>
        <v>1026.2386340322093</v>
      </c>
      <c r="AV117" s="212">
        <f ca="1">Operating_Model!AV283+'BIDU_BS + CFS'!AV225</f>
        <v>1004.6246779188426</v>
      </c>
      <c r="AW117" s="58">
        <f ca="1">Operating_Model!AW283+'BIDU_BS + CFS'!AW225</f>
        <v>996.56977553717923</v>
      </c>
      <c r="AX117" s="58">
        <f ca="1">Operating_Model!AX283+'BIDU_BS + CFS'!AX225</f>
        <v>1116.3625294267063</v>
      </c>
      <c r="AY117" s="58">
        <f ca="1">Operating_Model!AY283+'BIDU_BS + CFS'!AY225</f>
        <v>1205.9771635891586</v>
      </c>
      <c r="AZ117" s="58">
        <f ca="1">Operating_Model!AZ283+'BIDU_BS + CFS'!AZ225</f>
        <v>1209.2902070090211</v>
      </c>
    </row>
    <row r="118" spans="1:60">
      <c r="A118" s="296" t="s">
        <v>707</v>
      </c>
      <c r="B118" s="3" t="s">
        <v>33</v>
      </c>
      <c r="C118" s="1" t="s">
        <v>88</v>
      </c>
      <c r="F118" s="58">
        <f>+F292-F267</f>
        <v>2157.1329999999998</v>
      </c>
      <c r="G118" s="58">
        <f>+G292-G267</f>
        <v>3780.7850000000003</v>
      </c>
      <c r="H118" s="58">
        <f>+H292-H267</f>
        <v>6478.8850000000002</v>
      </c>
      <c r="I118" s="58">
        <f>+I292-I267</f>
        <v>9325.1740000000009</v>
      </c>
      <c r="J118" s="58">
        <f>+J292-J267</f>
        <v>8923.353000000001</v>
      </c>
      <c r="K118" s="58">
        <f t="shared" ca="1" si="318"/>
        <v>10840.72</v>
      </c>
      <c r="L118" s="58">
        <f t="shared" ca="1" si="318"/>
        <v>12820.271561826219</v>
      </c>
      <c r="M118" s="58">
        <f t="shared" ca="1" si="318"/>
        <v>15485.821208605248</v>
      </c>
      <c r="N118" s="58">
        <f t="shared" ca="1" si="318"/>
        <v>18082.178247759613</v>
      </c>
      <c r="O118" s="58"/>
      <c r="P118" s="58"/>
      <c r="Q118" s="58">
        <f t="shared" ref="Q118:AM118" si="323">+Q292-Q267</f>
        <v>422.84199999999998</v>
      </c>
      <c r="R118" s="58">
        <f t="shared" si="323"/>
        <v>511.97799999999995</v>
      </c>
      <c r="S118" s="58">
        <f t="shared" si="323"/>
        <v>578.51800000000003</v>
      </c>
      <c r="T118" s="212">
        <f t="shared" si="323"/>
        <v>643.79700000000003</v>
      </c>
      <c r="U118" s="58">
        <f t="shared" si="323"/>
        <v>733.68000000000006</v>
      </c>
      <c r="V118" s="58">
        <f t="shared" si="323"/>
        <v>884.65899999999999</v>
      </c>
      <c r="W118" s="58">
        <f t="shared" si="323"/>
        <v>1002.929</v>
      </c>
      <c r="X118" s="212">
        <f t="shared" si="323"/>
        <v>1159.5160000000001</v>
      </c>
      <c r="Y118" s="58">
        <f t="shared" si="323"/>
        <v>1191.0320000000002</v>
      </c>
      <c r="Z118" s="58">
        <f t="shared" si="323"/>
        <v>1622.1559999999999</v>
      </c>
      <c r="AA118" s="58">
        <f t="shared" si="323"/>
        <v>1708.453</v>
      </c>
      <c r="AB118" s="212">
        <f t="shared" si="323"/>
        <v>1957.2449999999999</v>
      </c>
      <c r="AC118" s="58">
        <f t="shared" si="323"/>
        <v>2121.8240000000001</v>
      </c>
      <c r="AD118" s="58">
        <f t="shared" si="323"/>
        <v>2501.0889999999999</v>
      </c>
      <c r="AE118" s="58">
        <f t="shared" si="323"/>
        <v>2439.6109999999999</v>
      </c>
      <c r="AF118" s="212">
        <f t="shared" si="323"/>
        <v>2262.6489999999999</v>
      </c>
      <c r="AG118" s="58">
        <f t="shared" si="323"/>
        <v>1909.1019999999999</v>
      </c>
      <c r="AH118" s="58">
        <f t="shared" si="323"/>
        <v>2178.1860000000001</v>
      </c>
      <c r="AI118" s="58">
        <f t="shared" si="323"/>
        <v>2340.5279999999998</v>
      </c>
      <c r="AJ118" s="212">
        <f t="shared" si="323"/>
        <v>2495.5370000000003</v>
      </c>
      <c r="AK118" s="58">
        <f t="shared" si="323"/>
        <v>2427.7199999999998</v>
      </c>
      <c r="AL118" s="58">
        <f t="shared" si="323"/>
        <v>2636</v>
      </c>
      <c r="AM118" s="58">
        <f t="shared" si="323"/>
        <v>2706</v>
      </c>
      <c r="AN118" s="212">
        <f t="shared" ref="AN118" si="324">+AN292-AN267</f>
        <v>3071</v>
      </c>
      <c r="AO118" s="58">
        <f ca="1">Operating_Model!AO285</f>
        <v>2944.0820337390937</v>
      </c>
      <c r="AP118" s="58">
        <f ca="1">Operating_Model!AP285</f>
        <v>2993.8772763098714</v>
      </c>
      <c r="AQ118" s="58">
        <f ca="1">Operating_Model!AQ285</f>
        <v>3321.1618791534565</v>
      </c>
      <c r="AR118" s="212">
        <f ca="1">Operating_Model!AR285</f>
        <v>3561.150372623797</v>
      </c>
      <c r="AS118" s="58">
        <f ca="1">Operating_Model!AS285</f>
        <v>3635.0308686251751</v>
      </c>
      <c r="AT118" s="58">
        <f ca="1">Operating_Model!AT285</f>
        <v>3830.0964918247469</v>
      </c>
      <c r="AU118" s="58">
        <f ca="1">Operating_Model!AU285</f>
        <v>3937.6031706113599</v>
      </c>
      <c r="AV118" s="212">
        <f ca="1">Operating_Model!AV285</f>
        <v>4083.0906775439662</v>
      </c>
      <c r="AW118" s="58">
        <f ca="1">Operating_Model!AW285</f>
        <v>4284.1495430523437</v>
      </c>
      <c r="AX118" s="58">
        <f ca="1">Operating_Model!AX285</f>
        <v>4427.4144082419525</v>
      </c>
      <c r="AY118" s="58">
        <f ca="1">Operating_Model!AY285</f>
        <v>4532.3690107583034</v>
      </c>
      <c r="AZ118" s="58">
        <f ca="1">Operating_Model!AZ285</f>
        <v>4838.245285707012</v>
      </c>
    </row>
    <row r="119" spans="1:60">
      <c r="A119" s="296" t="s">
        <v>99</v>
      </c>
      <c r="B119" s="3" t="s">
        <v>99</v>
      </c>
      <c r="C119" s="1" t="s">
        <v>88</v>
      </c>
      <c r="F119" s="58">
        <f ca="1">SUM(OFFSET($P119,0,F$1,1,4))</f>
        <v>202.203</v>
      </c>
      <c r="G119" s="58">
        <f ca="1">SUM(OFFSET($P119,0,G$1,1,4))</f>
        <v>490.75100000000003</v>
      </c>
      <c r="H119" s="58">
        <f ca="1">SUM(OFFSET($P119,0,H$1,1,4))</f>
        <v>928.12799999999993</v>
      </c>
      <c r="I119" s="58">
        <f ca="1">SUM(OFFSET($P119,0,I$1,1,4))</f>
        <v>1337.348</v>
      </c>
      <c r="J119" s="58">
        <f ca="1">SUM(OFFSET($P119,0,J$1,1,4))</f>
        <v>1656.634</v>
      </c>
      <c r="K119" s="58">
        <f t="shared" ca="1" si="318"/>
        <v>3061.46</v>
      </c>
      <c r="L119" s="58">
        <f t="shared" ca="1" si="318"/>
        <v>4058.1740668693119</v>
      </c>
      <c r="M119" s="58">
        <f t="shared" ca="1" si="318"/>
        <v>4697.2694829855873</v>
      </c>
      <c r="N119" s="58">
        <f t="shared" ca="1" si="318"/>
        <v>5343.4898766869292</v>
      </c>
      <c r="O119" s="58"/>
      <c r="P119" s="58"/>
      <c r="Q119" s="58">
        <f t="shared" ref="Q119:AM119" si="325">+SUM(Q266:Q267)</f>
        <v>34.314</v>
      </c>
      <c r="R119" s="58">
        <f t="shared" si="325"/>
        <v>51.370999999999995</v>
      </c>
      <c r="S119" s="58">
        <f t="shared" si="325"/>
        <v>54.317000000000007</v>
      </c>
      <c r="T119" s="212">
        <f t="shared" si="325"/>
        <v>62.201000000000001</v>
      </c>
      <c r="U119" s="58">
        <f t="shared" si="325"/>
        <v>106.542</v>
      </c>
      <c r="V119" s="58">
        <f t="shared" si="325"/>
        <v>79.242000000000004</v>
      </c>
      <c r="W119" s="58">
        <f t="shared" si="325"/>
        <v>136.78700000000001</v>
      </c>
      <c r="X119" s="212">
        <f t="shared" si="325"/>
        <v>168.18</v>
      </c>
      <c r="Y119" s="58">
        <f t="shared" si="325"/>
        <v>162.565</v>
      </c>
      <c r="Z119" s="58">
        <f t="shared" si="325"/>
        <v>212.09</v>
      </c>
      <c r="AA119" s="58">
        <f t="shared" si="325"/>
        <v>225.81700000000001</v>
      </c>
      <c r="AB119" s="212">
        <f t="shared" si="325"/>
        <v>327.65600000000001</v>
      </c>
      <c r="AC119" s="58">
        <f t="shared" si="325"/>
        <v>282.36399999999998</v>
      </c>
      <c r="AD119" s="58">
        <f t="shared" si="325"/>
        <v>342.01</v>
      </c>
      <c r="AE119" s="58">
        <f t="shared" si="325"/>
        <v>388.49200000000002</v>
      </c>
      <c r="AF119" s="212">
        <f t="shared" si="325"/>
        <v>324.48199999999997</v>
      </c>
      <c r="AG119" s="58">
        <f t="shared" si="325"/>
        <v>296.64099999999996</v>
      </c>
      <c r="AH119" s="58">
        <f t="shared" si="325"/>
        <v>380.60900000000004</v>
      </c>
      <c r="AI119" s="58">
        <f t="shared" si="325"/>
        <v>389.69100000000003</v>
      </c>
      <c r="AJ119" s="212">
        <f t="shared" si="325"/>
        <v>589.69299999999998</v>
      </c>
      <c r="AK119" s="58">
        <f t="shared" si="325"/>
        <v>594.46</v>
      </c>
      <c r="AL119" s="58">
        <f t="shared" si="325"/>
        <v>748</v>
      </c>
      <c r="AM119" s="58">
        <f t="shared" si="325"/>
        <v>788</v>
      </c>
      <c r="AN119" s="212">
        <f t="shared" ref="AN119" si="326">+SUM(AN266:AN267)</f>
        <v>931</v>
      </c>
      <c r="AO119" s="58">
        <f ca="1">Operating_Model!AO144</f>
        <v>832.01496782270203</v>
      </c>
      <c r="AP119" s="58">
        <f ca="1">Operating_Model!AP144</f>
        <v>996.0148501074458</v>
      </c>
      <c r="AQ119" s="58">
        <f ca="1">Operating_Model!AQ144</f>
        <v>1087.7549148199964</v>
      </c>
      <c r="AR119" s="212">
        <f ca="1">Operating_Model!AR144</f>
        <v>1142.3893341191681</v>
      </c>
      <c r="AS119" s="58">
        <f ca="1">Operating_Model!AS144</f>
        <v>998.60196214904829</v>
      </c>
      <c r="AT119" s="58">
        <f ca="1">Operating_Model!AT144</f>
        <v>1151.6369091425156</v>
      </c>
      <c r="AU119" s="58">
        <f ca="1">Operating_Model!AU144</f>
        <v>1260.5696127807932</v>
      </c>
      <c r="AV119" s="212">
        <f ca="1">Operating_Model!AV144</f>
        <v>1286.4609989132302</v>
      </c>
      <c r="AW119" s="58">
        <f ca="1">Operating_Model!AW144</f>
        <v>1145.2147007016094</v>
      </c>
      <c r="AX119" s="58">
        <f ca="1">Operating_Model!AX144</f>
        <v>1298.7648596649076</v>
      </c>
      <c r="AY119" s="58">
        <f ca="1">Operating_Model!AY144</f>
        <v>1412.8669482730304</v>
      </c>
      <c r="AZ119" s="58">
        <f ca="1">Operating_Model!AZ144</f>
        <v>1486.6433680473817</v>
      </c>
    </row>
    <row r="120" spans="1:60">
      <c r="B120" s="74" t="s">
        <v>87</v>
      </c>
      <c r="C120" s="36" t="s">
        <v>88</v>
      </c>
      <c r="D120" s="36"/>
      <c r="E120" s="36"/>
      <c r="F120" s="72">
        <f t="shared" ref="F120:M120" ca="1" si="327">SUM(F116:F119)</f>
        <v>4806.1610000000001</v>
      </c>
      <c r="G120" s="72">
        <f t="shared" ca="1" si="327"/>
        <v>9280.3649999999998</v>
      </c>
      <c r="H120" s="72">
        <f t="shared" ca="1" si="327"/>
        <v>17363.102999999999</v>
      </c>
      <c r="I120" s="72">
        <f t="shared" ca="1" si="327"/>
        <v>27252.144999999997</v>
      </c>
      <c r="J120" s="72">
        <f t="shared" ca="1" si="327"/>
        <v>25221.339</v>
      </c>
      <c r="K120" s="72">
        <f t="shared" ca="1" si="327"/>
        <v>26057.882999999998</v>
      </c>
      <c r="L120" s="72">
        <f t="shared" ca="1" si="327"/>
        <v>33483.372261061129</v>
      </c>
      <c r="M120" s="72">
        <f t="shared" ca="1" si="327"/>
        <v>40888.522893307469</v>
      </c>
      <c r="N120" s="72">
        <f t="shared" ref="N120" ca="1" si="328">SUM(N116:N119)</f>
        <v>46963.913387197863</v>
      </c>
      <c r="O120" s="58"/>
      <c r="P120" s="58"/>
      <c r="Q120" s="72">
        <f t="shared" ref="Q120:AV120" si="329">SUM(Q116:Q119)</f>
        <v>921.7109999999999</v>
      </c>
      <c r="R120" s="72">
        <f t="shared" si="329"/>
        <v>1133.1750000000002</v>
      </c>
      <c r="S120" s="72">
        <f t="shared" si="329"/>
        <v>1257.3290000000002</v>
      </c>
      <c r="T120" s="220">
        <f t="shared" si="329"/>
        <v>1493.9480000000001</v>
      </c>
      <c r="U120" s="72">
        <f t="shared" si="329"/>
        <v>1658.7840000000001</v>
      </c>
      <c r="V120" s="72">
        <f t="shared" si="329"/>
        <v>2019.8320000000001</v>
      </c>
      <c r="W120" s="72">
        <f t="shared" si="329"/>
        <v>2474.9479999999999</v>
      </c>
      <c r="X120" s="220">
        <f t="shared" si="329"/>
        <v>3126.8009999999999</v>
      </c>
      <c r="Y120" s="72">
        <f t="shared" si="329"/>
        <v>3285.5400000000004</v>
      </c>
      <c r="Z120" s="72">
        <f t="shared" si="329"/>
        <v>3886.09</v>
      </c>
      <c r="AA120" s="72">
        <f t="shared" si="329"/>
        <v>4531.598</v>
      </c>
      <c r="AB120" s="220">
        <f t="shared" si="329"/>
        <v>5659.8769999999995</v>
      </c>
      <c r="AC120" s="72">
        <f t="shared" si="329"/>
        <v>5243.2</v>
      </c>
      <c r="AD120" s="72">
        <f t="shared" si="329"/>
        <v>6602.5249999999996</v>
      </c>
      <c r="AE120" s="72">
        <f t="shared" si="329"/>
        <v>8391.8289999999997</v>
      </c>
      <c r="AF120" s="220">
        <f t="shared" si="329"/>
        <v>7014.5910000000003</v>
      </c>
      <c r="AG120" s="72">
        <f t="shared" si="329"/>
        <v>6046.6509999999998</v>
      </c>
      <c r="AH120" s="72">
        <f t="shared" si="329"/>
        <v>6659.4409999999989</v>
      </c>
      <c r="AI120" s="72">
        <f t="shared" si="329"/>
        <v>6209.558</v>
      </c>
      <c r="AJ120" s="220">
        <f t="shared" si="329"/>
        <v>6305.6890000000003</v>
      </c>
      <c r="AK120" s="72">
        <f t="shared" ca="1" si="329"/>
        <v>5651.8829999999998</v>
      </c>
      <c r="AL120" s="72">
        <f t="shared" ca="1" si="329"/>
        <v>6082</v>
      </c>
      <c r="AM120" s="72">
        <f t="shared" ca="1" si="329"/>
        <v>6988</v>
      </c>
      <c r="AN120" s="220">
        <f t="shared" ref="AN120" ca="1" si="330">SUM(AN116:AN119)</f>
        <v>7336</v>
      </c>
      <c r="AO120" s="72">
        <f t="shared" ca="1" si="329"/>
        <v>7499.1569716916847</v>
      </c>
      <c r="AP120" s="72">
        <f t="shared" ca="1" si="329"/>
        <v>7934.1363794675326</v>
      </c>
      <c r="AQ120" s="72">
        <f t="shared" ca="1" si="329"/>
        <v>8739.3300266398874</v>
      </c>
      <c r="AR120" s="220">
        <f t="shared" ca="1" si="329"/>
        <v>9310.748883262022</v>
      </c>
      <c r="AS120" s="72">
        <f t="shared" ca="1" si="329"/>
        <v>8992.1228159559832</v>
      </c>
      <c r="AT120" s="72">
        <f t="shared" ca="1" si="329"/>
        <v>9855.0094863986869</v>
      </c>
      <c r="AU120" s="72">
        <f t="shared" ca="1" si="329"/>
        <v>10982.656963567351</v>
      </c>
      <c r="AV120" s="220">
        <f t="shared" ca="1" si="329"/>
        <v>11058.733627385434</v>
      </c>
      <c r="AW120" s="72">
        <f t="shared" ref="AW120:AZ120" ca="1" si="331">SUM(AW116:AW119)</f>
        <v>10520.253505974393</v>
      </c>
      <c r="AX120" s="72">
        <f t="shared" ca="1" si="331"/>
        <v>11117.560110636981</v>
      </c>
      <c r="AY120" s="72">
        <f t="shared" ca="1" si="331"/>
        <v>12600.098930436512</v>
      </c>
      <c r="AZ120" s="72">
        <f t="shared" ca="1" si="331"/>
        <v>12726.000840149974</v>
      </c>
    </row>
    <row r="121" spans="1:60">
      <c r="B121" s="11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21"/>
      <c r="U121" s="2"/>
      <c r="V121" s="2"/>
      <c r="W121" s="2"/>
      <c r="X121" s="221"/>
      <c r="Y121" s="2"/>
      <c r="Z121" s="2"/>
      <c r="AA121" s="2"/>
      <c r="AB121" s="221"/>
      <c r="AC121" s="2"/>
      <c r="AD121" s="2"/>
      <c r="AE121" s="2"/>
      <c r="AF121" s="221"/>
      <c r="AG121" s="2"/>
      <c r="AH121" s="2"/>
      <c r="AI121" s="2"/>
      <c r="AJ121" s="221"/>
      <c r="AK121" s="2"/>
      <c r="AL121" s="2"/>
      <c r="AM121" s="2"/>
      <c r="AN121" s="221"/>
      <c r="AO121" s="2"/>
      <c r="AP121" s="2"/>
      <c r="AQ121" s="2"/>
      <c r="AR121" s="221"/>
      <c r="AS121" s="2"/>
      <c r="AT121" s="2"/>
      <c r="AU121" s="2"/>
      <c r="AV121" s="221"/>
      <c r="AW121" s="2"/>
      <c r="AX121" s="2"/>
      <c r="AY121" s="2"/>
      <c r="AZ121" s="2"/>
    </row>
    <row r="122" spans="1:60" s="8" customFormat="1">
      <c r="A122" s="296" t="s">
        <v>708</v>
      </c>
      <c r="B122" s="68" t="s">
        <v>81</v>
      </c>
      <c r="C122" s="1" t="s">
        <v>88</v>
      </c>
      <c r="F122" s="82">
        <f t="shared" ref="F122:M122" ca="1" si="332">+F111-F120</f>
        <v>11051.320000000002</v>
      </c>
      <c r="G122" s="82">
        <f t="shared" ca="1" si="332"/>
        <v>11191.72</v>
      </c>
      <c r="H122" s="82">
        <f t="shared" ca="1" si="332"/>
        <v>12803.764999999999</v>
      </c>
      <c r="I122" s="82">
        <f t="shared" ca="1" si="332"/>
        <v>11671.554000000011</v>
      </c>
      <c r="J122" s="82">
        <f t="shared" ca="1" si="332"/>
        <v>10049.080000000002</v>
      </c>
      <c r="K122" s="82">
        <f t="shared" ca="1" si="332"/>
        <v>15689.552</v>
      </c>
      <c r="L122" s="82">
        <f t="shared" ca="1" si="332"/>
        <v>16180.254467233477</v>
      </c>
      <c r="M122" s="82">
        <f t="shared" ca="1" si="332"/>
        <v>23558.732709912132</v>
      </c>
      <c r="N122" s="82">
        <f t="shared" ref="N122" ca="1" si="333">+N111-N120</f>
        <v>34126.384424351949</v>
      </c>
      <c r="O122" s="82"/>
      <c r="P122" s="82"/>
      <c r="Q122" s="82">
        <f t="shared" ref="Q122:AV122" si="334">+Q111-Q120</f>
        <v>2091.4659999999999</v>
      </c>
      <c r="R122" s="82">
        <f t="shared" si="334"/>
        <v>2814.8889999999997</v>
      </c>
      <c r="S122" s="82">
        <f t="shared" si="334"/>
        <v>3296.8790000000004</v>
      </c>
      <c r="T122" s="219">
        <f t="shared" si="334"/>
        <v>2848.0849999999991</v>
      </c>
      <c r="U122" s="82">
        <f t="shared" si="334"/>
        <v>2210.4900000000002</v>
      </c>
      <c r="V122" s="82">
        <f t="shared" si="334"/>
        <v>2903.8649999999998</v>
      </c>
      <c r="W122" s="82">
        <f t="shared" si="334"/>
        <v>3337.7409999999986</v>
      </c>
      <c r="X122" s="219">
        <f t="shared" si="334"/>
        <v>2739.6229999999982</v>
      </c>
      <c r="Y122" s="82">
        <f t="shared" si="334"/>
        <v>2373.6719999999991</v>
      </c>
      <c r="Z122" s="82">
        <f t="shared" si="334"/>
        <v>3558.2700000000013</v>
      </c>
      <c r="AA122" s="82">
        <f t="shared" si="334"/>
        <v>3919.8209999999981</v>
      </c>
      <c r="AB122" s="219">
        <f t="shared" si="334"/>
        <v>2952.0009999999993</v>
      </c>
      <c r="AC122" s="82">
        <f t="shared" si="334"/>
        <v>2155.3130000000001</v>
      </c>
      <c r="AD122" s="82">
        <f t="shared" si="334"/>
        <v>3469.6929999999975</v>
      </c>
      <c r="AE122" s="82">
        <f t="shared" si="334"/>
        <v>2511.6719999999987</v>
      </c>
      <c r="AF122" s="219">
        <f t="shared" si="334"/>
        <v>3534.8760000000002</v>
      </c>
      <c r="AG122" s="82">
        <f t="shared" si="334"/>
        <v>2210.7369999999992</v>
      </c>
      <c r="AH122" s="82">
        <f t="shared" si="334"/>
        <v>2866.3860000000022</v>
      </c>
      <c r="AI122" s="82">
        <f t="shared" ca="1" si="334"/>
        <v>2786.8310000000029</v>
      </c>
      <c r="AJ122" s="219">
        <f t="shared" ca="1" si="334"/>
        <v>2185.1260000000002</v>
      </c>
      <c r="AK122" s="82">
        <f t="shared" ca="1" si="334"/>
        <v>2005.6459999999988</v>
      </c>
      <c r="AL122" s="82">
        <f t="shared" ca="1" si="334"/>
        <v>4210</v>
      </c>
      <c r="AM122" s="82">
        <f t="shared" ca="1" si="334"/>
        <v>4700</v>
      </c>
      <c r="AN122" s="219">
        <f t="shared" ca="1" si="334"/>
        <v>4774</v>
      </c>
      <c r="AO122" s="82">
        <f t="shared" ca="1" si="334"/>
        <v>2746.9007948631142</v>
      </c>
      <c r="AP122" s="82">
        <f t="shared" ca="1" si="334"/>
        <v>4075.7505014334292</v>
      </c>
      <c r="AQ122" s="82">
        <f t="shared" ca="1" si="334"/>
        <v>5002.9060017487172</v>
      </c>
      <c r="AR122" s="219">
        <f t="shared" ca="1" si="334"/>
        <v>4354.69716918821</v>
      </c>
      <c r="AS122" s="82">
        <f t="shared" ca="1" si="334"/>
        <v>3998.0475942626927</v>
      </c>
      <c r="AT122" s="82">
        <f t="shared" ca="1" si="334"/>
        <v>5870.212542939069</v>
      </c>
      <c r="AU122" s="82">
        <f t="shared" ca="1" si="334"/>
        <v>7197.8766089450983</v>
      </c>
      <c r="AV122" s="219">
        <f t="shared" ca="1" si="334"/>
        <v>6492.5959637652959</v>
      </c>
      <c r="AW122" s="82">
        <f t="shared" ref="AW122:AZ122" ca="1" si="335">+AW111-AW120</f>
        <v>6009.0767012956749</v>
      </c>
      <c r="AX122" s="82">
        <f t="shared" ca="1" si="335"/>
        <v>8234.9715309835901</v>
      </c>
      <c r="AY122" s="82">
        <f t="shared" ca="1" si="335"/>
        <v>9871.1157726407746</v>
      </c>
      <c r="AZ122" s="82">
        <f t="shared" ca="1" si="335"/>
        <v>10011.220419431897</v>
      </c>
      <c r="BC122"/>
      <c r="BD122"/>
      <c r="BE122"/>
      <c r="BF122"/>
      <c r="BG122"/>
      <c r="BH122"/>
    </row>
    <row r="123" spans="1:60">
      <c r="A123" s="296" t="s">
        <v>718</v>
      </c>
      <c r="B123" s="3" t="s">
        <v>111</v>
      </c>
      <c r="E123" s="10"/>
      <c r="F123" s="4">
        <f t="shared" ref="F123:M123" ca="1" si="336">F122/F$94</f>
        <v>0.52483157599031838</v>
      </c>
      <c r="G123" s="4">
        <f t="shared" ca="1" si="336"/>
        <v>0.37113898697042791</v>
      </c>
      <c r="H123" s="4">
        <f t="shared" ca="1" si="336"/>
        <v>0.27650702218304812</v>
      </c>
      <c r="I123" s="4">
        <f t="shared" ca="1" si="336"/>
        <v>0.18625508115394085</v>
      </c>
      <c r="J123" s="4">
        <f t="shared" ca="1" si="336"/>
        <v>0.15089025982440862</v>
      </c>
      <c r="K123" s="4">
        <f t="shared" ca="1" si="336"/>
        <v>0.19597220762651821</v>
      </c>
      <c r="L123" s="4">
        <f t="shared" ca="1" si="336"/>
        <v>0.16278886405183535</v>
      </c>
      <c r="M123" s="4">
        <f t="shared" ca="1" si="336"/>
        <v>0.19406391854476118</v>
      </c>
      <c r="N123" s="4">
        <f t="shared" ref="N123" ca="1" si="337">N122/N$94</f>
        <v>0.23363580775459789</v>
      </c>
      <c r="O123" s="58"/>
      <c r="P123" s="58"/>
      <c r="Q123" s="4">
        <f t="shared" ref="Q123:AV123" si="338">Q122/Q$94</f>
        <v>0.51962426697327302</v>
      </c>
      <c r="R123" s="4">
        <f t="shared" si="338"/>
        <v>0.54650790887886835</v>
      </c>
      <c r="S123" s="4">
        <f t="shared" si="338"/>
        <v>0.55872868530291075</v>
      </c>
      <c r="T123" s="215">
        <f t="shared" si="338"/>
        <v>0.47622327098081996</v>
      </c>
      <c r="U123" s="4">
        <f t="shared" si="338"/>
        <v>0.39232736102406729</v>
      </c>
      <c r="V123" s="4">
        <f t="shared" si="338"/>
        <v>0.40685140133254172</v>
      </c>
      <c r="W123" s="4">
        <f t="shared" si="338"/>
        <v>0.39764716375121056</v>
      </c>
      <c r="X123" s="215">
        <f t="shared" si="338"/>
        <v>0.30475370387974504</v>
      </c>
      <c r="Y123" s="4">
        <f t="shared" si="338"/>
        <v>0.26477852707461158</v>
      </c>
      <c r="Z123" s="4">
        <f t="shared" si="338"/>
        <v>0.31448543061765377</v>
      </c>
      <c r="AA123" s="4">
        <f t="shared" si="338"/>
        <v>0.30713222592458672</v>
      </c>
      <c r="AB123" s="215">
        <f t="shared" si="338"/>
        <v>0.22256716978704261</v>
      </c>
      <c r="AC123" s="4">
        <f t="shared" si="338"/>
        <v>0.17942942646343574</v>
      </c>
      <c r="AD123" s="4">
        <f t="shared" si="338"/>
        <v>0.22174778098285586</v>
      </c>
      <c r="AE123" s="4">
        <f t="shared" si="338"/>
        <v>0.1447346879190394</v>
      </c>
      <c r="AF123" s="215">
        <f t="shared" si="338"/>
        <v>0.20025740878787715</v>
      </c>
      <c r="AG123" s="4">
        <f t="shared" si="338"/>
        <v>0.14802767025454175</v>
      </c>
      <c r="AH123" s="4">
        <f t="shared" si="338"/>
        <v>0.16625516695556272</v>
      </c>
      <c r="AI123" s="4">
        <f t="shared" ca="1" si="338"/>
        <v>0.16173727396777937</v>
      </c>
      <c r="AJ123" s="215">
        <f t="shared" ca="1" si="338"/>
        <v>0.1270976930612914</v>
      </c>
      <c r="AK123" s="4">
        <f t="shared" ca="1" si="338"/>
        <v>0.12578604250779338</v>
      </c>
      <c r="AL123" s="4">
        <f t="shared" ca="1" si="338"/>
        <v>0.21365075034549508</v>
      </c>
      <c r="AM123" s="4">
        <f t="shared" ca="1" si="338"/>
        <v>0.21196362379505443</v>
      </c>
      <c r="AN123" s="215">
        <f t="shared" ca="1" si="338"/>
        <v>0.21468854601080439</v>
      </c>
      <c r="AO123" s="4">
        <f t="shared" ca="1" si="338"/>
        <v>0.13290021168720659</v>
      </c>
      <c r="AP123" s="4">
        <f t="shared" ca="1" si="338"/>
        <v>0.16472351776243185</v>
      </c>
      <c r="AQ123" s="4">
        <f t="shared" ca="1" si="338"/>
        <v>0.18514206202388236</v>
      </c>
      <c r="AR123" s="215">
        <f t="shared" ca="1" si="338"/>
        <v>0.16152287454251513</v>
      </c>
      <c r="AS123" s="4">
        <f t="shared" ca="1" si="338"/>
        <v>0.15268214180513595</v>
      </c>
      <c r="AT123" s="4">
        <f t="shared" ca="1" si="338"/>
        <v>0.19438866804761995</v>
      </c>
      <c r="AU123" s="4">
        <f t="shared" ca="1" si="338"/>
        <v>0.21775605822877064</v>
      </c>
      <c r="AV123" s="215">
        <f t="shared" ca="1" si="338"/>
        <v>0.20315873993852326</v>
      </c>
      <c r="AW123" s="4">
        <f t="shared" ref="AW123:AZ123" ca="1" si="339">AW122/AW$94</f>
        <v>0.1889861141878616</v>
      </c>
      <c r="AX123" s="4">
        <f t="shared" ca="1" si="339"/>
        <v>0.2283708313167444</v>
      </c>
      <c r="AY123" s="4">
        <f t="shared" ca="1" si="339"/>
        <v>0.25163673212759191</v>
      </c>
      <c r="AZ123" s="4">
        <f t="shared" ca="1" si="339"/>
        <v>0.25681054596839298</v>
      </c>
    </row>
    <row r="124" spans="1:60">
      <c r="B124" s="3" t="s">
        <v>110</v>
      </c>
      <c r="E124" s="10"/>
      <c r="F124" s="4">
        <f t="shared" ref="F124:M124" ca="1" si="340">F122/F$89</f>
        <v>0.49544100773486055</v>
      </c>
      <c r="G124" s="4">
        <f t="shared" ca="1" si="340"/>
        <v>0.35035520370008394</v>
      </c>
      <c r="H124" s="4">
        <f t="shared" ca="1" si="340"/>
        <v>0.26102262894079747</v>
      </c>
      <c r="I124" s="4">
        <f t="shared" ca="1" si="340"/>
        <v>0.17582479660932016</v>
      </c>
      <c r="J124" s="4">
        <f t="shared" ca="1" si="340"/>
        <v>0.14244040527424176</v>
      </c>
      <c r="K124" s="4">
        <f t="shared" ca="1" si="340"/>
        <v>0.18499771870900922</v>
      </c>
      <c r="L124" s="4">
        <f t="shared" ca="1" si="340"/>
        <v>0.15367190183552337</v>
      </c>
      <c r="M124" s="4">
        <f t="shared" ca="1" si="340"/>
        <v>0.1831954208708749</v>
      </c>
      <c r="N124" s="4">
        <f t="shared" ref="N124" ca="1" si="341">N122/N$89</f>
        <v>0.22055111938066618</v>
      </c>
      <c r="O124" s="58"/>
      <c r="P124" s="58"/>
      <c r="Q124" s="4">
        <f t="shared" ref="Q124:AV124" si="342">Q122/Q$89</f>
        <v>0.49052530802276972</v>
      </c>
      <c r="R124" s="4">
        <f t="shared" si="342"/>
        <v>0.51590346598165171</v>
      </c>
      <c r="S124" s="4">
        <f t="shared" si="342"/>
        <v>0.52743987892594779</v>
      </c>
      <c r="T124" s="215">
        <f t="shared" si="342"/>
        <v>0.44955476780589398</v>
      </c>
      <c r="U124" s="4">
        <f t="shared" si="342"/>
        <v>0.3703570288067195</v>
      </c>
      <c r="V124" s="4">
        <f t="shared" si="342"/>
        <v>0.3840677228579194</v>
      </c>
      <c r="W124" s="4">
        <f t="shared" si="342"/>
        <v>0.3753789225811428</v>
      </c>
      <c r="X124" s="215">
        <f t="shared" si="342"/>
        <v>0.28768749646247938</v>
      </c>
      <c r="Y124" s="4">
        <f t="shared" si="342"/>
        <v>0.24995092955843334</v>
      </c>
      <c r="Z124" s="4">
        <f t="shared" si="342"/>
        <v>0.29687424650306515</v>
      </c>
      <c r="AA124" s="4">
        <f t="shared" si="342"/>
        <v>0.28993282127280984</v>
      </c>
      <c r="AB124" s="215">
        <f t="shared" si="342"/>
        <v>0.21010340827896823</v>
      </c>
      <c r="AC124" s="4">
        <f t="shared" si="342"/>
        <v>0.16938137858148333</v>
      </c>
      <c r="AD124" s="4">
        <f t="shared" si="342"/>
        <v>0.20932990524781592</v>
      </c>
      <c r="AE124" s="4">
        <f t="shared" si="342"/>
        <v>0.13662954539557318</v>
      </c>
      <c r="AF124" s="215">
        <f t="shared" si="342"/>
        <v>0.18904299389575605</v>
      </c>
      <c r="AG124" s="4">
        <f t="shared" si="342"/>
        <v>0.13973812072028743</v>
      </c>
      <c r="AH124" s="4">
        <f t="shared" si="342"/>
        <v>0.15694487760605122</v>
      </c>
      <c r="AI124" s="4">
        <f t="shared" ca="1" si="342"/>
        <v>0.15267998662558371</v>
      </c>
      <c r="AJ124" s="215">
        <f t="shared" ca="1" si="342"/>
        <v>0.11998022224985909</v>
      </c>
      <c r="AK124" s="4">
        <f t="shared" ca="1" si="342"/>
        <v>0.11874202412735695</v>
      </c>
      <c r="AL124" s="4">
        <f t="shared" ca="1" si="342"/>
        <v>0.20168630832614737</v>
      </c>
      <c r="AM124" s="4">
        <f t="shared" ca="1" si="342"/>
        <v>0.20009366086253139</v>
      </c>
      <c r="AN124" s="215">
        <f t="shared" ca="1" si="342"/>
        <v>0.20266598743419936</v>
      </c>
      <c r="AO124" s="4">
        <f t="shared" ca="1" si="342"/>
        <v>0.12545715430812013</v>
      </c>
      <c r="AP124" s="4">
        <f t="shared" ca="1" si="342"/>
        <v>0.15549820270025361</v>
      </c>
      <c r="AQ124" s="4">
        <f t="shared" ca="1" si="342"/>
        <v>0.17477321911058527</v>
      </c>
      <c r="AR124" s="215">
        <f t="shared" ca="1" si="342"/>
        <v>0.1524768146595441</v>
      </c>
      <c r="AS124" s="4">
        <f t="shared" ca="1" si="342"/>
        <v>0.14413121428653314</v>
      </c>
      <c r="AT124" s="4">
        <f t="shared" ca="1" si="342"/>
        <v>0.18350197867759949</v>
      </c>
      <c r="AU124" s="4">
        <f t="shared" ca="1" si="342"/>
        <v>0.20556068883050554</v>
      </c>
      <c r="AV124" s="215">
        <f t="shared" ca="1" si="342"/>
        <v>0.19178089878473029</v>
      </c>
      <c r="AW124" s="4">
        <f t="shared" ref="AW124:AZ124" ca="1" si="343">AW122/AW$89</f>
        <v>0.17840201293162267</v>
      </c>
      <c r="AX124" s="4">
        <f t="shared" ca="1" si="343"/>
        <v>0.21558100372817415</v>
      </c>
      <c r="AY124" s="4">
        <f t="shared" ca="1" si="343"/>
        <v>0.23754390792425106</v>
      </c>
      <c r="AZ124" s="4">
        <f t="shared" ca="1" si="343"/>
        <v>0.24242797085417839</v>
      </c>
    </row>
    <row r="125" spans="1:60">
      <c r="B125" s="11"/>
      <c r="F125" s="10"/>
      <c r="G125" s="10"/>
      <c r="H125" s="10"/>
      <c r="I125" s="10"/>
      <c r="AM125" s="70"/>
      <c r="AN125" s="236"/>
      <c r="AO125" s="70"/>
      <c r="AP125" s="70"/>
    </row>
    <row r="126" spans="1:60">
      <c r="B126" s="3" t="s">
        <v>125</v>
      </c>
      <c r="C126" s="1" t="s">
        <v>88</v>
      </c>
      <c r="F126" s="67">
        <v>866.46500000000003</v>
      </c>
      <c r="G126" s="67">
        <v>1308.5419999999999</v>
      </c>
      <c r="H126" s="67">
        <v>1992.818</v>
      </c>
      <c r="I126" s="67">
        <v>2362.6320000000001</v>
      </c>
      <c r="J126" s="67">
        <v>2341.6309999999999</v>
      </c>
      <c r="K126" s="67">
        <v>3154</v>
      </c>
      <c r="L126" s="58">
        <f t="shared" ref="L126:N129" ca="1" si="344">SUM(OFFSET($P126,0,L$1,1,4))</f>
        <v>4398.3870102231949</v>
      </c>
      <c r="M126" s="58">
        <f t="shared" ca="1" si="344"/>
        <v>5149.0079170726458</v>
      </c>
      <c r="N126" s="58">
        <f t="shared" ca="1" si="344"/>
        <v>6396.8262723157568</v>
      </c>
      <c r="O126" s="58"/>
      <c r="P126" s="58"/>
      <c r="Q126" s="67">
        <v>182.25200000000001</v>
      </c>
      <c r="R126" s="67">
        <v>203.327</v>
      </c>
      <c r="S126" s="67">
        <v>228.23</v>
      </c>
      <c r="T126" s="217">
        <v>252.55600000000001</v>
      </c>
      <c r="U126" s="67">
        <v>273.98700000000002</v>
      </c>
      <c r="V126" s="67">
        <v>317.81099999999998</v>
      </c>
      <c r="W126" s="67">
        <v>348.822</v>
      </c>
      <c r="X126" s="217">
        <v>367.92200000000003</v>
      </c>
      <c r="Y126" s="67">
        <v>419.495</v>
      </c>
      <c r="Z126" s="67">
        <v>463.80200000000002</v>
      </c>
      <c r="AA126" s="67">
        <v>536.36699999999996</v>
      </c>
      <c r="AB126" s="217">
        <v>573.154</v>
      </c>
      <c r="AC126" s="67">
        <v>561.21299999999997</v>
      </c>
      <c r="AD126" s="67">
        <v>612.52300000000002</v>
      </c>
      <c r="AE126" s="67">
        <v>616.17100000000005</v>
      </c>
      <c r="AF126" s="217">
        <v>572.72500000000002</v>
      </c>
      <c r="AG126" s="67">
        <v>596.12</v>
      </c>
      <c r="AH126" s="67">
        <v>486.85700000000003</v>
      </c>
      <c r="AI126" s="67">
        <v>627.30799999999999</v>
      </c>
      <c r="AJ126" s="217">
        <v>631.346</v>
      </c>
      <c r="AK126" s="67">
        <v>648.77300000000002</v>
      </c>
      <c r="AL126" s="67">
        <v>712</v>
      </c>
      <c r="AM126" s="67">
        <v>876</v>
      </c>
      <c r="AN126" s="217">
        <v>917</v>
      </c>
      <c r="AO126" s="58">
        <f ca="1">IF(circ=0,0,'BIDU_BS + CFS'!AO136)</f>
        <v>991.30546837536951</v>
      </c>
      <c r="AP126" s="58">
        <f ca="1">IF(circ=0,0,'BIDU_BS + CFS'!AP136)</f>
        <v>1079.2765361236848</v>
      </c>
      <c r="AQ126" s="58">
        <f ca="1">IF(circ=0,0,'BIDU_BS + CFS'!AQ136)</f>
        <v>1168.8728890727759</v>
      </c>
      <c r="AR126" s="212">
        <f ca="1">IF(circ=0,0,'BIDU_BS + CFS'!AR136)</f>
        <v>1158.9321166513644</v>
      </c>
      <c r="AS126" s="58">
        <f ca="1">IF(circ=0,0,'BIDU_BS + CFS'!AS136)</f>
        <v>1227.4483864690296</v>
      </c>
      <c r="AT126" s="58">
        <f ca="1">IF(circ=0,0,'BIDU_BS + CFS'!AT136)</f>
        <v>1194.7462301605094</v>
      </c>
      <c r="AU126" s="58">
        <f ca="1">IF(circ=0,0,'BIDU_BS + CFS'!AU136)</f>
        <v>1334.8170308233812</v>
      </c>
      <c r="AV126" s="212">
        <f ca="1">IF(circ=0,0,'BIDU_BS + CFS'!AV136)</f>
        <v>1391.9962696197249</v>
      </c>
      <c r="AW126" s="58">
        <f ca="1">IF(circ=0,0,'BIDU_BS + CFS'!AW136)</f>
        <v>1497.2310888547549</v>
      </c>
      <c r="AX126" s="58">
        <f ca="1">IF(circ=0,0,'BIDU_BS + CFS'!AX136)</f>
        <v>1505.9537687094873</v>
      </c>
      <c r="AY126" s="58">
        <f ca="1">IF(circ=0,0,'BIDU_BS + CFS'!AY136)</f>
        <v>1663.6074224711599</v>
      </c>
      <c r="AZ126" s="58">
        <f ca="1">IF(circ=0,0,'BIDU_BS + CFS'!AZ136)</f>
        <v>1730.0339922803544</v>
      </c>
    </row>
    <row r="127" spans="1:60">
      <c r="B127" s="3" t="s">
        <v>124</v>
      </c>
      <c r="C127" s="1" t="s">
        <v>88</v>
      </c>
      <c r="F127" s="67">
        <v>-107.857</v>
      </c>
      <c r="G127" s="67">
        <v>-447.084</v>
      </c>
      <c r="H127" s="67">
        <v>-628.57100000000003</v>
      </c>
      <c r="I127" s="67">
        <v>-1041.394</v>
      </c>
      <c r="J127" s="67">
        <v>-1157.5619999999999</v>
      </c>
      <c r="K127" s="67">
        <v>-1615</v>
      </c>
      <c r="L127" s="58">
        <f t="shared" ca="1" si="344"/>
        <v>-1570.5994802615191</v>
      </c>
      <c r="M127" s="58">
        <f t="shared" ca="1" si="344"/>
        <v>-1380.7345568493149</v>
      </c>
      <c r="N127" s="58">
        <f t="shared" ca="1" si="344"/>
        <v>-1196.0929861270236</v>
      </c>
      <c r="O127" s="58"/>
      <c r="P127" s="58"/>
      <c r="Q127" s="67">
        <v>-25.315999999999999</v>
      </c>
      <c r="R127" s="67">
        <v>-25.527000000000001</v>
      </c>
      <c r="S127" s="67">
        <v>-24.001999999999999</v>
      </c>
      <c r="T127" s="217">
        <v>-33.012</v>
      </c>
      <c r="U127" s="67">
        <v>-89.245999999999995</v>
      </c>
      <c r="V127" s="67">
        <v>-91.248999999999995</v>
      </c>
      <c r="W127" s="67">
        <v>-118.381</v>
      </c>
      <c r="X127" s="217">
        <v>-148.20699999999999</v>
      </c>
      <c r="Y127" s="67">
        <v>-121.78400000000001</v>
      </c>
      <c r="Z127" s="67">
        <v>-146.04499999999999</v>
      </c>
      <c r="AA127" s="67">
        <v>-177.16800000000001</v>
      </c>
      <c r="AB127" s="217">
        <v>-183.57499999999999</v>
      </c>
      <c r="AC127" s="67">
        <v>-199.12799999999999</v>
      </c>
      <c r="AD127" s="67">
        <v>-213.52199999999999</v>
      </c>
      <c r="AE127" s="67">
        <v>-329.37200000000001</v>
      </c>
      <c r="AF127" s="217">
        <v>-299.37200000000001</v>
      </c>
      <c r="AG127" s="67">
        <v>-268.38900000000001</v>
      </c>
      <c r="AH127" s="67">
        <v>-275.08100000000002</v>
      </c>
      <c r="AI127" s="67">
        <v>-319.899</v>
      </c>
      <c r="AJ127" s="217">
        <v>-294.19299999999998</v>
      </c>
      <c r="AK127" s="67">
        <v>-323.36599999999999</v>
      </c>
      <c r="AL127" s="67">
        <v>-334</v>
      </c>
      <c r="AM127" s="67">
        <v>-557</v>
      </c>
      <c r="AN127" s="217">
        <v>-400</v>
      </c>
      <c r="AO127" s="58">
        <f>-'BIDU_BS + CFS'!AO193</f>
        <v>-337.88375641344959</v>
      </c>
      <c r="AP127" s="58">
        <f>-'BIDU_BS + CFS'!AP193</f>
        <v>-439.50174920298889</v>
      </c>
      <c r="AQ127" s="58">
        <f>-'BIDU_BS + CFS'!AQ193</f>
        <v>-412.62301409713569</v>
      </c>
      <c r="AR127" s="212">
        <f>-'BIDU_BS + CFS'!AR193</f>
        <v>-380.5909605479452</v>
      </c>
      <c r="AS127" s="58">
        <f ca="1">-'BIDU_BS + CFS'!AS193</f>
        <v>-365.11349178082185</v>
      </c>
      <c r="AT127" s="58">
        <f ca="1">-'BIDU_BS + CFS'!AT193</f>
        <v>-358.92604808219176</v>
      </c>
      <c r="AU127" s="58">
        <f ca="1">-'BIDU_BS + CFS'!AU193</f>
        <v>-328.34750849315066</v>
      </c>
      <c r="AV127" s="212">
        <f ca="1">-'BIDU_BS + CFS'!AV193</f>
        <v>-328.34750849315066</v>
      </c>
      <c r="AW127" s="58">
        <f ca="1">-'BIDU_BS + CFS'!AW193</f>
        <v>-324.77851383561642</v>
      </c>
      <c r="AX127" s="58">
        <f>-'BIDU_BS + CFS'!AX193</f>
        <v>-324.77851383561642</v>
      </c>
      <c r="AY127" s="58">
        <f>-'BIDU_BS + CFS'!AY193</f>
        <v>-291.62782231631377</v>
      </c>
      <c r="AZ127" s="58">
        <f>-'BIDU_BS + CFS'!AZ193</f>
        <v>-254.90813613947697</v>
      </c>
    </row>
    <row r="128" spans="1:60">
      <c r="B128" s="3" t="s">
        <v>123</v>
      </c>
      <c r="C128" s="1" t="s">
        <v>88</v>
      </c>
      <c r="F128" s="67">
        <v>449.738</v>
      </c>
      <c r="G128" s="67">
        <v>140.95099999999999</v>
      </c>
      <c r="H128" s="67">
        <v>336.33800000000002</v>
      </c>
      <c r="I128" s="67">
        <v>24909.964</v>
      </c>
      <c r="J128" s="67">
        <v>4301.7849999999999</v>
      </c>
      <c r="K128" s="67">
        <v>-63</v>
      </c>
      <c r="L128" s="58">
        <f t="shared" ca="1" si="344"/>
        <v>0</v>
      </c>
      <c r="M128" s="58">
        <f t="shared" ca="1" si="344"/>
        <v>0</v>
      </c>
      <c r="N128" s="58">
        <f t="shared" ca="1" si="344"/>
        <v>0</v>
      </c>
      <c r="O128" s="58"/>
      <c r="P128" s="58"/>
      <c r="Q128" s="67">
        <f>-0.01-3.51</f>
        <v>-3.5199999999999996</v>
      </c>
      <c r="R128" s="67">
        <f>0.864+47.581</f>
        <v>48.445</v>
      </c>
      <c r="S128" s="67">
        <f>-2.359+29.656</f>
        <v>27.296999999999997</v>
      </c>
      <c r="T128" s="217">
        <f>-3.028+380.545</f>
        <v>377.517</v>
      </c>
      <c r="U128" s="67">
        <f>-0.461+6.468</f>
        <v>6.0069999999999997</v>
      </c>
      <c r="V128" s="67">
        <f>27.341-6.382</f>
        <v>20.959000000000003</v>
      </c>
      <c r="W128" s="67">
        <f>36.815-0.676</f>
        <v>36.138999999999996</v>
      </c>
      <c r="X128" s="217">
        <f>-40.861+115.399</f>
        <v>74.538000000000011</v>
      </c>
      <c r="Y128" s="67">
        <f>97.302+77.526</f>
        <v>174.828</v>
      </c>
      <c r="Z128" s="67">
        <f>0.081+66.888</f>
        <v>66.969000000000008</v>
      </c>
      <c r="AA128" s="67">
        <f>-44.476+20.091</f>
        <v>-24.384999999999998</v>
      </c>
      <c r="AB128" s="217">
        <f>22.873+93.2</f>
        <v>116.07300000000001</v>
      </c>
      <c r="AC128" s="67">
        <f>8.992+90.875</f>
        <v>99.867000000000004</v>
      </c>
      <c r="AD128" s="67">
        <f>5.396+142.382</f>
        <v>147.77799999999999</v>
      </c>
      <c r="AE128" s="67">
        <f>61.407+200.625</f>
        <v>262.03199999999998</v>
      </c>
      <c r="AF128" s="217">
        <f>106.007+24294.28</f>
        <v>24400.287</v>
      </c>
      <c r="AG128" s="67">
        <f>-66.166+298.119</f>
        <v>231.95300000000003</v>
      </c>
      <c r="AH128" s="67">
        <f>243.911+427.738</f>
        <v>671.649</v>
      </c>
      <c r="AI128" s="67">
        <f>20.361+1271.932</f>
        <v>1292.2930000000001</v>
      </c>
      <c r="AJ128" s="217">
        <f>310.206+1795.684</f>
        <v>2105.89</v>
      </c>
      <c r="AK128" s="67">
        <f>-101.396+21.838</f>
        <v>-79.557999999999993</v>
      </c>
      <c r="AL128" s="67">
        <f>-139+643</f>
        <v>504</v>
      </c>
      <c r="AM128" s="67">
        <f>-130+4229</f>
        <v>4099</v>
      </c>
      <c r="AN128" s="217">
        <f>-113-294</f>
        <v>-407</v>
      </c>
      <c r="AO128" s="233">
        <v>0</v>
      </c>
      <c r="AP128" s="89">
        <v>0</v>
      </c>
      <c r="AQ128" s="89">
        <v>0</v>
      </c>
      <c r="AR128" s="245">
        <v>0</v>
      </c>
      <c r="AS128" s="233">
        <v>0</v>
      </c>
      <c r="AT128" s="89">
        <v>0</v>
      </c>
      <c r="AU128" s="89">
        <v>0</v>
      </c>
      <c r="AV128" s="245">
        <v>0</v>
      </c>
      <c r="AW128" s="233">
        <v>0</v>
      </c>
      <c r="AX128" s="89">
        <v>0</v>
      </c>
      <c r="AY128" s="89">
        <v>0</v>
      </c>
      <c r="AZ128" s="89">
        <v>0</v>
      </c>
    </row>
    <row r="129" spans="1:60">
      <c r="B129" s="3" t="s">
        <v>122</v>
      </c>
      <c r="C129" s="1" t="s">
        <v>88</v>
      </c>
      <c r="F129" s="67">
        <v>-294.22899999999998</v>
      </c>
      <c r="G129" s="67">
        <v>22.577999999999999</v>
      </c>
      <c r="H129" s="67">
        <v>-19.943000000000001</v>
      </c>
      <c r="I129" s="67">
        <v>3.867</v>
      </c>
      <c r="J129" s="67">
        <v>-1025.7270000000001</v>
      </c>
      <c r="K129" s="67">
        <v>4116</v>
      </c>
      <c r="L129" s="58">
        <f t="shared" ca="1" si="344"/>
        <v>816</v>
      </c>
      <c r="M129" s="58">
        <f t="shared" ca="1" si="344"/>
        <v>816</v>
      </c>
      <c r="N129" s="58">
        <f t="shared" ca="1" si="344"/>
        <v>816</v>
      </c>
      <c r="O129" s="58"/>
      <c r="P129" s="58"/>
      <c r="Q129" s="67">
        <v>-45.868000000000002</v>
      </c>
      <c r="R129" s="67">
        <v>-57.331000000000003</v>
      </c>
      <c r="S129" s="67">
        <v>-69.311999999999998</v>
      </c>
      <c r="T129" s="217">
        <v>-121.71899999999999</v>
      </c>
      <c r="U129" s="67">
        <v>-5.4530000000000003</v>
      </c>
      <c r="V129" s="67">
        <v>8.4000000000000005E-2</v>
      </c>
      <c r="W129" s="67">
        <v>0.215</v>
      </c>
      <c r="X129" s="217">
        <v>-0.65100000000000002</v>
      </c>
      <c r="Y129" s="67">
        <v>-5.6029999999999998</v>
      </c>
      <c r="Z129" s="67">
        <v>-5.5010000000000003</v>
      </c>
      <c r="AA129" s="67">
        <v>-9.9819999999999993</v>
      </c>
      <c r="AB129" s="217">
        <v>-5.867</v>
      </c>
      <c r="AC129" s="67">
        <v>-7.9790000000000001</v>
      </c>
      <c r="AD129" s="67">
        <v>-2.4169999999999998</v>
      </c>
      <c r="AE129" s="67">
        <v>-8.8559999999999999</v>
      </c>
      <c r="AF129" s="217">
        <v>23.119</v>
      </c>
      <c r="AG129" s="67">
        <v>-117.092</v>
      </c>
      <c r="AH129" s="67">
        <v>-554.53300000000002</v>
      </c>
      <c r="AI129" s="67">
        <v>-248.46</v>
      </c>
      <c r="AJ129" s="217">
        <v>-105.642</v>
      </c>
      <c r="AK129" s="67">
        <v>-76.128</v>
      </c>
      <c r="AL129" s="67">
        <v>-118</v>
      </c>
      <c r="AM129" s="67">
        <v>-73</v>
      </c>
      <c r="AN129" s="217">
        <v>204</v>
      </c>
      <c r="AO129" s="233">
        <f t="shared" ref="AO129:AV129" si="345">AN129</f>
        <v>204</v>
      </c>
      <c r="AP129" s="89">
        <f t="shared" si="345"/>
        <v>204</v>
      </c>
      <c r="AQ129" s="89">
        <f t="shared" si="345"/>
        <v>204</v>
      </c>
      <c r="AR129" s="245">
        <f t="shared" si="345"/>
        <v>204</v>
      </c>
      <c r="AS129" s="233">
        <f t="shared" si="345"/>
        <v>204</v>
      </c>
      <c r="AT129" s="89">
        <f t="shared" si="345"/>
        <v>204</v>
      </c>
      <c r="AU129" s="89">
        <f t="shared" si="345"/>
        <v>204</v>
      </c>
      <c r="AV129" s="245">
        <f t="shared" si="345"/>
        <v>204</v>
      </c>
      <c r="AW129" s="233">
        <f t="shared" ref="AW129" si="346">AV129</f>
        <v>204</v>
      </c>
      <c r="AX129" s="89">
        <f t="shared" ref="AX129" si="347">AW129</f>
        <v>204</v>
      </c>
      <c r="AY129" s="89">
        <f t="shared" ref="AY129" si="348">AX129</f>
        <v>204</v>
      </c>
      <c r="AZ129" s="89">
        <f t="shared" ref="AZ129" si="349">AY129</f>
        <v>204</v>
      </c>
    </row>
    <row r="130" spans="1:60">
      <c r="B130" s="11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21"/>
      <c r="U130" s="2"/>
      <c r="V130" s="2"/>
      <c r="W130" s="2"/>
      <c r="X130" s="221"/>
      <c r="Y130" s="2"/>
      <c r="Z130" s="2"/>
      <c r="AA130" s="2"/>
      <c r="AB130" s="221"/>
      <c r="AC130" s="2"/>
      <c r="AD130" s="2"/>
      <c r="AE130" s="2"/>
      <c r="AF130" s="221"/>
      <c r="AG130" s="2"/>
      <c r="AH130" s="2"/>
      <c r="AI130" s="2"/>
      <c r="AJ130" s="221"/>
      <c r="AK130" s="2"/>
      <c r="AL130" s="2"/>
      <c r="AM130" s="2"/>
      <c r="AN130" s="221"/>
      <c r="AO130" s="2"/>
      <c r="AP130" s="2"/>
      <c r="AQ130" s="2"/>
      <c r="AR130" s="221"/>
      <c r="AS130" s="2"/>
      <c r="AT130" s="2"/>
      <c r="AU130" s="2"/>
      <c r="AV130" s="221"/>
      <c r="AW130" s="2"/>
      <c r="AX130" s="2"/>
      <c r="AY130" s="2"/>
      <c r="AZ130" s="2"/>
    </row>
    <row r="131" spans="1:60">
      <c r="B131" s="11" t="s">
        <v>121</v>
      </c>
      <c r="C131" s="1" t="s">
        <v>88</v>
      </c>
      <c r="F131" s="58">
        <f t="shared" ref="F131:M131" ca="1" si="350">+F122+SUM(F126:F129)</f>
        <v>11965.437000000002</v>
      </c>
      <c r="G131" s="58">
        <f t="shared" ca="1" si="350"/>
        <v>12216.706999999999</v>
      </c>
      <c r="H131" s="58">
        <f t="shared" ca="1" si="350"/>
        <v>14484.406999999999</v>
      </c>
      <c r="I131" s="58">
        <f t="shared" ca="1" si="350"/>
        <v>37906.623000000007</v>
      </c>
      <c r="J131" s="58">
        <f t="shared" ca="1" si="350"/>
        <v>14509.207000000002</v>
      </c>
      <c r="K131" s="58">
        <f t="shared" ca="1" si="350"/>
        <v>21281.552</v>
      </c>
      <c r="L131" s="58">
        <f t="shared" ca="1" si="350"/>
        <v>19824.041997195152</v>
      </c>
      <c r="M131" s="58">
        <f t="shared" ca="1" si="350"/>
        <v>28143.006070135463</v>
      </c>
      <c r="N131" s="58">
        <f t="shared" ref="N131" ca="1" si="351">+N122+SUM(N126:N129)</f>
        <v>40143.117710540682</v>
      </c>
      <c r="O131" s="58"/>
      <c r="P131" s="58"/>
      <c r="Q131" s="58">
        <f t="shared" ref="Q131:AV131" si="352">+Q122+SUM(Q126:Q129)</f>
        <v>2199.0140000000001</v>
      </c>
      <c r="R131" s="58">
        <f t="shared" si="352"/>
        <v>2983.8029999999999</v>
      </c>
      <c r="S131" s="58">
        <f t="shared" si="352"/>
        <v>3459.0920000000006</v>
      </c>
      <c r="T131" s="212">
        <f t="shared" si="352"/>
        <v>3323.4269999999992</v>
      </c>
      <c r="U131" s="58">
        <f t="shared" si="352"/>
        <v>2395.7850000000003</v>
      </c>
      <c r="V131" s="58">
        <f t="shared" si="352"/>
        <v>3151.47</v>
      </c>
      <c r="W131" s="58">
        <f t="shared" si="352"/>
        <v>3604.5359999999987</v>
      </c>
      <c r="X131" s="212">
        <f t="shared" si="352"/>
        <v>3033.2249999999981</v>
      </c>
      <c r="Y131" s="58">
        <f t="shared" si="352"/>
        <v>2840.6079999999993</v>
      </c>
      <c r="Z131" s="58">
        <f t="shared" si="352"/>
        <v>3937.4950000000013</v>
      </c>
      <c r="AA131" s="58">
        <f t="shared" si="352"/>
        <v>4244.6529999999984</v>
      </c>
      <c r="AB131" s="212">
        <f t="shared" si="352"/>
        <v>3451.7859999999991</v>
      </c>
      <c r="AC131" s="58">
        <f t="shared" si="352"/>
        <v>2609.2860000000001</v>
      </c>
      <c r="AD131" s="58">
        <f t="shared" si="352"/>
        <v>4014.0549999999976</v>
      </c>
      <c r="AE131" s="58">
        <f t="shared" si="352"/>
        <v>3051.6469999999986</v>
      </c>
      <c r="AF131" s="212">
        <f t="shared" si="352"/>
        <v>28231.634999999998</v>
      </c>
      <c r="AG131" s="58">
        <f t="shared" si="352"/>
        <v>2653.3289999999993</v>
      </c>
      <c r="AH131" s="58">
        <f t="shared" si="352"/>
        <v>3195.2780000000021</v>
      </c>
      <c r="AI131" s="58">
        <f t="shared" ca="1" si="352"/>
        <v>4138.073000000003</v>
      </c>
      <c r="AJ131" s="212">
        <f t="shared" ca="1" si="352"/>
        <v>4522.527</v>
      </c>
      <c r="AK131" s="58">
        <f t="shared" ca="1" si="352"/>
        <v>2175.3669999999988</v>
      </c>
      <c r="AL131" s="58">
        <f t="shared" ca="1" si="352"/>
        <v>4974</v>
      </c>
      <c r="AM131" s="58">
        <f t="shared" ca="1" si="352"/>
        <v>9045</v>
      </c>
      <c r="AN131" s="212">
        <f t="shared" ca="1" si="352"/>
        <v>5088</v>
      </c>
      <c r="AO131" s="58">
        <f t="shared" ca="1" si="352"/>
        <v>3604.322506825034</v>
      </c>
      <c r="AP131" s="58">
        <f t="shared" ca="1" si="352"/>
        <v>4919.5252883541252</v>
      </c>
      <c r="AQ131" s="58">
        <f t="shared" ca="1" si="352"/>
        <v>5963.1558767243578</v>
      </c>
      <c r="AR131" s="212">
        <f t="shared" ca="1" si="352"/>
        <v>5337.038325291629</v>
      </c>
      <c r="AS131" s="58">
        <f t="shared" ca="1" si="352"/>
        <v>5064.3824889509006</v>
      </c>
      <c r="AT131" s="58">
        <f t="shared" ca="1" si="352"/>
        <v>6910.0327250173868</v>
      </c>
      <c r="AU131" s="58">
        <f t="shared" ca="1" si="352"/>
        <v>8408.3461312753279</v>
      </c>
      <c r="AV131" s="212">
        <f t="shared" ca="1" si="352"/>
        <v>7760.2447248918706</v>
      </c>
      <c r="AW131" s="58">
        <f t="shared" ref="AW131:AZ131" ca="1" si="353">+AW122+SUM(AW126:AW129)</f>
        <v>7385.5292763148136</v>
      </c>
      <c r="AX131" s="58">
        <f t="shared" ca="1" si="353"/>
        <v>9620.1467858574615</v>
      </c>
      <c r="AY131" s="58">
        <f t="shared" ca="1" si="353"/>
        <v>11447.09537279562</v>
      </c>
      <c r="AZ131" s="58">
        <f t="shared" ca="1" si="353"/>
        <v>11690.346275572774</v>
      </c>
    </row>
    <row r="132" spans="1:60">
      <c r="B132" s="3" t="s">
        <v>120</v>
      </c>
      <c r="C132" s="1" t="s">
        <v>88</v>
      </c>
      <c r="F132" s="67">
        <v>1574.1590000000001</v>
      </c>
      <c r="G132" s="67">
        <v>1828.93</v>
      </c>
      <c r="H132" s="67">
        <v>2231.172</v>
      </c>
      <c r="I132" s="67">
        <v>5474.3770000000004</v>
      </c>
      <c r="J132" s="67">
        <v>2913.5940000000001</v>
      </c>
      <c r="K132" s="67">
        <v>2995</v>
      </c>
      <c r="L132" s="58">
        <f ca="1">SUM(OFFSET($P132,0,L$1,1,4))</f>
        <v>3568.3275594951265</v>
      </c>
      <c r="M132" s="58">
        <f ca="1">SUM(OFFSET($P132,0,M$1,1,4))</f>
        <v>5065.7410926243874</v>
      </c>
      <c r="N132" s="58">
        <f ca="1">SUM(OFFSET($P132,0,N$1,1,4))</f>
        <v>7225.7611878973203</v>
      </c>
      <c r="O132" s="58"/>
      <c r="P132" s="58"/>
      <c r="Q132" s="67">
        <v>331.19600000000003</v>
      </c>
      <c r="R132" s="67">
        <v>235.35499999999999</v>
      </c>
      <c r="S132" s="67">
        <v>467.69900000000001</v>
      </c>
      <c r="T132" s="217">
        <v>539.90899999999999</v>
      </c>
      <c r="U132" s="67">
        <v>388.86099999999999</v>
      </c>
      <c r="V132" s="67">
        <v>513.16999999999996</v>
      </c>
      <c r="W132" s="67">
        <v>588.06700000000001</v>
      </c>
      <c r="X132" s="217">
        <v>338.83199999999999</v>
      </c>
      <c r="Y132" s="67">
        <v>430.29599999999999</v>
      </c>
      <c r="Z132" s="67">
        <v>605.61400000000003</v>
      </c>
      <c r="AA132" s="67">
        <v>656.76800000000003</v>
      </c>
      <c r="AB132" s="217">
        <v>538.49300000000005</v>
      </c>
      <c r="AC132" s="67">
        <v>541</v>
      </c>
      <c r="AD132" s="67">
        <v>762.95100000000002</v>
      </c>
      <c r="AE132" s="67">
        <v>590.51700000000005</v>
      </c>
      <c r="AF132" s="217">
        <v>3579.9090000000001</v>
      </c>
      <c r="AG132" s="67">
        <v>674.75</v>
      </c>
      <c r="AH132" s="67">
        <v>792.72299999999996</v>
      </c>
      <c r="AI132" s="67">
        <v>1045.184</v>
      </c>
      <c r="AJ132" s="217">
        <v>400.93700000000001</v>
      </c>
      <c r="AK132" s="67">
        <v>405.053</v>
      </c>
      <c r="AL132" s="67">
        <v>564</v>
      </c>
      <c r="AM132" s="67">
        <v>1097</v>
      </c>
      <c r="AN132" s="217">
        <v>929</v>
      </c>
      <c r="AO132" s="58">
        <f t="shared" ref="AO132:AV132" ca="1" si="354">+AO133*AO131</f>
        <v>648.77805122850611</v>
      </c>
      <c r="AP132" s="58">
        <f t="shared" ca="1" si="354"/>
        <v>885.51455190374247</v>
      </c>
      <c r="AQ132" s="58">
        <f t="shared" ca="1" si="354"/>
        <v>1073.3680578103845</v>
      </c>
      <c r="AR132" s="212">
        <f t="shared" ca="1" si="354"/>
        <v>960.66689855249319</v>
      </c>
      <c r="AS132" s="58">
        <f t="shared" ca="1" si="354"/>
        <v>911.5888480111621</v>
      </c>
      <c r="AT132" s="58">
        <f t="shared" ca="1" si="354"/>
        <v>1243.8058905031296</v>
      </c>
      <c r="AU132" s="58">
        <f t="shared" ca="1" si="354"/>
        <v>1513.502303629559</v>
      </c>
      <c r="AV132" s="212">
        <f t="shared" ca="1" si="354"/>
        <v>1396.8440504805367</v>
      </c>
      <c r="AW132" s="58">
        <f t="shared" ref="AW132:AZ132" ca="1" si="355">+AW133*AW131</f>
        <v>1329.3952697366665</v>
      </c>
      <c r="AX132" s="58">
        <f t="shared" ca="1" si="355"/>
        <v>1731.626421454343</v>
      </c>
      <c r="AY132" s="58">
        <f t="shared" ca="1" si="355"/>
        <v>2060.4771671032117</v>
      </c>
      <c r="AZ132" s="58">
        <f t="shared" ca="1" si="355"/>
        <v>2104.2623296030993</v>
      </c>
    </row>
    <row r="133" spans="1:60">
      <c r="B133" s="52" t="s">
        <v>119</v>
      </c>
      <c r="F133" s="4">
        <f t="shared" ref="F133:M133" ca="1" si="356">+F132/F131</f>
        <v>0.13155883901273308</v>
      </c>
      <c r="G133" s="4">
        <f t="shared" ca="1" si="356"/>
        <v>0.14970728200324362</v>
      </c>
      <c r="H133" s="4">
        <f t="shared" ca="1" si="356"/>
        <v>0.15403958201395473</v>
      </c>
      <c r="I133" s="4">
        <f t="shared" ca="1" si="356"/>
        <v>0.14441742805736082</v>
      </c>
      <c r="J133" s="4">
        <f t="shared" ca="1" si="356"/>
        <v>0.20081000980963326</v>
      </c>
      <c r="K133" s="4">
        <f t="shared" ca="1" si="356"/>
        <v>0.14073221727437923</v>
      </c>
      <c r="L133" s="4">
        <f t="shared" ca="1" si="356"/>
        <v>0.17999999999999997</v>
      </c>
      <c r="M133" s="4">
        <f t="shared" ca="1" si="356"/>
        <v>0.18000000000000013</v>
      </c>
      <c r="N133" s="4">
        <f t="shared" ref="N133" ca="1" si="357">+N132/N131</f>
        <v>0.17999999999999994</v>
      </c>
      <c r="O133" s="71"/>
      <c r="P133" s="71"/>
      <c r="Q133" s="4">
        <f t="shared" ref="Q133:AN133" si="358">+Q132/Q131</f>
        <v>0.15061113753709618</v>
      </c>
      <c r="R133" s="4">
        <f t="shared" si="358"/>
        <v>7.8877526431872347E-2</v>
      </c>
      <c r="S133" s="4">
        <f t="shared" si="358"/>
        <v>0.13520860387639297</v>
      </c>
      <c r="T133" s="215">
        <f t="shared" si="358"/>
        <v>0.16245550150492252</v>
      </c>
      <c r="U133" s="4">
        <f t="shared" si="358"/>
        <v>0.16231047443739732</v>
      </c>
      <c r="V133" s="4">
        <f t="shared" si="358"/>
        <v>0.16283512138779679</v>
      </c>
      <c r="W133" s="4">
        <f t="shared" si="358"/>
        <v>0.16314638000563741</v>
      </c>
      <c r="X133" s="215">
        <f t="shared" si="358"/>
        <v>0.11170684667309554</v>
      </c>
      <c r="Y133" s="4">
        <f t="shared" si="358"/>
        <v>0.15148024648244324</v>
      </c>
      <c r="Z133" s="4">
        <f t="shared" si="358"/>
        <v>0.15380692546911168</v>
      </c>
      <c r="AA133" s="4">
        <f t="shared" si="358"/>
        <v>0.15472831348051308</v>
      </c>
      <c r="AB133" s="215">
        <f t="shared" si="358"/>
        <v>0.15600416711812384</v>
      </c>
      <c r="AC133" s="4">
        <f t="shared" si="358"/>
        <v>0.20733641310304812</v>
      </c>
      <c r="AD133" s="4">
        <f t="shared" si="358"/>
        <v>0.1900698919172758</v>
      </c>
      <c r="AE133" s="4">
        <f t="shared" si="358"/>
        <v>0.19350763702354837</v>
      </c>
      <c r="AF133" s="215">
        <f t="shared" si="358"/>
        <v>0.12680487686951181</v>
      </c>
      <c r="AG133" s="4">
        <f t="shared" si="358"/>
        <v>0.25430317913835798</v>
      </c>
      <c r="AH133" s="4">
        <f t="shared" si="358"/>
        <v>0.24809202829925892</v>
      </c>
      <c r="AI133" s="4">
        <f t="shared" ca="1" si="358"/>
        <v>0.25257746782137463</v>
      </c>
      <c r="AJ133" s="215">
        <f t="shared" ca="1" si="358"/>
        <v>8.8653312628094866E-2</v>
      </c>
      <c r="AK133" s="4">
        <f t="shared" ca="1" si="358"/>
        <v>0.18619984581911936</v>
      </c>
      <c r="AL133" s="4">
        <f t="shared" ca="1" si="358"/>
        <v>0.11338962605548854</v>
      </c>
      <c r="AM133" s="4">
        <f t="shared" ca="1" si="358"/>
        <v>0.12128247650635711</v>
      </c>
      <c r="AN133" s="215">
        <f t="shared" ca="1" si="358"/>
        <v>0.18258647798742139</v>
      </c>
      <c r="AO133" s="234">
        <v>0.18</v>
      </c>
      <c r="AP133" s="66">
        <v>0.18</v>
      </c>
      <c r="AQ133" s="66">
        <v>0.18</v>
      </c>
      <c r="AR133" s="246">
        <v>0.18</v>
      </c>
      <c r="AS133" s="234">
        <v>0.18</v>
      </c>
      <c r="AT133" s="66">
        <v>0.18</v>
      </c>
      <c r="AU133" s="66">
        <v>0.18</v>
      </c>
      <c r="AV133" s="246">
        <v>0.18</v>
      </c>
      <c r="AW133" s="234">
        <v>0.18</v>
      </c>
      <c r="AX133" s="66">
        <v>0.18</v>
      </c>
      <c r="AY133" s="66">
        <v>0.18</v>
      </c>
      <c r="AZ133" s="66">
        <v>0.18</v>
      </c>
    </row>
    <row r="134" spans="1:60" s="8" customFormat="1">
      <c r="A134" s="296"/>
      <c r="B134" s="68" t="s">
        <v>112</v>
      </c>
      <c r="C134" s="8" t="s">
        <v>88</v>
      </c>
      <c r="F134" s="82">
        <f t="shared" ref="F134:M134" ca="1" si="359">+F131-F132</f>
        <v>10391.278000000002</v>
      </c>
      <c r="G134" s="82">
        <f t="shared" ca="1" si="359"/>
        <v>10387.776999999998</v>
      </c>
      <c r="H134" s="82">
        <f t="shared" ca="1" si="359"/>
        <v>12253.234999999999</v>
      </c>
      <c r="I134" s="82">
        <f t="shared" ca="1" si="359"/>
        <v>32432.246000000006</v>
      </c>
      <c r="J134" s="82">
        <f t="shared" ca="1" si="359"/>
        <v>11595.613000000001</v>
      </c>
      <c r="K134" s="82">
        <f t="shared" ca="1" si="359"/>
        <v>18286.552</v>
      </c>
      <c r="L134" s="82">
        <f t="shared" ca="1" si="359"/>
        <v>16255.714437700026</v>
      </c>
      <c r="M134" s="82">
        <f t="shared" ca="1" si="359"/>
        <v>23077.264977511077</v>
      </c>
      <c r="N134" s="82">
        <f t="shared" ref="N134" ca="1" si="360">+N131-N132</f>
        <v>32917.356522643364</v>
      </c>
      <c r="O134" s="82"/>
      <c r="P134" s="82"/>
      <c r="Q134" s="82">
        <f t="shared" ref="Q134:AV134" si="361">+Q131-Q132</f>
        <v>1867.8180000000002</v>
      </c>
      <c r="R134" s="82">
        <f t="shared" si="361"/>
        <v>2748.4479999999999</v>
      </c>
      <c r="S134" s="82">
        <f t="shared" si="361"/>
        <v>2991.3930000000005</v>
      </c>
      <c r="T134" s="219">
        <f t="shared" si="361"/>
        <v>2783.5179999999991</v>
      </c>
      <c r="U134" s="82">
        <f t="shared" si="361"/>
        <v>2006.9240000000004</v>
      </c>
      <c r="V134" s="82">
        <f t="shared" si="361"/>
        <v>2638.2999999999997</v>
      </c>
      <c r="W134" s="82">
        <f t="shared" si="361"/>
        <v>3016.4689999999987</v>
      </c>
      <c r="X134" s="219">
        <f t="shared" si="361"/>
        <v>2694.3929999999982</v>
      </c>
      <c r="Y134" s="82">
        <f t="shared" si="361"/>
        <v>2410.3119999999994</v>
      </c>
      <c r="Z134" s="82">
        <f t="shared" si="361"/>
        <v>3331.8810000000012</v>
      </c>
      <c r="AA134" s="82">
        <f t="shared" si="361"/>
        <v>3587.8849999999984</v>
      </c>
      <c r="AB134" s="219">
        <f t="shared" si="361"/>
        <v>2913.2929999999992</v>
      </c>
      <c r="AC134" s="82">
        <f t="shared" si="361"/>
        <v>2068.2860000000001</v>
      </c>
      <c r="AD134" s="82">
        <f t="shared" si="361"/>
        <v>3251.1039999999975</v>
      </c>
      <c r="AE134" s="82">
        <f t="shared" si="361"/>
        <v>2461.1299999999983</v>
      </c>
      <c r="AF134" s="219">
        <f t="shared" si="361"/>
        <v>24651.725999999999</v>
      </c>
      <c r="AG134" s="82">
        <f t="shared" si="361"/>
        <v>1978.5789999999993</v>
      </c>
      <c r="AH134" s="82">
        <f t="shared" si="361"/>
        <v>2402.5550000000021</v>
      </c>
      <c r="AI134" s="82">
        <f t="shared" ca="1" si="361"/>
        <v>3092.8890000000029</v>
      </c>
      <c r="AJ134" s="219">
        <f t="shared" ca="1" si="361"/>
        <v>4121.59</v>
      </c>
      <c r="AK134" s="82">
        <f t="shared" ca="1" si="361"/>
        <v>1770.3139999999989</v>
      </c>
      <c r="AL134" s="82">
        <f t="shared" ca="1" si="361"/>
        <v>4410</v>
      </c>
      <c r="AM134" s="82">
        <f t="shared" ca="1" si="361"/>
        <v>7948</v>
      </c>
      <c r="AN134" s="219">
        <f t="shared" ca="1" si="361"/>
        <v>4159</v>
      </c>
      <c r="AO134" s="82">
        <f t="shared" ca="1" si="361"/>
        <v>2955.5444555965278</v>
      </c>
      <c r="AP134" s="82">
        <f t="shared" ca="1" si="361"/>
        <v>4034.0107364503829</v>
      </c>
      <c r="AQ134" s="82">
        <f t="shared" ca="1" si="361"/>
        <v>4889.7878189139738</v>
      </c>
      <c r="AR134" s="219">
        <f t="shared" ca="1" si="361"/>
        <v>4376.371426739136</v>
      </c>
      <c r="AS134" s="82">
        <f t="shared" ca="1" si="361"/>
        <v>4152.7936409397389</v>
      </c>
      <c r="AT134" s="82">
        <f t="shared" ca="1" si="361"/>
        <v>5666.2268345142575</v>
      </c>
      <c r="AU134" s="82">
        <f t="shared" ca="1" si="361"/>
        <v>6894.8438276457691</v>
      </c>
      <c r="AV134" s="219">
        <f t="shared" ca="1" si="361"/>
        <v>6363.400674411334</v>
      </c>
      <c r="AW134" s="82">
        <f t="shared" ref="AW134:AZ134" ca="1" si="362">+AW131-AW132</f>
        <v>6056.1340065781469</v>
      </c>
      <c r="AX134" s="82">
        <f t="shared" ca="1" si="362"/>
        <v>7888.5203644031189</v>
      </c>
      <c r="AY134" s="82">
        <f t="shared" ca="1" si="362"/>
        <v>9386.6182056924081</v>
      </c>
      <c r="AZ134" s="82">
        <f t="shared" ca="1" si="362"/>
        <v>9586.0839459696745</v>
      </c>
      <c r="BC134"/>
      <c r="BD134"/>
      <c r="BE134"/>
      <c r="BF134"/>
      <c r="BG134"/>
      <c r="BH134"/>
    </row>
    <row r="135" spans="1:60">
      <c r="B135" s="3" t="s">
        <v>111</v>
      </c>
      <c r="E135" s="10"/>
      <c r="F135" s="4">
        <f t="shared" ref="F135:M135" ca="1" si="363">F134/F$94</f>
        <v>0.49348591926516688</v>
      </c>
      <c r="G135" s="4">
        <f t="shared" ca="1" si="363"/>
        <v>0.34447868894635592</v>
      </c>
      <c r="H135" s="4">
        <f t="shared" ca="1" si="363"/>
        <v>0.26461790902590776</v>
      </c>
      <c r="I135" s="4">
        <f t="shared" ca="1" si="363"/>
        <v>0.51755495546990304</v>
      </c>
      <c r="J135" s="4">
        <f t="shared" ca="1" si="363"/>
        <v>0.17411196431845405</v>
      </c>
      <c r="K135" s="4">
        <f t="shared" ca="1" si="363"/>
        <v>0.22841034373174721</v>
      </c>
      <c r="L135" s="4">
        <f t="shared" ca="1" si="363"/>
        <v>0.16354806366136629</v>
      </c>
      <c r="M135" s="4">
        <f t="shared" ca="1" si="363"/>
        <v>0.19009785144118999</v>
      </c>
      <c r="N135" s="4">
        <f t="shared" ref="N135" ca="1" si="364">N134/N$94</f>
        <v>0.22535856962409248</v>
      </c>
      <c r="O135" s="58"/>
      <c r="P135" s="58"/>
      <c r="Q135" s="4">
        <f t="shared" ref="Q135:AV135" si="365">Q134/Q$94</f>
        <v>0.46405897064044316</v>
      </c>
      <c r="R135" s="4">
        <f t="shared" si="365"/>
        <v>0.53360845459352324</v>
      </c>
      <c r="S135" s="4">
        <f t="shared" si="365"/>
        <v>0.50695736122385149</v>
      </c>
      <c r="T135" s="215">
        <f t="shared" si="365"/>
        <v>0.46542713675820419</v>
      </c>
      <c r="U135" s="4">
        <f t="shared" si="365"/>
        <v>0.35619758365605148</v>
      </c>
      <c r="V135" s="4">
        <f t="shared" si="365"/>
        <v>0.36964392357621473</v>
      </c>
      <c r="W135" s="4">
        <f t="shared" si="365"/>
        <v>0.35937190524772605</v>
      </c>
      <c r="X135" s="215">
        <f t="shared" si="365"/>
        <v>0.2997223510160551</v>
      </c>
      <c r="Y135" s="4">
        <f t="shared" si="365"/>
        <v>0.26886564830787962</v>
      </c>
      <c r="Z135" s="4">
        <f t="shared" si="365"/>
        <v>0.29447681908674123</v>
      </c>
      <c r="AA135" s="4">
        <f t="shared" si="365"/>
        <v>0.28112383356572551</v>
      </c>
      <c r="AB135" s="215">
        <f t="shared" si="365"/>
        <v>0.21964876630136734</v>
      </c>
      <c r="AC135" s="4">
        <f t="shared" si="365"/>
        <v>0.1721844440887953</v>
      </c>
      <c r="AD135" s="4">
        <f t="shared" si="365"/>
        <v>0.20777777680748313</v>
      </c>
      <c r="AE135" s="4">
        <f t="shared" si="365"/>
        <v>0.14182221344116006</v>
      </c>
      <c r="AF135" s="215">
        <f t="shared" si="365"/>
        <v>1.3965668869031727</v>
      </c>
      <c r="AG135" s="4">
        <f t="shared" si="365"/>
        <v>0.13248271494282721</v>
      </c>
      <c r="AH135" s="4">
        <f t="shared" si="365"/>
        <v>0.13935219563761544</v>
      </c>
      <c r="AI135" s="4">
        <f t="shared" ca="1" si="365"/>
        <v>0.17949973842867797</v>
      </c>
      <c r="AJ135" s="215">
        <f t="shared" ca="1" si="365"/>
        <v>0.23973197918311714</v>
      </c>
      <c r="AK135" s="4">
        <f t="shared" ca="1" si="365"/>
        <v>0.11102696690051071</v>
      </c>
      <c r="AL135" s="4">
        <f t="shared" ca="1" si="365"/>
        <v>0.22380042969682501</v>
      </c>
      <c r="AM135" s="4">
        <f t="shared" ca="1" si="365"/>
        <v>0.35844401743044524</v>
      </c>
      <c r="AN135" s="215">
        <f t="shared" ca="1" si="365"/>
        <v>0.1870317685083652</v>
      </c>
      <c r="AO135" s="4">
        <f t="shared" ca="1" si="365"/>
        <v>0.1429947832605663</v>
      </c>
      <c r="AP135" s="4">
        <f t="shared" ca="1" si="365"/>
        <v>0.16303658405140942</v>
      </c>
      <c r="AQ135" s="4">
        <f t="shared" ca="1" si="365"/>
        <v>0.18095590829341082</v>
      </c>
      <c r="AR135" s="215">
        <f t="shared" ca="1" si="365"/>
        <v>0.16232680837469318</v>
      </c>
      <c r="AS135" s="4">
        <f t="shared" ca="1" si="365"/>
        <v>0.15859176576169773</v>
      </c>
      <c r="AT135" s="4">
        <f t="shared" ca="1" si="365"/>
        <v>0.18763380016653364</v>
      </c>
      <c r="AU135" s="4">
        <f t="shared" ca="1" si="365"/>
        <v>0.20858846234530717</v>
      </c>
      <c r="AV135" s="215">
        <f t="shared" ca="1" si="365"/>
        <v>0.19911611163735879</v>
      </c>
      <c r="AW135" s="4">
        <f t="shared" ref="AW135:AZ135" ca="1" si="366">AW134/AW$94</f>
        <v>0.1904660715443002</v>
      </c>
      <c r="AX135" s="4">
        <f t="shared" ca="1" si="366"/>
        <v>0.21876310642966298</v>
      </c>
      <c r="AY135" s="4">
        <f t="shared" ca="1" si="366"/>
        <v>0.23928580977202923</v>
      </c>
      <c r="AZ135" s="4">
        <f t="shared" ca="1" si="366"/>
        <v>0.24590482965342789</v>
      </c>
    </row>
    <row r="136" spans="1:60">
      <c r="B136" s="3" t="s">
        <v>110</v>
      </c>
      <c r="E136" s="10"/>
      <c r="F136" s="4">
        <f t="shared" ref="F136:M136" ca="1" si="367">F134/F$89</f>
        <v>0.46585070778631754</v>
      </c>
      <c r="G136" s="4">
        <f t="shared" ca="1" si="367"/>
        <v>0.32518788236535995</v>
      </c>
      <c r="H136" s="4">
        <f t="shared" ca="1" si="367"/>
        <v>0.24979930612045692</v>
      </c>
      <c r="I136" s="4">
        <f t="shared" ca="1" si="367"/>
        <v>0.48857187796358847</v>
      </c>
      <c r="J136" s="4">
        <f t="shared" ca="1" si="367"/>
        <v>0.16436169431662065</v>
      </c>
      <c r="K136" s="4">
        <f t="shared" ca="1" si="367"/>
        <v>0.21561931169568574</v>
      </c>
      <c r="L136" s="4">
        <f t="shared" ca="1" si="367"/>
        <v>0.15438858260204222</v>
      </c>
      <c r="M136" s="4">
        <f t="shared" ca="1" si="367"/>
        <v>0.17945147229099878</v>
      </c>
      <c r="N136" s="4">
        <f t="shared" ref="N136" ca="1" si="368">N134/N$89</f>
        <v>0.21273744495888924</v>
      </c>
      <c r="O136" s="58"/>
      <c r="P136" s="58"/>
      <c r="Q136" s="4">
        <f t="shared" ref="Q136:AV136" si="369">Q134/Q$89</f>
        <v>0.43807166828457833</v>
      </c>
      <c r="R136" s="4">
        <f t="shared" si="369"/>
        <v>0.50372638113628598</v>
      </c>
      <c r="S136" s="4">
        <f t="shared" si="369"/>
        <v>0.47856774899531579</v>
      </c>
      <c r="T136" s="215">
        <f t="shared" si="369"/>
        <v>0.43936321709974474</v>
      </c>
      <c r="U136" s="4">
        <f t="shared" si="369"/>
        <v>0.33625051897131264</v>
      </c>
      <c r="V136" s="4">
        <f t="shared" si="369"/>
        <v>0.34894386385594672</v>
      </c>
      <c r="W136" s="4">
        <f t="shared" si="369"/>
        <v>0.33924707855385339</v>
      </c>
      <c r="X136" s="215">
        <f t="shared" si="369"/>
        <v>0.28293789935915603</v>
      </c>
      <c r="Y136" s="4">
        <f t="shared" si="369"/>
        <v>0.25380917200263836</v>
      </c>
      <c r="Z136" s="4">
        <f t="shared" si="369"/>
        <v>0.27798611721788374</v>
      </c>
      <c r="AA136" s="4">
        <f t="shared" si="369"/>
        <v>0.26538089888604488</v>
      </c>
      <c r="AB136" s="215">
        <f t="shared" si="369"/>
        <v>0.20734843538849076</v>
      </c>
      <c r="AC136" s="4">
        <f t="shared" si="369"/>
        <v>0.16254211521982276</v>
      </c>
      <c r="AD136" s="4">
        <f t="shared" si="369"/>
        <v>0.19614222130626408</v>
      </c>
      <c r="AE136" s="4">
        <f t="shared" si="369"/>
        <v>0.1338801694884551</v>
      </c>
      <c r="AF136" s="215">
        <f t="shared" si="369"/>
        <v>1.3183591412365951</v>
      </c>
      <c r="AG136" s="4">
        <f t="shared" si="369"/>
        <v>0.1250636829060289</v>
      </c>
      <c r="AH136" s="4">
        <f t="shared" si="369"/>
        <v>0.131548472681909</v>
      </c>
      <c r="AI136" s="4">
        <f t="shared" ca="1" si="369"/>
        <v>0.16944775307667201</v>
      </c>
      <c r="AJ136" s="215">
        <f t="shared" ca="1" si="369"/>
        <v>0.22630698834886259</v>
      </c>
      <c r="AK136" s="4">
        <f t="shared" ca="1" si="369"/>
        <v>0.10480945675408213</v>
      </c>
      <c r="AL136" s="4">
        <f t="shared" ca="1" si="369"/>
        <v>0.21126760563380281</v>
      </c>
      <c r="AM136" s="4">
        <f t="shared" ca="1" si="369"/>
        <v>0.33837115245434035</v>
      </c>
      <c r="AN136" s="215">
        <f t="shared" ca="1" si="369"/>
        <v>0.17655798947189677</v>
      </c>
      <c r="AO136" s="4">
        <f t="shared" ca="1" si="369"/>
        <v>0.13498638084188994</v>
      </c>
      <c r="AP136" s="4">
        <f t="shared" ca="1" si="369"/>
        <v>0.15390574545005833</v>
      </c>
      <c r="AQ136" s="4">
        <f t="shared" ca="1" si="369"/>
        <v>0.17082151005447721</v>
      </c>
      <c r="AR136" s="215">
        <f t="shared" ca="1" si="369"/>
        <v>0.15323572432032584</v>
      </c>
      <c r="AS136" s="4">
        <f t="shared" ca="1" si="369"/>
        <v>0.1497098711403459</v>
      </c>
      <c r="AT136" s="4">
        <f t="shared" ca="1" si="369"/>
        <v>0.177125415504784</v>
      </c>
      <c r="AU136" s="4">
        <f t="shared" ca="1" si="369"/>
        <v>0.19690652168561429</v>
      </c>
      <c r="AV136" s="215">
        <f t="shared" ca="1" si="369"/>
        <v>0.18796467660652363</v>
      </c>
      <c r="AW136" s="4">
        <f t="shared" ref="AW136:AZ136" ca="1" si="370">AW134/AW$89</f>
        <v>0.1797990857937016</v>
      </c>
      <c r="AX136" s="4">
        <f t="shared" ca="1" si="370"/>
        <v>0.20651135607326671</v>
      </c>
      <c r="AY136" s="4">
        <f t="shared" ca="1" si="370"/>
        <v>0.22588469450972568</v>
      </c>
      <c r="AZ136" s="4">
        <f t="shared" ca="1" si="370"/>
        <v>0.23213302495552476</v>
      </c>
    </row>
    <row r="137" spans="1:60">
      <c r="B137" s="3" t="s">
        <v>118</v>
      </c>
      <c r="C137" s="1" t="s">
        <v>88</v>
      </c>
      <c r="F137" s="67">
        <v>-64.75</v>
      </c>
      <c r="G137" s="67">
        <v>-162.88</v>
      </c>
      <c r="H137" s="67">
        <v>-943.69799999999998</v>
      </c>
      <c r="I137" s="67">
        <v>-1231.9269999999999</v>
      </c>
      <c r="J137" s="67">
        <v>-36.655999999999999</v>
      </c>
      <c r="K137" s="67">
        <v>-13</v>
      </c>
      <c r="L137" s="58">
        <f ca="1">SUM(OFFSET($P137,0,L$1,1,4))</f>
        <v>-2483.8646572787284</v>
      </c>
      <c r="M137" s="58">
        <f ca="1">SUM(OFFSET($P137,0,M$1,1,4))</f>
        <v>-2630.125237907338</v>
      </c>
      <c r="N137" s="58">
        <f ca="1">SUM(OFFSET($P137,0,N$1,1,4))</f>
        <v>-1375.2942443545835</v>
      </c>
      <c r="O137" s="58"/>
      <c r="P137" s="58"/>
      <c r="Q137" s="67">
        <v>-15.157</v>
      </c>
      <c r="R137" s="67">
        <v>-21.422000000000001</v>
      </c>
      <c r="S137" s="67">
        <v>-16.207999999999998</v>
      </c>
      <c r="T137" s="217">
        <v>-11.964</v>
      </c>
      <c r="U137" s="67">
        <v>-35.908000000000001</v>
      </c>
      <c r="V137" s="67">
        <v>-5.5890000000000004</v>
      </c>
      <c r="W137" s="67">
        <v>-31.512</v>
      </c>
      <c r="X137" s="217">
        <v>-89.87</v>
      </c>
      <c r="Y137" s="67">
        <v>-124.88</v>
      </c>
      <c r="Z137" s="67">
        <v>-214.815</v>
      </c>
      <c r="AA137" s="67">
        <v>-288.22699999999998</v>
      </c>
      <c r="AB137" s="217">
        <v>-315.77600000000001</v>
      </c>
      <c r="AC137" s="67">
        <v>-380.99400000000003</v>
      </c>
      <c r="AD137" s="67">
        <v>-410.90899999999999</v>
      </c>
      <c r="AE137" s="67">
        <v>-379.93900000000002</v>
      </c>
      <c r="AF137" s="217">
        <v>-60.085000000000001</v>
      </c>
      <c r="AG137" s="67">
        <v>-8.2520000000000007</v>
      </c>
      <c r="AH137" s="67">
        <v>-11.268000000000001</v>
      </c>
      <c r="AI137" s="67">
        <v>-9.4410000000000007</v>
      </c>
      <c r="AJ137" s="217">
        <v>-7.6950000000000003</v>
      </c>
      <c r="AK137" s="67">
        <v>-6.3570000000000002</v>
      </c>
      <c r="AL137" s="67">
        <v>-5</v>
      </c>
      <c r="AM137" s="67">
        <v>-1</v>
      </c>
      <c r="AN137" s="217">
        <v>0</v>
      </c>
      <c r="AO137" s="233">
        <v>0</v>
      </c>
      <c r="AP137" s="89">
        <f ca="1">(1-Valuation!$F$50)*IQ_IS!AP128</f>
        <v>-917.94370972471131</v>
      </c>
      <c r="AQ137" s="89">
        <f ca="1">(1-Valuation!$F$50)*IQ_IS!AQ128</f>
        <v>-686.32721635388236</v>
      </c>
      <c r="AR137" s="245">
        <f ca="1">(1-Valuation!$F$50)*IQ_IS!AR128</f>
        <v>-879.59373120013493</v>
      </c>
      <c r="AS137" s="233">
        <f ca="1">(1-Valuation!$F$50)*IQ_IS!AS128</f>
        <v>-796.77151000070546</v>
      </c>
      <c r="AT137" s="89">
        <f ca="1">(1-Valuation!$F$50)*IQ_IS!AT128</f>
        <v>-880.42014474172959</v>
      </c>
      <c r="AU137" s="89">
        <f ca="1">(1-Valuation!$F$50)*IQ_IS!AU128</f>
        <v>-446.63444669129854</v>
      </c>
      <c r="AV137" s="245">
        <f ca="1">(1-Valuation!$F$50)*IQ_IS!AV128</f>
        <v>-506.29913647360445</v>
      </c>
      <c r="AW137" s="233">
        <f ca="1">(1-Valuation!$F$50)*IQ_IS!AW128</f>
        <v>-589.98247602514516</v>
      </c>
      <c r="AX137" s="89">
        <f ca="1">(1-Valuation!$F$50)*IQ_IS!AX128</f>
        <v>-695.90211962711737</v>
      </c>
      <c r="AY137" s="89">
        <f ca="1">(1-Valuation!$F$50)*IQ_IS!AY128</f>
        <v>-56.919071536821697</v>
      </c>
      <c r="AZ137" s="89">
        <f ca="1">(1-Valuation!$F$50)*IQ_IS!AZ128</f>
        <v>-32.490577165499097</v>
      </c>
    </row>
    <row r="138" spans="1:60" s="8" customFormat="1">
      <c r="A138" s="296" t="s">
        <v>709</v>
      </c>
      <c r="B138" s="68" t="s">
        <v>117</v>
      </c>
      <c r="C138" s="8" t="s">
        <v>88</v>
      </c>
      <c r="F138" s="82">
        <f ca="1">+F134-BIDU_IS!F137</f>
        <v>10456.028000000002</v>
      </c>
      <c r="G138" s="82">
        <f ca="1">+G134-BIDU_IS!G137</f>
        <v>10550.656999999997</v>
      </c>
      <c r="H138" s="82">
        <f ca="1">+H134-BIDU_IS!H137</f>
        <v>13196.932999999999</v>
      </c>
      <c r="I138" s="82">
        <f ca="1">+I134-BIDU_IS!I137</f>
        <v>33664.17300000001</v>
      </c>
      <c r="J138" s="82">
        <f ca="1">+J134-BIDU_IS!J137</f>
        <v>11632.269000000002</v>
      </c>
      <c r="K138" s="82">
        <f ca="1">+K134-IQ_IS!K127</f>
        <v>18286.552</v>
      </c>
      <c r="L138" s="82">
        <f ca="1">+L134-BIDU_IS!L137</f>
        <v>18739.579094978755</v>
      </c>
      <c r="M138" s="82">
        <f ca="1">+M134-BIDU_IS!M137</f>
        <v>25707.390215418414</v>
      </c>
      <c r="N138" s="82">
        <f ca="1">+N134-BIDU_IS!N137</f>
        <v>34292.650766997947</v>
      </c>
      <c r="O138" s="82"/>
      <c r="P138" s="82"/>
      <c r="Q138" s="82">
        <f>+Q134-BIDU_IS!Q137</f>
        <v>1882.9750000000001</v>
      </c>
      <c r="R138" s="82">
        <f>+R134-BIDU_IS!R137</f>
        <v>2769.87</v>
      </c>
      <c r="S138" s="82">
        <f>+S134-BIDU_IS!S137</f>
        <v>3007.6010000000006</v>
      </c>
      <c r="T138" s="219">
        <f>+T134-BIDU_IS!T137</f>
        <v>2795.4819999999991</v>
      </c>
      <c r="U138" s="82">
        <f>+U134-BIDU_IS!U137</f>
        <v>2042.8320000000003</v>
      </c>
      <c r="V138" s="82">
        <f>+V134-BIDU_IS!V137</f>
        <v>2643.8889999999997</v>
      </c>
      <c r="W138" s="82">
        <f>+W134-BIDU_IS!W137</f>
        <v>3047.9809999999989</v>
      </c>
      <c r="X138" s="219">
        <f>+X134-BIDU_IS!X137</f>
        <v>2784.2629999999981</v>
      </c>
      <c r="Y138" s="82">
        <f>+Y134-BIDU_IS!Y137</f>
        <v>2535.1919999999996</v>
      </c>
      <c r="Z138" s="82">
        <f>+Z134-BIDU_IS!Z137</f>
        <v>3546.6960000000013</v>
      </c>
      <c r="AA138" s="82">
        <f>+AA134-BIDU_IS!AA137</f>
        <v>3876.1119999999983</v>
      </c>
      <c r="AB138" s="219">
        <f>+AB134-BIDU_IS!AB137</f>
        <v>3229.0689999999991</v>
      </c>
      <c r="AC138" s="82">
        <f>+AC134-BIDU_IS!AC137</f>
        <v>2449.2800000000002</v>
      </c>
      <c r="AD138" s="82">
        <f>+AD134-BIDU_IS!AD137</f>
        <v>3662.0129999999976</v>
      </c>
      <c r="AE138" s="82">
        <f>+AE134-BIDU_IS!AE137</f>
        <v>2841.0689999999981</v>
      </c>
      <c r="AF138" s="219">
        <f>+AF134-BIDU_IS!AF137</f>
        <v>24711.810999999998</v>
      </c>
      <c r="AG138" s="82">
        <f>+AG134-BIDU_IS!AG137</f>
        <v>1986.8309999999992</v>
      </c>
      <c r="AH138" s="82">
        <f>+AH134-BIDU_IS!AH137</f>
        <v>2413.8230000000021</v>
      </c>
      <c r="AI138" s="82">
        <f ca="1">+AI134-BIDU_IS!AI137</f>
        <v>3102.3300000000027</v>
      </c>
      <c r="AJ138" s="219">
        <f ca="1">+AJ134-BIDU_IS!AJ137</f>
        <v>4129.2849999999999</v>
      </c>
      <c r="AK138" s="82">
        <f ca="1">+AK134-BIDU_IS!AK137</f>
        <v>1776.6709999999989</v>
      </c>
      <c r="AL138" s="82">
        <f ca="1">+AL134-BIDU_IS!AL137</f>
        <v>4415</v>
      </c>
      <c r="AM138" s="82">
        <f ca="1">+AM134-BIDU_IS!AM137</f>
        <v>7949</v>
      </c>
      <c r="AN138" s="219">
        <f ca="1">+AN134-BIDU_IS!AN137</f>
        <v>4159</v>
      </c>
      <c r="AO138" s="82">
        <f ca="1">+AO134-BIDU_IS!AO137</f>
        <v>2955.5444555965278</v>
      </c>
      <c r="AP138" s="82">
        <f ca="1">+AP134-BIDU_IS!AP137</f>
        <v>4951.9544461750938</v>
      </c>
      <c r="AQ138" s="82">
        <f ca="1">+AQ134-BIDU_IS!AQ137</f>
        <v>5576.115035267856</v>
      </c>
      <c r="AR138" s="219">
        <f ca="1">+AR134-BIDU_IS!AR137</f>
        <v>5255.9651579392712</v>
      </c>
      <c r="AS138" s="82">
        <f ca="1">+AS134-BIDU_IS!AS137</f>
        <v>4949.5651509404443</v>
      </c>
      <c r="AT138" s="82">
        <f ca="1">+AT134-BIDU_IS!AT137</f>
        <v>6546.6469792559874</v>
      </c>
      <c r="AU138" s="82">
        <f ca="1">+AU134-BIDU_IS!AU137</f>
        <v>7341.4782743370679</v>
      </c>
      <c r="AV138" s="219">
        <f ca="1">+AV134-BIDU_IS!AV137</f>
        <v>6869.6998108849384</v>
      </c>
      <c r="AW138" s="82">
        <f ca="1">+AW134-BIDU_IS!AW137</f>
        <v>6646.1164826032918</v>
      </c>
      <c r="AX138" s="82">
        <f ca="1">+AX134-BIDU_IS!AX137</f>
        <v>8584.4224840302359</v>
      </c>
      <c r="AY138" s="82">
        <f ca="1">+AY134-BIDU_IS!AY137</f>
        <v>9443.5372772292303</v>
      </c>
      <c r="AZ138" s="82">
        <f ca="1">+AZ134-BIDU_IS!AZ137</f>
        <v>9618.5745231351739</v>
      </c>
      <c r="BC138"/>
      <c r="BD138"/>
      <c r="BE138"/>
      <c r="BF138"/>
      <c r="BG138"/>
      <c r="BH138"/>
    </row>
    <row r="139" spans="1:60">
      <c r="A139" s="296" t="s">
        <v>717</v>
      </c>
      <c r="B139" s="3" t="s">
        <v>111</v>
      </c>
      <c r="E139" s="10"/>
      <c r="F139" s="4">
        <f t="shared" ref="F139:M139" ca="1" si="371">F138/F$94</f>
        <v>0.49656092248155853</v>
      </c>
      <c r="G139" s="4">
        <f t="shared" ca="1" si="371"/>
        <v>0.34988010340255593</v>
      </c>
      <c r="H139" s="4">
        <f t="shared" ca="1" si="371"/>
        <v>0.28499778352533023</v>
      </c>
      <c r="I139" s="4">
        <f t="shared" ca="1" si="371"/>
        <v>0.53721409112233898</v>
      </c>
      <c r="J139" s="4">
        <f t="shared" ca="1" si="371"/>
        <v>0.17466236628202919</v>
      </c>
      <c r="K139" s="4">
        <f t="shared" ca="1" si="371"/>
        <v>0.22841034373174721</v>
      </c>
      <c r="L139" s="4">
        <f t="shared" ca="1" si="371"/>
        <v>0.18853812218212335</v>
      </c>
      <c r="M139" s="4">
        <f t="shared" ca="1" si="371"/>
        <v>0.21176338057710223</v>
      </c>
      <c r="N139" s="4">
        <f t="shared" ref="N139" ca="1" si="372">N138/N$94</f>
        <v>0.23477409919454253</v>
      </c>
      <c r="O139" s="58"/>
      <c r="P139" s="58"/>
      <c r="Q139" s="4">
        <f t="shared" ref="Q139:AV139" si="373">Q138/Q$94</f>
        <v>0.46782472395152441</v>
      </c>
      <c r="R139" s="4">
        <f t="shared" si="373"/>
        <v>0.53776751465734929</v>
      </c>
      <c r="S139" s="4">
        <f t="shared" si="373"/>
        <v>0.50970416343630442</v>
      </c>
      <c r="T139" s="215">
        <f t="shared" si="373"/>
        <v>0.4674276161027513</v>
      </c>
      <c r="U139" s="4">
        <f t="shared" si="373"/>
        <v>0.36257069137409237</v>
      </c>
      <c r="V139" s="4">
        <f t="shared" si="373"/>
        <v>0.37042698080581998</v>
      </c>
      <c r="W139" s="4">
        <f t="shared" si="373"/>
        <v>0.3631261382526621</v>
      </c>
      <c r="X139" s="215">
        <f t="shared" si="373"/>
        <v>0.30971942556524401</v>
      </c>
      <c r="Y139" s="4">
        <f t="shared" si="373"/>
        <v>0.28279577111384335</v>
      </c>
      <c r="Z139" s="4">
        <f t="shared" si="373"/>
        <v>0.31346250251664715</v>
      </c>
      <c r="AA139" s="4">
        <f t="shared" si="373"/>
        <v>0.30370746686978861</v>
      </c>
      <c r="AB139" s="215">
        <f t="shared" si="373"/>
        <v>0.24345681060984595</v>
      </c>
      <c r="AC139" s="4">
        <f t="shared" si="373"/>
        <v>0.2039021272772743</v>
      </c>
      <c r="AD139" s="4">
        <f t="shared" si="373"/>
        <v>0.23403893562928219</v>
      </c>
      <c r="AE139" s="4">
        <f t="shared" si="373"/>
        <v>0.16371613613220887</v>
      </c>
      <c r="AF139" s="215">
        <f t="shared" si="373"/>
        <v>1.399970815755845</v>
      </c>
      <c r="AG139" s="4">
        <f t="shared" si="373"/>
        <v>0.13303525662233973</v>
      </c>
      <c r="AH139" s="4">
        <f t="shared" si="373"/>
        <v>0.1400057584240843</v>
      </c>
      <c r="AI139" s="4">
        <f t="shared" ca="1" si="373"/>
        <v>0.18004765884564256</v>
      </c>
      <c r="AJ139" s="215">
        <f t="shared" ca="1" si="373"/>
        <v>0.24017955829210519</v>
      </c>
      <c r="AK139" s="4">
        <f t="shared" ca="1" si="373"/>
        <v>0.11142565234760458</v>
      </c>
      <c r="AL139" s="4">
        <f t="shared" ca="1" si="373"/>
        <v>0.22405417168060826</v>
      </c>
      <c r="AM139" s="4">
        <f t="shared" ca="1" si="373"/>
        <v>0.3584891160738059</v>
      </c>
      <c r="AN139" s="215">
        <f t="shared" ca="1" si="373"/>
        <v>0.1870317685083652</v>
      </c>
      <c r="AO139" s="4">
        <f t="shared" ca="1" si="373"/>
        <v>0.1429947832605663</v>
      </c>
      <c r="AP139" s="4">
        <f t="shared" ca="1" si="373"/>
        <v>0.20013574331559206</v>
      </c>
      <c r="AQ139" s="4">
        <f t="shared" ca="1" si="373"/>
        <v>0.20635475368735859</v>
      </c>
      <c r="AR139" s="215">
        <f t="shared" ca="1" si="373"/>
        <v>0.19495238539489898</v>
      </c>
      <c r="AS139" s="4">
        <f t="shared" ca="1" si="373"/>
        <v>0.18901981290420675</v>
      </c>
      <c r="AT139" s="4">
        <f t="shared" ca="1" si="373"/>
        <v>0.21678840027798893</v>
      </c>
      <c r="AU139" s="4">
        <f t="shared" ca="1" si="373"/>
        <v>0.22210041341985318</v>
      </c>
      <c r="AV139" s="215">
        <f t="shared" ca="1" si="373"/>
        <v>0.2149586336689143</v>
      </c>
      <c r="AW139" s="4">
        <f t="shared" ref="AW139:AZ139" ca="1" si="374">AW138/AW$94</f>
        <v>0.20902108442321454</v>
      </c>
      <c r="AX139" s="4">
        <f t="shared" ca="1" si="374"/>
        <v>0.23806174577242065</v>
      </c>
      <c r="AY139" s="4">
        <f t="shared" ca="1" si="374"/>
        <v>0.24073680371102857</v>
      </c>
      <c r="AZ139" s="4">
        <f t="shared" ca="1" si="374"/>
        <v>0.24673828676566012</v>
      </c>
    </row>
    <row r="140" spans="1:60">
      <c r="B140" s="3" t="s">
        <v>110</v>
      </c>
      <c r="E140" s="10"/>
      <c r="F140" s="4">
        <f t="shared" ref="F140:M140" ca="1" si="375">F138/F$89</f>
        <v>0.4687535108225912</v>
      </c>
      <c r="G140" s="4">
        <f t="shared" ca="1" si="375"/>
        <v>0.33028681761201278</v>
      </c>
      <c r="H140" s="4">
        <f t="shared" ca="1" si="375"/>
        <v>0.26903790764791174</v>
      </c>
      <c r="I140" s="4">
        <f t="shared" ca="1" si="375"/>
        <v>0.50713010201948805</v>
      </c>
      <c r="J140" s="4">
        <f t="shared" ca="1" si="375"/>
        <v>0.16488127377023556</v>
      </c>
      <c r="K140" s="4">
        <f t="shared" ca="1" si="375"/>
        <v>0.21561931169568574</v>
      </c>
      <c r="L140" s="4">
        <f t="shared" ca="1" si="375"/>
        <v>0.177979077211323</v>
      </c>
      <c r="M140" s="4">
        <f t="shared" ca="1" si="375"/>
        <v>0.19990362928239841</v>
      </c>
      <c r="N140" s="4">
        <f t="shared" ref="N140" ca="1" si="376">N138/N$89</f>
        <v>0.221625661222835</v>
      </c>
      <c r="O140" s="58"/>
      <c r="P140" s="58"/>
      <c r="Q140" s="4">
        <f t="shared" ref="Q140:AV140" si="377">Q138/Q$89</f>
        <v>0.44162653941023905</v>
      </c>
      <c r="R140" s="4">
        <f t="shared" si="377"/>
        <v>0.50765253383653774</v>
      </c>
      <c r="S140" s="4">
        <f t="shared" si="377"/>
        <v>0.48116073028387135</v>
      </c>
      <c r="T140" s="215">
        <f t="shared" si="377"/>
        <v>0.44125166960099721</v>
      </c>
      <c r="U140" s="4">
        <f t="shared" si="377"/>
        <v>0.34226673265714319</v>
      </c>
      <c r="V140" s="4">
        <f t="shared" si="377"/>
        <v>0.34968306988069403</v>
      </c>
      <c r="W140" s="4">
        <f t="shared" si="377"/>
        <v>0.34279107451051299</v>
      </c>
      <c r="X140" s="215">
        <f t="shared" si="377"/>
        <v>0.29237513773359042</v>
      </c>
      <c r="Y140" s="4">
        <f t="shared" si="377"/>
        <v>0.26695920793146816</v>
      </c>
      <c r="Z140" s="4">
        <f t="shared" si="377"/>
        <v>0.29590860237571492</v>
      </c>
      <c r="AA140" s="4">
        <f t="shared" si="377"/>
        <v>0.28669984872508042</v>
      </c>
      <c r="AB140" s="215">
        <f t="shared" si="377"/>
        <v>0.22982322921569456</v>
      </c>
      <c r="AC140" s="4">
        <f t="shared" si="377"/>
        <v>0.19248360814974694</v>
      </c>
      <c r="AD140" s="4">
        <f t="shared" si="377"/>
        <v>0.22093275523404238</v>
      </c>
      <c r="AE140" s="4">
        <f t="shared" si="377"/>
        <v>0.15454803250880517</v>
      </c>
      <c r="AF140" s="215">
        <f t="shared" si="377"/>
        <v>1.321572450073518</v>
      </c>
      <c r="AG140" s="4">
        <f t="shared" si="377"/>
        <v>0.12558528225148871</v>
      </c>
      <c r="AH140" s="4">
        <f t="shared" si="377"/>
        <v>0.1321654359523356</v>
      </c>
      <c r="AI140" s="4">
        <f t="shared" ca="1" si="377"/>
        <v>0.16996498995028655</v>
      </c>
      <c r="AJ140" s="215">
        <f t="shared" ca="1" si="377"/>
        <v>0.2267295030277473</v>
      </c>
      <c r="AK140" s="4">
        <f t="shared" ca="1" si="377"/>
        <v>0.10518581581613874</v>
      </c>
      <c r="AL140" s="4">
        <f t="shared" ca="1" si="377"/>
        <v>0.21150713806649421</v>
      </c>
      <c r="AM140" s="4">
        <f t="shared" ca="1" si="377"/>
        <v>0.33841372557367277</v>
      </c>
      <c r="AN140" s="215">
        <f t="shared" ca="1" si="377"/>
        <v>0.17655798947189677</v>
      </c>
      <c r="AO140" s="4">
        <f t="shared" ca="1" si="377"/>
        <v>0.13498638084188994</v>
      </c>
      <c r="AP140" s="4">
        <f t="shared" ca="1" si="377"/>
        <v>0.1889271720540654</v>
      </c>
      <c r="AQ140" s="4">
        <f t="shared" ca="1" si="377"/>
        <v>0.19479789836228215</v>
      </c>
      <c r="AR140" s="215">
        <f t="shared" ca="1" si="377"/>
        <v>0.18403411169771991</v>
      </c>
      <c r="AS140" s="4">
        <f t="shared" ca="1" si="377"/>
        <v>0.17843380264384132</v>
      </c>
      <c r="AT140" s="4">
        <f t="shared" ca="1" si="377"/>
        <v>0.20464721943368186</v>
      </c>
      <c r="AU140" s="4">
        <f t="shared" ca="1" si="377"/>
        <v>0.20966173957906892</v>
      </c>
      <c r="AV140" s="215">
        <f t="shared" ca="1" si="377"/>
        <v>0.20291994318844869</v>
      </c>
      <c r="AW140" s="4">
        <f t="shared" ref="AW140:AZ140" ca="1" si="378">AW138/AW$89</f>
        <v>0.19731493166309677</v>
      </c>
      <c r="AX140" s="4">
        <f t="shared" ca="1" si="378"/>
        <v>0.22472918194932762</v>
      </c>
      <c r="AY140" s="4">
        <f t="shared" ca="1" si="378"/>
        <v>0.2272544260577794</v>
      </c>
      <c r="AZ140" s="4">
        <f t="shared" ca="1" si="378"/>
        <v>0.23291980462514672</v>
      </c>
    </row>
    <row r="141" spans="1:60">
      <c r="B141" s="3"/>
      <c r="E141" s="10"/>
      <c r="F141" s="4"/>
      <c r="G141" s="4"/>
      <c r="H141" s="4"/>
      <c r="I141" s="4"/>
      <c r="J141" s="4"/>
      <c r="K141" s="4"/>
      <c r="L141" s="4"/>
      <c r="M141" s="4"/>
      <c r="N141" s="4"/>
      <c r="O141" s="58"/>
      <c r="P141" s="58"/>
      <c r="Q141" s="4"/>
      <c r="R141" s="4"/>
      <c r="S141" s="4"/>
      <c r="T141" s="215"/>
      <c r="U141" s="4"/>
      <c r="V141" s="4"/>
      <c r="W141" s="4"/>
      <c r="X141" s="215"/>
      <c r="Y141" s="4"/>
      <c r="Z141" s="4"/>
      <c r="AA141" s="4"/>
      <c r="AB141" s="215"/>
      <c r="AC141" s="4"/>
      <c r="AD141" s="4"/>
      <c r="AE141" s="4"/>
      <c r="AF141" s="215"/>
      <c r="AG141" s="4"/>
      <c r="AH141" s="4"/>
      <c r="AI141" s="4"/>
      <c r="AJ141" s="215"/>
      <c r="AK141" s="4"/>
      <c r="AL141" s="4"/>
      <c r="AM141" s="4"/>
      <c r="AN141" s="215"/>
      <c r="AO141" s="4"/>
      <c r="AP141" s="4"/>
      <c r="AQ141" s="4"/>
      <c r="AR141" s="215"/>
      <c r="AS141" s="4"/>
      <c r="AT141" s="4"/>
      <c r="AU141" s="4"/>
      <c r="AV141" s="215"/>
      <c r="AW141" s="4"/>
      <c r="AX141" s="4"/>
      <c r="AY141" s="4"/>
      <c r="AZ141" s="4"/>
    </row>
    <row r="142" spans="1:60">
      <c r="B142" s="3" t="s">
        <v>383</v>
      </c>
      <c r="E142" s="10"/>
      <c r="F142" s="58">
        <f t="shared" ref="F142:N142" ca="1" si="379">SUM(OFFSET($P142,0,F$1,1,4))</f>
        <v>0</v>
      </c>
      <c r="G142" s="58">
        <f t="shared" ca="1" si="379"/>
        <v>0</v>
      </c>
      <c r="H142" s="58">
        <f t="shared" ca="1" si="379"/>
        <v>0</v>
      </c>
      <c r="I142" s="58">
        <f t="shared" ca="1" si="379"/>
        <v>0</v>
      </c>
      <c r="J142" s="58">
        <f t="shared" ca="1" si="379"/>
        <v>-172.958</v>
      </c>
      <c r="K142" s="58">
        <f t="shared" ca="1" si="379"/>
        <v>725.46100000000001</v>
      </c>
      <c r="L142" s="58">
        <f t="shared" ca="1" si="379"/>
        <v>0</v>
      </c>
      <c r="M142" s="58">
        <f t="shared" ca="1" si="379"/>
        <v>0</v>
      </c>
      <c r="N142" s="58">
        <f t="shared" ca="1" si="379"/>
        <v>0</v>
      </c>
      <c r="O142" s="58"/>
      <c r="P142" s="58"/>
      <c r="Q142" s="4"/>
      <c r="R142" s="4"/>
      <c r="S142" s="4"/>
      <c r="T142" s="215"/>
      <c r="U142" s="4"/>
      <c r="V142" s="4"/>
      <c r="W142" s="4"/>
      <c r="X142" s="215"/>
      <c r="Y142" s="4"/>
      <c r="Z142" s="4"/>
      <c r="AA142" s="4"/>
      <c r="AB142" s="215"/>
      <c r="AC142" s="4"/>
      <c r="AD142" s="4"/>
      <c r="AE142" s="4"/>
      <c r="AF142" s="215"/>
      <c r="AG142" s="67">
        <v>62.857999999999997</v>
      </c>
      <c r="AH142" s="67">
        <v>-6.8929999999999998</v>
      </c>
      <c r="AI142" s="67">
        <v>-73.408000000000001</v>
      </c>
      <c r="AJ142" s="217">
        <v>-155.51499999999999</v>
      </c>
      <c r="AK142" s="67">
        <v>-17.539000000000001</v>
      </c>
      <c r="AL142" s="67">
        <v>360</v>
      </c>
      <c r="AM142" s="67">
        <v>286</v>
      </c>
      <c r="AN142" s="217">
        <v>97</v>
      </c>
      <c r="AO142" s="233">
        <v>0</v>
      </c>
      <c r="AP142" s="89">
        <v>0</v>
      </c>
      <c r="AQ142" s="89">
        <v>0</v>
      </c>
      <c r="AR142" s="245">
        <v>0</v>
      </c>
      <c r="AS142" s="233">
        <v>0</v>
      </c>
      <c r="AT142" s="89">
        <v>0</v>
      </c>
      <c r="AU142" s="89">
        <v>0</v>
      </c>
      <c r="AV142" s="245">
        <v>0</v>
      </c>
      <c r="AW142" s="233">
        <v>0</v>
      </c>
      <c r="AX142" s="89">
        <v>0</v>
      </c>
      <c r="AY142" s="89">
        <v>0</v>
      </c>
      <c r="AZ142" s="89">
        <v>0</v>
      </c>
    </row>
    <row r="143" spans="1:60" s="202" customFormat="1">
      <c r="A143" s="296"/>
      <c r="B143" s="3"/>
      <c r="E143" s="205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4"/>
      <c r="R143" s="4"/>
      <c r="S143" s="4"/>
      <c r="T143" s="215"/>
      <c r="U143" s="4"/>
      <c r="V143" s="4"/>
      <c r="W143" s="4"/>
      <c r="X143" s="215"/>
      <c r="Y143" s="4"/>
      <c r="Z143" s="4"/>
      <c r="AA143" s="4"/>
      <c r="AB143" s="215"/>
      <c r="AC143" s="4"/>
      <c r="AD143" s="4"/>
      <c r="AE143" s="4"/>
      <c r="AF143" s="215"/>
      <c r="AG143" s="67"/>
      <c r="AH143" s="67"/>
      <c r="AI143" s="67"/>
      <c r="AJ143" s="217"/>
      <c r="AK143" s="67"/>
      <c r="AL143" s="67"/>
      <c r="AM143" s="67"/>
      <c r="AN143" s="217"/>
      <c r="AO143" s="297"/>
      <c r="AP143" s="297"/>
      <c r="AQ143" s="297"/>
      <c r="AR143" s="298"/>
      <c r="AS143" s="297"/>
      <c r="AT143" s="297"/>
      <c r="AU143" s="297"/>
      <c r="AV143" s="298"/>
      <c r="AW143" s="297"/>
      <c r="AX143" s="297"/>
      <c r="AY143" s="297"/>
      <c r="AZ143" s="297"/>
      <c r="BC143"/>
      <c r="BD143"/>
      <c r="BE143"/>
      <c r="BF143"/>
      <c r="BG143"/>
      <c r="BH143"/>
    </row>
    <row r="144" spans="1:60" s="202" customFormat="1">
      <c r="A144" s="296" t="s">
        <v>114</v>
      </c>
      <c r="B144" s="68" t="s">
        <v>114</v>
      </c>
      <c r="E144" s="205"/>
      <c r="F144" s="82">
        <f t="shared" ref="F144:N144" ca="1" si="380">SUM(OFFSET($P144,0,F$1,1,4))</f>
        <v>12515.297999999997</v>
      </c>
      <c r="G144" s="82">
        <f t="shared" ca="1" si="380"/>
        <v>13303.819000000003</v>
      </c>
      <c r="H144" s="82">
        <f t="shared" ca="1" si="380"/>
        <v>15792.309999999998</v>
      </c>
      <c r="I144" s="82">
        <f t="shared" ca="1" si="380"/>
        <v>15272.915999999997</v>
      </c>
      <c r="J144" s="82">
        <f t="shared" ca="1" si="380"/>
        <v>14032.052000000003</v>
      </c>
      <c r="K144" s="82">
        <f t="shared" ca="1" si="380"/>
        <v>20088.538</v>
      </c>
      <c r="L144" s="82">
        <f t="shared" ca="1" si="380"/>
        <v>21231.760900554418</v>
      </c>
      <c r="M144" s="82">
        <f t="shared" ca="1" si="380"/>
        <v>29314.900414910346</v>
      </c>
      <c r="N144" s="82">
        <f t="shared" ca="1" si="380"/>
        <v>40598.295358716103</v>
      </c>
      <c r="O144" s="82"/>
      <c r="P144" s="82"/>
      <c r="Q144" s="82">
        <f ca="1">+Q122+Q276</f>
        <v>2407.1949999999997</v>
      </c>
      <c r="R144" s="82">
        <f t="shared" ref="R144:AZ144" ca="1" si="381">+R122+R276</f>
        <v>3183.0159999999996</v>
      </c>
      <c r="S144" s="82">
        <f t="shared" ca="1" si="381"/>
        <v>3667.3159999999998</v>
      </c>
      <c r="T144" s="219">
        <f t="shared" ca="1" si="381"/>
        <v>3257.7709999999993</v>
      </c>
      <c r="U144" s="82">
        <f t="shared" ca="1" si="381"/>
        <v>2670.1110000000003</v>
      </c>
      <c r="V144" s="82">
        <f t="shared" ca="1" si="381"/>
        <v>3393.6480000000001</v>
      </c>
      <c r="W144" s="82">
        <f t="shared" ca="1" si="381"/>
        <v>3854.4580000000037</v>
      </c>
      <c r="X144" s="219">
        <f t="shared" ca="1" si="381"/>
        <v>3385.6019999999985</v>
      </c>
      <c r="Y144" s="82">
        <f t="shared" ca="1" si="381"/>
        <v>3050.4440000000009</v>
      </c>
      <c r="Z144" s="82">
        <f t="shared" ca="1" si="381"/>
        <v>4273.7989999999991</v>
      </c>
      <c r="AA144" s="82">
        <f t="shared" ca="1" si="381"/>
        <v>4682.2489999999971</v>
      </c>
      <c r="AB144" s="219">
        <f t="shared" ca="1" si="381"/>
        <v>3785.8179999999993</v>
      </c>
      <c r="AC144" s="82">
        <f t="shared" si="381"/>
        <v>3005.1480000000001</v>
      </c>
      <c r="AD144" s="82">
        <f t="shared" si="381"/>
        <v>4351.7909999999974</v>
      </c>
      <c r="AE144" s="82">
        <f t="shared" si="381"/>
        <v>3441.7849999999985</v>
      </c>
      <c r="AF144" s="219">
        <f t="shared" si="381"/>
        <v>4474.192</v>
      </c>
      <c r="AG144" s="82">
        <f t="shared" si="381"/>
        <v>3148.2009999999991</v>
      </c>
      <c r="AH144" s="82">
        <f t="shared" si="381"/>
        <v>3849.2950000000023</v>
      </c>
      <c r="AI144" s="82">
        <f t="shared" ca="1" si="381"/>
        <v>3811.5600000000031</v>
      </c>
      <c r="AJ144" s="219">
        <f t="shared" ca="1" si="381"/>
        <v>3222.9960000000001</v>
      </c>
      <c r="AK144" s="82">
        <f t="shared" ca="1" si="381"/>
        <v>2995.5379999999986</v>
      </c>
      <c r="AL144" s="82">
        <f t="shared" ca="1" si="381"/>
        <v>5212</v>
      </c>
      <c r="AM144" s="82">
        <f t="shared" ca="1" si="381"/>
        <v>6004</v>
      </c>
      <c r="AN144" s="219">
        <f t="shared" ca="1" si="381"/>
        <v>5877</v>
      </c>
      <c r="AO144" s="82">
        <f t="shared" ca="1" si="381"/>
        <v>3944.723056215993</v>
      </c>
      <c r="AP144" s="82">
        <f t="shared" ca="1" si="381"/>
        <v>5314.5659069957655</v>
      </c>
      <c r="AQ144" s="82">
        <f t="shared" ca="1" si="381"/>
        <v>6282.7713543952814</v>
      </c>
      <c r="AR144" s="219">
        <f t="shared" ca="1" si="381"/>
        <v>5689.7005829473792</v>
      </c>
      <c r="AS144" s="82">
        <f t="shared" ca="1" si="381"/>
        <v>5372.7523574864845</v>
      </c>
      <c r="AT144" s="82">
        <f t="shared" ca="1" si="381"/>
        <v>7279.2263105014636</v>
      </c>
      <c r="AU144" s="82">
        <f t="shared" ca="1" si="381"/>
        <v>8652.9417490831111</v>
      </c>
      <c r="AV144" s="219">
        <f t="shared" ca="1" si="381"/>
        <v>8009.9799978392866</v>
      </c>
      <c r="AW144" s="82">
        <f t="shared" ca="1" si="381"/>
        <v>7567.9355968227928</v>
      </c>
      <c r="AX144" s="82">
        <f t="shared" ca="1" si="381"/>
        <v>9824.5525051337336</v>
      </c>
      <c r="AY144" s="82">
        <f t="shared" ca="1" si="381"/>
        <v>11500.164468456183</v>
      </c>
      <c r="AZ144" s="82">
        <f t="shared" ca="1" si="381"/>
        <v>11705.64278830339</v>
      </c>
      <c r="BC144"/>
      <c r="BD144"/>
      <c r="BE144"/>
      <c r="BF144"/>
      <c r="BG144"/>
      <c r="BH144"/>
    </row>
    <row r="145" spans="1:60">
      <c r="B145" s="3"/>
      <c r="E145" s="10"/>
      <c r="F145" s="38"/>
      <c r="G145" s="38"/>
      <c r="H145" s="38"/>
      <c r="I145" s="38"/>
      <c r="J145" s="38"/>
      <c r="K145" s="38"/>
      <c r="L145" s="38"/>
      <c r="M145" s="38"/>
      <c r="N145" s="38"/>
      <c r="Q145" s="38"/>
      <c r="R145" s="38"/>
      <c r="S145" s="38"/>
      <c r="T145" s="218"/>
      <c r="U145" s="38"/>
      <c r="V145" s="38"/>
      <c r="W145" s="38"/>
      <c r="X145" s="218"/>
      <c r="Y145" s="38"/>
      <c r="Z145" s="38"/>
      <c r="AA145" s="38"/>
      <c r="AB145" s="218"/>
      <c r="AC145" s="38"/>
      <c r="AD145" s="38"/>
      <c r="AE145" s="38"/>
      <c r="AF145" s="218"/>
      <c r="AG145" s="38"/>
      <c r="AH145" s="38"/>
      <c r="AI145" s="38"/>
      <c r="AJ145" s="218"/>
      <c r="AK145" s="38"/>
      <c r="AL145" s="38"/>
      <c r="AM145" s="38"/>
      <c r="AN145" s="218"/>
      <c r="AO145" s="38"/>
      <c r="AP145" s="38"/>
      <c r="AQ145" s="38"/>
      <c r="AR145" s="218"/>
      <c r="AS145" s="38"/>
      <c r="AT145" s="38"/>
      <c r="AU145" s="38"/>
      <c r="AV145" s="218"/>
      <c r="AW145" s="38"/>
      <c r="AX145" s="38"/>
      <c r="AY145" s="38"/>
      <c r="AZ145" s="38"/>
    </row>
    <row r="146" spans="1:60" s="202" customFormat="1" hidden="1" outlineLevel="1">
      <c r="A146" s="296"/>
      <c r="B146" s="286" t="s">
        <v>687</v>
      </c>
      <c r="C146" s="56"/>
      <c r="D146" s="56"/>
      <c r="E146" s="88"/>
      <c r="F146" s="87"/>
      <c r="G146" s="87"/>
      <c r="H146" s="87"/>
      <c r="I146" s="87"/>
      <c r="J146" s="87"/>
      <c r="K146" s="87"/>
      <c r="L146" s="87"/>
      <c r="M146" s="87"/>
      <c r="N146" s="87"/>
      <c r="O146" s="56"/>
      <c r="P146" s="56"/>
      <c r="Q146" s="87"/>
      <c r="R146" s="87"/>
      <c r="S146" s="87"/>
      <c r="T146" s="222"/>
      <c r="U146" s="87"/>
      <c r="V146" s="87"/>
      <c r="W146" s="87"/>
      <c r="X146" s="222"/>
      <c r="Y146" s="87"/>
      <c r="Z146" s="87"/>
      <c r="AA146" s="87"/>
      <c r="AB146" s="222"/>
      <c r="AC146" s="87"/>
      <c r="AD146" s="87"/>
      <c r="AE146" s="87"/>
      <c r="AF146" s="222"/>
      <c r="AG146" s="87"/>
      <c r="AH146" s="87"/>
      <c r="AI146" s="87"/>
      <c r="AJ146" s="222"/>
      <c r="AK146" s="87"/>
      <c r="AL146" s="87"/>
      <c r="AM146" s="87"/>
      <c r="AN146" s="222"/>
      <c r="AO146" s="87"/>
      <c r="AP146" s="87"/>
      <c r="AQ146" s="87"/>
      <c r="AR146" s="222"/>
      <c r="AS146" s="87"/>
      <c r="AT146" s="87"/>
      <c r="AU146" s="87"/>
      <c r="AV146" s="222"/>
      <c r="AW146" s="87"/>
      <c r="AX146" s="87"/>
      <c r="AY146" s="87"/>
      <c r="AZ146" s="87"/>
      <c r="BC146"/>
      <c r="BD146"/>
      <c r="BE146"/>
      <c r="BF146"/>
      <c r="BG146"/>
      <c r="BH146"/>
    </row>
    <row r="147" spans="1:60" s="279" customFormat="1" hidden="1" outlineLevel="1">
      <c r="A147" s="296"/>
      <c r="B147" s="282" t="s">
        <v>129</v>
      </c>
      <c r="E147" s="283"/>
      <c r="F147" s="284">
        <f>F94/F$94</f>
        <v>1</v>
      </c>
      <c r="G147" s="284">
        <f t="shared" ref="G147:N147" si="382">G94/G$94</f>
        <v>1</v>
      </c>
      <c r="H147" s="284">
        <f t="shared" si="382"/>
        <v>1</v>
      </c>
      <c r="I147" s="284">
        <f t="shared" si="382"/>
        <v>1</v>
      </c>
      <c r="J147" s="284">
        <f t="shared" si="382"/>
        <v>1</v>
      </c>
      <c r="K147" s="284">
        <f t="shared" ca="1" si="382"/>
        <v>1</v>
      </c>
      <c r="L147" s="284">
        <f t="shared" ca="1" si="382"/>
        <v>1</v>
      </c>
      <c r="M147" s="284">
        <f t="shared" ca="1" si="382"/>
        <v>1</v>
      </c>
      <c r="N147" s="284">
        <f t="shared" ca="1" si="382"/>
        <v>1</v>
      </c>
      <c r="O147" s="284"/>
      <c r="P147" s="284"/>
      <c r="Q147" s="284">
        <f t="shared" ref="Q147:AZ147" si="383">Q94/Q$94</f>
        <v>1</v>
      </c>
      <c r="R147" s="284">
        <f t="shared" si="383"/>
        <v>1</v>
      </c>
      <c r="S147" s="284">
        <f t="shared" si="383"/>
        <v>1</v>
      </c>
      <c r="T147" s="285">
        <f t="shared" si="383"/>
        <v>1</v>
      </c>
      <c r="U147" s="284">
        <f t="shared" si="383"/>
        <v>1</v>
      </c>
      <c r="V147" s="284">
        <f t="shared" si="383"/>
        <v>1</v>
      </c>
      <c r="W147" s="284">
        <f t="shared" si="383"/>
        <v>1</v>
      </c>
      <c r="X147" s="285">
        <f t="shared" si="383"/>
        <v>1</v>
      </c>
      <c r="Y147" s="284">
        <f t="shared" si="383"/>
        <v>1</v>
      </c>
      <c r="Z147" s="284">
        <f t="shared" si="383"/>
        <v>1</v>
      </c>
      <c r="AA147" s="284">
        <f t="shared" si="383"/>
        <v>1</v>
      </c>
      <c r="AB147" s="285">
        <f t="shared" si="383"/>
        <v>1</v>
      </c>
      <c r="AC147" s="284">
        <f t="shared" si="383"/>
        <v>1</v>
      </c>
      <c r="AD147" s="284">
        <f t="shared" si="383"/>
        <v>1</v>
      </c>
      <c r="AE147" s="284">
        <f t="shared" si="383"/>
        <v>1</v>
      </c>
      <c r="AF147" s="285">
        <f t="shared" si="383"/>
        <v>1</v>
      </c>
      <c r="AG147" s="284">
        <f t="shared" si="383"/>
        <v>1</v>
      </c>
      <c r="AH147" s="284">
        <f t="shared" si="383"/>
        <v>1</v>
      </c>
      <c r="AI147" s="284">
        <f t="shared" si="383"/>
        <v>1</v>
      </c>
      <c r="AJ147" s="285">
        <f t="shared" si="383"/>
        <v>1</v>
      </c>
      <c r="AK147" s="284">
        <f t="shared" si="383"/>
        <v>1</v>
      </c>
      <c r="AL147" s="284">
        <f t="shared" si="383"/>
        <v>1</v>
      </c>
      <c r="AM147" s="284">
        <f t="shared" si="383"/>
        <v>1</v>
      </c>
      <c r="AN147" s="285">
        <f t="shared" si="383"/>
        <v>1</v>
      </c>
      <c r="AO147" s="284">
        <f t="shared" ca="1" si="383"/>
        <v>1</v>
      </c>
      <c r="AP147" s="284">
        <f t="shared" ca="1" si="383"/>
        <v>1</v>
      </c>
      <c r="AQ147" s="284">
        <f t="shared" ca="1" si="383"/>
        <v>1</v>
      </c>
      <c r="AR147" s="285">
        <f t="shared" ca="1" si="383"/>
        <v>1</v>
      </c>
      <c r="AS147" s="284">
        <f t="shared" ca="1" si="383"/>
        <v>1</v>
      </c>
      <c r="AT147" s="284">
        <f t="shared" ca="1" si="383"/>
        <v>1</v>
      </c>
      <c r="AU147" s="284">
        <f t="shared" ca="1" si="383"/>
        <v>1</v>
      </c>
      <c r="AV147" s="285">
        <f t="shared" ca="1" si="383"/>
        <v>1</v>
      </c>
      <c r="AW147" s="284">
        <f t="shared" ca="1" si="383"/>
        <v>1</v>
      </c>
      <c r="AX147" s="284">
        <f t="shared" ca="1" si="383"/>
        <v>1</v>
      </c>
      <c r="AY147" s="284">
        <f t="shared" ca="1" si="383"/>
        <v>1</v>
      </c>
      <c r="AZ147" s="284">
        <f t="shared" ca="1" si="383"/>
        <v>1</v>
      </c>
      <c r="BC147"/>
      <c r="BD147"/>
      <c r="BE147"/>
      <c r="BF147"/>
      <c r="BG147"/>
      <c r="BH147"/>
    </row>
    <row r="148" spans="1:60" s="279" customFormat="1" hidden="1" outlineLevel="1">
      <c r="A148" s="296"/>
      <c r="B148" s="282" t="s">
        <v>127</v>
      </c>
      <c r="E148" s="283"/>
      <c r="F148" s="284"/>
      <c r="G148" s="284"/>
      <c r="H148" s="284"/>
      <c r="I148" s="284"/>
      <c r="J148" s="284"/>
      <c r="K148" s="284"/>
      <c r="L148" s="284"/>
      <c r="M148" s="284"/>
      <c r="N148" s="284"/>
      <c r="O148" s="284"/>
      <c r="P148" s="284"/>
      <c r="Q148" s="284"/>
      <c r="R148" s="284"/>
      <c r="S148" s="284"/>
      <c r="T148" s="285"/>
      <c r="U148" s="284"/>
      <c r="V148" s="284"/>
      <c r="W148" s="284"/>
      <c r="X148" s="285"/>
      <c r="Y148" s="284"/>
      <c r="Z148" s="284"/>
      <c r="AA148" s="284"/>
      <c r="AB148" s="285"/>
      <c r="AC148" s="284"/>
      <c r="AD148" s="284"/>
      <c r="AE148" s="284"/>
      <c r="AF148" s="285"/>
      <c r="AG148" s="284"/>
      <c r="AH148" s="284"/>
      <c r="AI148" s="284"/>
      <c r="AJ148" s="285"/>
      <c r="AK148" s="284"/>
      <c r="AL148" s="284"/>
      <c r="AM148" s="284"/>
      <c r="AN148" s="285"/>
      <c r="AO148" s="284"/>
      <c r="AP148" s="284"/>
      <c r="AQ148" s="284"/>
      <c r="AR148" s="285"/>
      <c r="AS148" s="284"/>
      <c r="AT148" s="284"/>
      <c r="AU148" s="284"/>
      <c r="AV148" s="285"/>
      <c r="AW148" s="284"/>
      <c r="AX148" s="284"/>
      <c r="AY148" s="284"/>
      <c r="AZ148" s="284"/>
      <c r="BC148"/>
      <c r="BD148"/>
      <c r="BE148"/>
      <c r="BF148"/>
      <c r="BG148"/>
      <c r="BH148"/>
    </row>
    <row r="149" spans="1:60" s="279" customFormat="1" hidden="1" outlineLevel="1">
      <c r="A149" s="296"/>
      <c r="B149" s="52" t="str">
        <f t="shared" ref="B149:B154" si="384">B100</f>
        <v>Surcharges</v>
      </c>
      <c r="E149" s="283"/>
      <c r="F149" s="284">
        <f t="shared" ref="F149:F154" si="385">F100/F$94</f>
        <v>1.535281641086127E-2</v>
      </c>
      <c r="G149" s="284">
        <f t="shared" ref="G149:N149" si="386">G100/G$94</f>
        <v>1.7930595385563349E-2</v>
      </c>
      <c r="H149" s="284">
        <f t="shared" si="386"/>
        <v>1.8374388493885799E-2</v>
      </c>
      <c r="I149" s="284">
        <f t="shared" si="386"/>
        <v>1.4792783198276264E-2</v>
      </c>
      <c r="J149" s="284">
        <f t="shared" si="386"/>
        <v>1.1527323703899061E-2</v>
      </c>
      <c r="K149" s="284">
        <f t="shared" ca="1" si="386"/>
        <v>1.7882219379610608E-2</v>
      </c>
      <c r="L149" s="284">
        <f t="shared" ca="1" si="386"/>
        <v>1.7735892392147002E-2</v>
      </c>
      <c r="M149" s="284">
        <f t="shared" ca="1" si="386"/>
        <v>1.7745735758490377E-2</v>
      </c>
      <c r="N149" s="284">
        <f t="shared" ca="1" si="386"/>
        <v>1.7755570544146108E-2</v>
      </c>
      <c r="O149" s="284"/>
      <c r="P149" s="284"/>
      <c r="Q149" s="284">
        <f t="shared" ref="Q149:AZ149" si="387">Q100/Q$94</f>
        <v>1.7702615257512457E-2</v>
      </c>
      <c r="R149" s="284">
        <f t="shared" si="387"/>
        <v>1.6889994562833712E-2</v>
      </c>
      <c r="S149" s="284">
        <f t="shared" si="387"/>
        <v>1.3067253974376051E-2</v>
      </c>
      <c r="T149" s="285">
        <f t="shared" si="387"/>
        <v>1.470255738764596E-2</v>
      </c>
      <c r="U149" s="284">
        <f t="shared" si="387"/>
        <v>1.7487509404611246E-2</v>
      </c>
      <c r="V149" s="284">
        <f t="shared" si="387"/>
        <v>1.7030319247374647E-2</v>
      </c>
      <c r="W149" s="284">
        <f t="shared" si="387"/>
        <v>1.8056720854612039E-2</v>
      </c>
      <c r="X149" s="285">
        <f t="shared" si="387"/>
        <v>1.8805320620212528E-2</v>
      </c>
      <c r="Y149" s="284">
        <f t="shared" si="387"/>
        <v>1.8691338833972653E-2</v>
      </c>
      <c r="Z149" s="284">
        <f t="shared" si="387"/>
        <v>1.7754281627393384E-2</v>
      </c>
      <c r="AA149" s="284">
        <f t="shared" si="387"/>
        <v>1.8799674857235042E-2</v>
      </c>
      <c r="AB149" s="285">
        <f t="shared" si="387"/>
        <v>1.8279919199000794E-2</v>
      </c>
      <c r="AC149" s="284">
        <f t="shared" si="387"/>
        <v>1.9616197828348038E-2</v>
      </c>
      <c r="AD149" s="284">
        <f t="shared" si="387"/>
        <v>1.5811547382725319E-2</v>
      </c>
      <c r="AE149" s="284">
        <f t="shared" si="387"/>
        <v>1.3320180530517091E-2</v>
      </c>
      <c r="AF149" s="285">
        <f t="shared" si="387"/>
        <v>1.2055099491116817E-2</v>
      </c>
      <c r="AG149" s="284">
        <f t="shared" si="387"/>
        <v>1.0821297652453264E-2</v>
      </c>
      <c r="AH149" s="284">
        <f t="shared" si="387"/>
        <v>1.0950582067240139E-2</v>
      </c>
      <c r="AI149" s="284">
        <f t="shared" si="387"/>
        <v>1.1504094127749043E-2</v>
      </c>
      <c r="AJ149" s="285">
        <f t="shared" si="387"/>
        <v>1.2742274193623202E-2</v>
      </c>
      <c r="AK149" s="284">
        <f t="shared" si="387"/>
        <v>1.9606521182899735E-2</v>
      </c>
      <c r="AL149" s="284">
        <f t="shared" si="387"/>
        <v>1.7257296807479259E-2</v>
      </c>
      <c r="AM149" s="284">
        <f t="shared" si="387"/>
        <v>1.7345659814799713E-2</v>
      </c>
      <c r="AN149" s="285">
        <f t="shared" si="387"/>
        <v>1.7712209779220667E-2</v>
      </c>
      <c r="AO149" s="284">
        <f t="shared" ca="1" si="387"/>
        <v>1.7732814192718167E-2</v>
      </c>
      <c r="AP149" s="284">
        <f t="shared" ca="1" si="387"/>
        <v>1.7734081846442002E-2</v>
      </c>
      <c r="AQ149" s="284">
        <f t="shared" ca="1" si="387"/>
        <v>1.7739390298684442E-2</v>
      </c>
      <c r="AR149" s="285">
        <f t="shared" ca="1" si="387"/>
        <v>1.7736407999501477E-2</v>
      </c>
      <c r="AS149" s="284">
        <f t="shared" ca="1" si="387"/>
        <v>1.7742269205387289E-2</v>
      </c>
      <c r="AT149" s="284">
        <f t="shared" ca="1" si="387"/>
        <v>1.7743519611158779E-2</v>
      </c>
      <c r="AU149" s="284">
        <f t="shared" ca="1" si="387"/>
        <v>1.7745830231716761E-2</v>
      </c>
      <c r="AV149" s="285">
        <f t="shared" ca="1" si="387"/>
        <v>1.7750572518306335E-2</v>
      </c>
      <c r="AW149" s="284">
        <f t="shared" ca="1" si="387"/>
        <v>1.7754090501644254E-2</v>
      </c>
      <c r="AX149" s="284">
        <f t="shared" ca="1" si="387"/>
        <v>1.7754532757086522E-2</v>
      </c>
      <c r="AY149" s="284">
        <f t="shared" ca="1" si="387"/>
        <v>1.7755320366231758E-2</v>
      </c>
      <c r="AZ149" s="284">
        <f t="shared" ca="1" si="387"/>
        <v>1.775798945427717E-2</v>
      </c>
      <c r="BC149"/>
      <c r="BD149"/>
      <c r="BE149"/>
      <c r="BF149"/>
      <c r="BG149"/>
      <c r="BH149"/>
    </row>
    <row r="150" spans="1:60" s="279" customFormat="1" hidden="1" outlineLevel="1">
      <c r="A150" s="296"/>
      <c r="B150" s="3" t="str">
        <f t="shared" si="384"/>
        <v>Traffic Acquisition Costs</v>
      </c>
      <c r="E150" s="283"/>
      <c r="F150" s="284">
        <f t="shared" si="385"/>
        <v>9.1654851853690836E-2</v>
      </c>
      <c r="G150" s="284">
        <f t="shared" ref="G150:N150" si="388">G101/G$94</f>
        <v>0.12283661439265482</v>
      </c>
      <c r="H150" s="284">
        <f t="shared" si="388"/>
        <v>0.13666130977589538</v>
      </c>
      <c r="I150" s="284">
        <f t="shared" si="388"/>
        <v>0.1414019405341215</v>
      </c>
      <c r="J150" s="284">
        <f t="shared" si="388"/>
        <v>0.15574675833736376</v>
      </c>
      <c r="K150" s="284">
        <f t="shared" ca="1" si="388"/>
        <v>0.12062190233661779</v>
      </c>
      <c r="L150" s="284">
        <f t="shared" ca="1" si="388"/>
        <v>9.0379306562805239E-2</v>
      </c>
      <c r="M150" s="284">
        <f t="shared" ca="1" si="388"/>
        <v>7.5654229342511897E-2</v>
      </c>
      <c r="N150" s="284">
        <f t="shared" ca="1" si="388"/>
        <v>7.3356634613951491E-2</v>
      </c>
      <c r="O150" s="284"/>
      <c r="P150" s="284"/>
      <c r="Q150" s="284">
        <f t="shared" ref="Q150:AZ150" si="389">Q101/Q$94</f>
        <v>8.2305697673356853E-2</v>
      </c>
      <c r="R150" s="284">
        <f t="shared" si="389"/>
        <v>8.8082881298526233E-2</v>
      </c>
      <c r="S150" s="284">
        <f t="shared" si="389"/>
        <v>9.1208475834431327E-2</v>
      </c>
      <c r="T150" s="285">
        <f t="shared" si="389"/>
        <v>0.10146346293758804</v>
      </c>
      <c r="U150" s="284">
        <f t="shared" si="389"/>
        <v>0.10819551920363246</v>
      </c>
      <c r="V150" s="284">
        <f t="shared" si="389"/>
        <v>0.12328997197941299</v>
      </c>
      <c r="W150" s="284">
        <f t="shared" si="389"/>
        <v>0.12374017271134019</v>
      </c>
      <c r="X150" s="285">
        <f t="shared" si="389"/>
        <v>0.1308095012524004</v>
      </c>
      <c r="Y150" s="284">
        <f t="shared" si="389"/>
        <v>0.13182784210807447</v>
      </c>
      <c r="Z150" s="284">
        <f t="shared" si="389"/>
        <v>0.13408612960289679</v>
      </c>
      <c r="AA150" s="284">
        <f t="shared" si="389"/>
        <v>0.13648592148646793</v>
      </c>
      <c r="AB150" s="285">
        <f t="shared" si="389"/>
        <v>0.14229373299882195</v>
      </c>
      <c r="AC150" s="284">
        <f t="shared" si="389"/>
        <v>0.14332531008388033</v>
      </c>
      <c r="AD150" s="284">
        <f t="shared" si="389"/>
        <v>0.13496073817656215</v>
      </c>
      <c r="AE150" s="284">
        <f t="shared" si="389"/>
        <v>0.13894385286638924</v>
      </c>
      <c r="AF150" s="285">
        <f t="shared" si="389"/>
        <v>0.1482194180227227</v>
      </c>
      <c r="AG150" s="284">
        <f t="shared" si="389"/>
        <v>0.14953229508250182</v>
      </c>
      <c r="AH150" s="284">
        <f t="shared" si="389"/>
        <v>0.16869210700468296</v>
      </c>
      <c r="AI150" s="284">
        <f t="shared" si="389"/>
        <v>0.15057231454661324</v>
      </c>
      <c r="AJ150" s="285">
        <f t="shared" si="389"/>
        <v>0.15334921114842212</v>
      </c>
      <c r="AK150" s="284">
        <f t="shared" si="389"/>
        <v>0.13705346897530823</v>
      </c>
      <c r="AL150" s="284">
        <f t="shared" si="389"/>
        <v>0.12575452716297786</v>
      </c>
      <c r="AM150" s="284">
        <f t="shared" si="389"/>
        <v>0.11166424096096909</v>
      </c>
      <c r="AN150" s="285">
        <f t="shared" si="389"/>
        <v>0.11323539146527135</v>
      </c>
      <c r="AO150" s="284">
        <f t="shared" ca="1" si="389"/>
        <v>9.8649721558511289E-2</v>
      </c>
      <c r="AP150" s="284">
        <f t="shared" ca="1" si="389"/>
        <v>9.4269117435646685E-2</v>
      </c>
      <c r="AQ150" s="284">
        <f t="shared" ca="1" si="389"/>
        <v>8.5172535969313901E-2</v>
      </c>
      <c r="AR150" s="285">
        <f t="shared" ca="1" si="389"/>
        <v>8.5687636971568296E-2</v>
      </c>
      <c r="AS150" s="284">
        <f t="shared" ca="1" si="389"/>
        <v>8.4675292856851159E-2</v>
      </c>
      <c r="AT150" s="284">
        <f t="shared" ca="1" si="389"/>
        <v>7.6355042214440422E-2</v>
      </c>
      <c r="AU150" s="284">
        <f t="shared" ca="1" si="389"/>
        <v>7.204033261481653E-2</v>
      </c>
      <c r="AV150" s="285">
        <f t="shared" ca="1" si="389"/>
        <v>7.1338369820871106E-2</v>
      </c>
      <c r="AW150" s="284">
        <f t="shared" ca="1" si="389"/>
        <v>8.1778427727562705E-2</v>
      </c>
      <c r="AX150" s="284">
        <f t="shared" ca="1" si="389"/>
        <v>7.3936403166397907E-2</v>
      </c>
      <c r="AY150" s="284">
        <f t="shared" ca="1" si="389"/>
        <v>6.9860220667352341E-2</v>
      </c>
      <c r="AZ150" s="284">
        <f t="shared" ca="1" si="389"/>
        <v>6.9469473703709456E-2</v>
      </c>
      <c r="BC150"/>
      <c r="BD150"/>
      <c r="BE150"/>
      <c r="BF150"/>
      <c r="BG150"/>
      <c r="BH150"/>
    </row>
    <row r="151" spans="1:60" s="279" customFormat="1" hidden="1" outlineLevel="1">
      <c r="A151" s="296"/>
      <c r="B151" s="3" t="str">
        <f t="shared" si="384"/>
        <v xml:space="preserve">Bandwidth Costs </v>
      </c>
      <c r="E151" s="283"/>
      <c r="F151" s="284">
        <f t="shared" si="385"/>
        <v>5.0781766630221853E-2</v>
      </c>
      <c r="G151" s="284">
        <f t="shared" ref="G151:N151" si="390">G102/G$94</f>
        <v>6.4285056186351511E-2</v>
      </c>
      <c r="H151" s="284">
        <f t="shared" si="390"/>
        <v>6.1499754373984451E-2</v>
      </c>
      <c r="I151" s="284">
        <f t="shared" si="390"/>
        <v>5.9311983144118209E-2</v>
      </c>
      <c r="J151" s="284">
        <f t="shared" si="390"/>
        <v>7.0818546143527367E-2</v>
      </c>
      <c r="K151" s="284">
        <f t="shared" ca="1" si="390"/>
        <v>6.9422857324937526E-2</v>
      </c>
      <c r="L151" s="284">
        <f t="shared" ca="1" si="390"/>
        <v>6.1679570656184304E-2</v>
      </c>
      <c r="M151" s="284">
        <f t="shared" ca="1" si="390"/>
        <v>5.4247340502965376E-2</v>
      </c>
      <c r="N151" s="284">
        <f t="shared" ca="1" si="390"/>
        <v>4.7693469970087492E-2</v>
      </c>
      <c r="O151" s="284"/>
      <c r="P151" s="284"/>
      <c r="Q151" s="284">
        <f t="shared" ref="Q151:AZ151" si="391">Q102/Q$94</f>
        <v>5.5316846553118866E-2</v>
      </c>
      <c r="R151" s="284">
        <f t="shared" si="391"/>
        <v>4.7098996312374117E-2</v>
      </c>
      <c r="S151" s="284">
        <f t="shared" si="391"/>
        <v>4.5227162712211479E-2</v>
      </c>
      <c r="T151" s="285">
        <f t="shared" si="391"/>
        <v>5.6381614184656238E-2</v>
      </c>
      <c r="U151" s="284">
        <f t="shared" si="391"/>
        <v>7.1859860000011017E-2</v>
      </c>
      <c r="V151" s="284">
        <f t="shared" si="391"/>
        <v>6.4069044794146435E-2</v>
      </c>
      <c r="W151" s="284">
        <f t="shared" si="391"/>
        <v>6.1074670747093822E-2</v>
      </c>
      <c r="X151" s="285">
        <f t="shared" si="391"/>
        <v>6.2706586147198831E-2</v>
      </c>
      <c r="Y151" s="284">
        <f t="shared" si="391"/>
        <v>7.2069756993407105E-2</v>
      </c>
      <c r="Z151" s="284">
        <f t="shared" si="391"/>
        <v>6.190889197307671E-2</v>
      </c>
      <c r="AA151" s="284">
        <f t="shared" si="391"/>
        <v>5.8969494565294059E-2</v>
      </c>
      <c r="AB151" s="285">
        <f t="shared" si="391"/>
        <v>5.6441265965444895E-2</v>
      </c>
      <c r="AC151" s="284">
        <f t="shared" si="391"/>
        <v>7.0731380893297627E-2</v>
      </c>
      <c r="AD151" s="284">
        <f t="shared" si="391"/>
        <v>5.7273252825097869E-2</v>
      </c>
      <c r="AE151" s="284">
        <f t="shared" si="391"/>
        <v>5.5896379365979271E-2</v>
      </c>
      <c r="AF151" s="285">
        <f t="shared" si="391"/>
        <v>5.6706106558783713E-2</v>
      </c>
      <c r="AG151" s="284">
        <f t="shared" si="391"/>
        <v>7.2853410554222939E-2</v>
      </c>
      <c r="AH151" s="284">
        <f t="shared" si="391"/>
        <v>6.6817456648013362E-2</v>
      </c>
      <c r="AI151" s="284">
        <f t="shared" si="391"/>
        <v>7.2022197496790605E-2</v>
      </c>
      <c r="AJ151" s="285">
        <f t="shared" si="391"/>
        <v>7.1856950129154759E-2</v>
      </c>
      <c r="AK151" s="284">
        <f t="shared" si="391"/>
        <v>8.3758124095576078E-2</v>
      </c>
      <c r="AL151" s="284">
        <f t="shared" si="391"/>
        <v>7.0134284317689838E-2</v>
      </c>
      <c r="AM151" s="284">
        <f t="shared" si="391"/>
        <v>6.4942046439335821E-2</v>
      </c>
      <c r="AN151" s="285">
        <f t="shared" si="391"/>
        <v>6.2958517891731486E-2</v>
      </c>
      <c r="AO151" s="284">
        <f t="shared" ca="1" si="391"/>
        <v>7.2297513509967631E-2</v>
      </c>
      <c r="AP151" s="284">
        <f t="shared" ca="1" si="391"/>
        <v>6.1606896341962793E-2</v>
      </c>
      <c r="AQ151" s="284">
        <f t="shared" ca="1" si="391"/>
        <v>5.8326019411361521E-2</v>
      </c>
      <c r="AR151" s="285">
        <f t="shared" ca="1" si="391"/>
        <v>5.6967322990094917E-2</v>
      </c>
      <c r="AS151" s="284">
        <f t="shared" ca="1" si="391"/>
        <v>6.1430085971346839E-2</v>
      </c>
      <c r="AT151" s="284">
        <f t="shared" ca="1" si="391"/>
        <v>5.437009721088349E-2</v>
      </c>
      <c r="AU151" s="284">
        <f t="shared" ca="1" si="391"/>
        <v>5.0982077910933676E-2</v>
      </c>
      <c r="AV151" s="285">
        <f t="shared" ca="1" si="391"/>
        <v>5.1623359355124111E-2</v>
      </c>
      <c r="AW151" s="284">
        <f t="shared" ca="1" si="391"/>
        <v>5.3506747584032573E-2</v>
      </c>
      <c r="AX151" s="284">
        <f t="shared" ca="1" si="391"/>
        <v>4.8197716315038497E-2</v>
      </c>
      <c r="AY151" s="284">
        <f t="shared" ca="1" si="391"/>
        <v>4.5273200475954428E-2</v>
      </c>
      <c r="AZ151" s="284">
        <f t="shared" ca="1" si="391"/>
        <v>4.4920902250502909E-2</v>
      </c>
      <c r="BC151"/>
      <c r="BD151"/>
      <c r="BE151"/>
      <c r="BF151"/>
      <c r="BG151"/>
      <c r="BH151"/>
    </row>
    <row r="152" spans="1:60" s="279" customFormat="1" hidden="1" outlineLevel="1">
      <c r="A152" s="296"/>
      <c r="B152" s="3" t="str">
        <f t="shared" si="384"/>
        <v>Depreciation of servers and other equipment</v>
      </c>
      <c r="E152" s="283"/>
      <c r="F152" s="284">
        <f t="shared" si="385"/>
        <v>5.043765121236897E-2</v>
      </c>
      <c r="G152" s="284">
        <f t="shared" ref="G152:N152" si="392">G103/G$94</f>
        <v>5.0842206369861968E-2</v>
      </c>
      <c r="H152" s="284">
        <f t="shared" si="392"/>
        <v>4.2925674043769395E-2</v>
      </c>
      <c r="I152" s="284">
        <f t="shared" si="392"/>
        <v>4.0846556472984921E-2</v>
      </c>
      <c r="J152" s="284">
        <f t="shared" si="392"/>
        <v>4.6170535382567879E-2</v>
      </c>
      <c r="K152" s="284">
        <f t="shared" ca="1" si="392"/>
        <v>4.2318215296309525E-2</v>
      </c>
      <c r="L152" s="284">
        <f t="shared" ca="1" si="392"/>
        <v>3.842290726644175E-2</v>
      </c>
      <c r="M152" s="284">
        <f t="shared" ca="1" si="392"/>
        <v>3.6327203207403964E-2</v>
      </c>
      <c r="N152" s="284">
        <f t="shared" ca="1" si="392"/>
        <v>3.546233761976935E-2</v>
      </c>
      <c r="O152" s="284"/>
      <c r="P152" s="284"/>
      <c r="Q152" s="284">
        <f t="shared" ref="Q152:AZ152" si="393">Q103/Q$94</f>
        <v>5.675487387808676E-2</v>
      </c>
      <c r="R152" s="284">
        <f t="shared" si="393"/>
        <v>4.7746094958286356E-2</v>
      </c>
      <c r="S152" s="284">
        <f t="shared" si="393"/>
        <v>4.7430637685453886E-2</v>
      </c>
      <c r="T152" s="285">
        <f t="shared" si="393"/>
        <v>5.3086608671145209E-2</v>
      </c>
      <c r="U152" s="284">
        <f t="shared" si="393"/>
        <v>5.9120211484547686E-2</v>
      </c>
      <c r="V152" s="284">
        <f t="shared" si="393"/>
        <v>5.001520607751718E-2</v>
      </c>
      <c r="W152" s="284">
        <f t="shared" si="393"/>
        <v>4.4009422909443395E-2</v>
      </c>
      <c r="X152" s="285">
        <f t="shared" si="393"/>
        <v>4.5626350121214423E-2</v>
      </c>
      <c r="Y152" s="284">
        <f t="shared" si="393"/>
        <v>4.8021108885321608E-2</v>
      </c>
      <c r="Z152" s="284">
        <f t="shared" si="393"/>
        <v>4.0825825895426965E-2</v>
      </c>
      <c r="AA152" s="284">
        <f t="shared" si="393"/>
        <v>4.0176453440256409E-2</v>
      </c>
      <c r="AB152" s="285">
        <f t="shared" si="393"/>
        <v>4.1736758664157901E-2</v>
      </c>
      <c r="AC152" s="284">
        <f t="shared" si="393"/>
        <v>4.8487777348851006E-2</v>
      </c>
      <c r="AD152" s="284">
        <f t="shared" si="393"/>
        <v>3.9373108492788862E-2</v>
      </c>
      <c r="AE152" s="284">
        <f t="shared" si="393"/>
        <v>3.7878245541767649E-2</v>
      </c>
      <c r="AF152" s="285">
        <f t="shared" si="393"/>
        <v>3.9205714350946184E-2</v>
      </c>
      <c r="AG152" s="284">
        <f t="shared" si="393"/>
        <v>4.7361901509082975E-2</v>
      </c>
      <c r="AH152" s="284">
        <f t="shared" si="393"/>
        <v>4.3720206724401106E-2</v>
      </c>
      <c r="AI152" s="284">
        <f t="shared" si="393"/>
        <v>4.6560003172624612E-2</v>
      </c>
      <c r="AJ152" s="285">
        <f t="shared" si="393"/>
        <v>4.7202524592328654E-2</v>
      </c>
      <c r="AK152" s="284">
        <f t="shared" si="393"/>
        <v>5.1615873810402772E-2</v>
      </c>
      <c r="AL152" s="284">
        <f t="shared" si="393"/>
        <v>4.2019672514505918E-2</v>
      </c>
      <c r="AM152" s="284">
        <f t="shared" si="393"/>
        <v>3.8424044143273696E-2</v>
      </c>
      <c r="AN152" s="285">
        <f t="shared" si="393"/>
        <v>3.9798777381558834E-2</v>
      </c>
      <c r="AO152" s="284">
        <f t="shared" ca="1" si="393"/>
        <v>4.4298726686789656E-2</v>
      </c>
      <c r="AP152" s="284">
        <f t="shared" ca="1" si="393"/>
        <v>3.7671047875692032E-2</v>
      </c>
      <c r="AQ152" s="284">
        <f t="shared" ca="1" si="393"/>
        <v>3.5724127339055847E-2</v>
      </c>
      <c r="AR152" s="285">
        <f t="shared" ca="1" si="393"/>
        <v>3.731323377362325E-2</v>
      </c>
      <c r="AS152" s="284">
        <f t="shared" ca="1" si="393"/>
        <v>3.9830944239838295E-2</v>
      </c>
      <c r="AT152" s="284">
        <f t="shared" ca="1" si="393"/>
        <v>3.5548778244189366E-2</v>
      </c>
      <c r="AU152" s="284">
        <f t="shared" ca="1" si="393"/>
        <v>3.3863909638199789E-2</v>
      </c>
      <c r="AV152" s="285">
        <f t="shared" ca="1" si="393"/>
        <v>3.6739734333669713E-2</v>
      </c>
      <c r="AW152" s="284">
        <f t="shared" ca="1" si="393"/>
        <v>3.8354197081220578E-2</v>
      </c>
      <c r="AX152" s="284">
        <f t="shared" ca="1" si="393"/>
        <v>3.4954740882770799E-2</v>
      </c>
      <c r="AY152" s="284">
        <f t="shared" ca="1" si="393"/>
        <v>3.3572474603340181E-2</v>
      </c>
      <c r="AZ152" s="284">
        <f t="shared" ca="1" si="393"/>
        <v>3.5474854154192569E-2</v>
      </c>
      <c r="BC152"/>
      <c r="BD152"/>
      <c r="BE152"/>
      <c r="BF152"/>
      <c r="BG152"/>
      <c r="BH152"/>
    </row>
    <row r="153" spans="1:60" s="279" customFormat="1" hidden="1" outlineLevel="1">
      <c r="A153" s="296"/>
      <c r="B153" s="3" t="str">
        <f t="shared" si="384"/>
        <v>Operational Costs</v>
      </c>
      <c r="E153" s="283"/>
      <c r="F153" s="284">
        <f t="shared" si="385"/>
        <v>2.7998201100228035E-2</v>
      </c>
      <c r="G153" s="284">
        <f t="shared" ref="G153:N153" si="394">G104/G$94</f>
        <v>3.5907534164333774E-2</v>
      </c>
      <c r="H153" s="284">
        <f t="shared" si="394"/>
        <v>4.7889783167461238E-2</v>
      </c>
      <c r="I153" s="284">
        <f t="shared" si="394"/>
        <v>6.1942856906875163E-2</v>
      </c>
      <c r="J153" s="284">
        <f t="shared" si="394"/>
        <v>6.6513605774614237E-2</v>
      </c>
      <c r="K153" s="284">
        <f t="shared" ca="1" si="394"/>
        <v>5.8668434842610931E-2</v>
      </c>
      <c r="L153" s="284">
        <f t="shared" ca="1" si="394"/>
        <v>5.7384577114929405E-2</v>
      </c>
      <c r="M153" s="284">
        <f t="shared" ca="1" si="394"/>
        <v>5.5665529710419645E-2</v>
      </c>
      <c r="N153" s="284">
        <f t="shared" ca="1" si="394"/>
        <v>5.3912321637189557E-2</v>
      </c>
      <c r="O153" s="284"/>
      <c r="P153" s="284"/>
      <c r="Q153" s="284">
        <f t="shared" ref="Q153:AZ153" si="395">Q104/Q$94</f>
        <v>3.1800578003903034E-2</v>
      </c>
      <c r="R153" s="284">
        <f t="shared" si="395"/>
        <v>2.6746938180048061E-2</v>
      </c>
      <c r="S153" s="284">
        <f t="shared" si="395"/>
        <v>2.5373348176730717E-2</v>
      </c>
      <c r="T153" s="285">
        <f t="shared" si="395"/>
        <v>2.7491040621504835E-2</v>
      </c>
      <c r="U153" s="284">
        <f t="shared" si="395"/>
        <v>3.8817955197397766E-2</v>
      </c>
      <c r="V153" s="284">
        <f t="shared" si="395"/>
        <v>3.4078050975066956E-2</v>
      </c>
      <c r="W153" s="284">
        <f t="shared" si="395"/>
        <v>3.3382556007714274E-2</v>
      </c>
      <c r="X153" s="285">
        <f t="shared" si="395"/>
        <v>4.8219782813322933E-2</v>
      </c>
      <c r="Y153" s="284">
        <f t="shared" si="395"/>
        <v>5.3491983909492731E-2</v>
      </c>
      <c r="Z153" s="284">
        <f t="shared" si="395"/>
        <v>5.5419829928493605E-2</v>
      </c>
      <c r="AA153" s="284">
        <f t="shared" si="395"/>
        <v>4.3683327105075977E-2</v>
      </c>
      <c r="AB153" s="285">
        <f t="shared" si="395"/>
        <v>4.6460730163549985E-2</v>
      </c>
      <c r="AC153" s="284">
        <f t="shared" si="395"/>
        <v>5.0538303747207483E-2</v>
      </c>
      <c r="AD153" s="284">
        <f t="shared" si="395"/>
        <v>5.4355573524591944E-2</v>
      </c>
      <c r="AE153" s="284">
        <f t="shared" si="395"/>
        <v>7.2268113991356464E-2</v>
      </c>
      <c r="AF153" s="285">
        <f t="shared" si="395"/>
        <v>6.6943669727069471E-2</v>
      </c>
      <c r="AG153" s="284">
        <f t="shared" si="395"/>
        <v>7.3128944850295904E-2</v>
      </c>
      <c r="AH153" s="284">
        <f t="shared" si="395"/>
        <v>5.7581387159929817E-2</v>
      </c>
      <c r="AI153" s="284">
        <f t="shared" si="395"/>
        <v>6.7238151758921325E-2</v>
      </c>
      <c r="AJ153" s="285">
        <f t="shared" si="395"/>
        <v>6.8998260324275598E-2</v>
      </c>
      <c r="AK153" s="284">
        <f t="shared" si="395"/>
        <v>6.0126055194382057E-2</v>
      </c>
      <c r="AL153" s="284">
        <f t="shared" si="395"/>
        <v>6.2166786026895834E-2</v>
      </c>
      <c r="AM153" s="284">
        <f t="shared" si="395"/>
        <v>6.237142376777878E-2</v>
      </c>
      <c r="AN153" s="285">
        <f t="shared" si="395"/>
        <v>5.0816518012611847E-2</v>
      </c>
      <c r="AO153" s="284">
        <f t="shared" ca="1" si="395"/>
        <v>5.9359472775946859E-2</v>
      </c>
      <c r="AP153" s="284">
        <f t="shared" ca="1" si="395"/>
        <v>6.1681413745496086E-2</v>
      </c>
      <c r="AQ153" s="284">
        <f t="shared" ca="1" si="395"/>
        <v>6.03651848852697E-2</v>
      </c>
      <c r="AR153" s="285">
        <f t="shared" ca="1" si="395"/>
        <v>4.8939648526045168E-2</v>
      </c>
      <c r="AS153" s="284">
        <f t="shared" ca="1" si="395"/>
        <v>5.7582072561932082E-2</v>
      </c>
      <c r="AT153" s="284">
        <f t="shared" ca="1" si="395"/>
        <v>6.0174502009763764E-2</v>
      </c>
      <c r="AU153" s="284">
        <f t="shared" ca="1" si="395"/>
        <v>5.8274431367877862E-2</v>
      </c>
      <c r="AV153" s="285">
        <f t="shared" ca="1" si="395"/>
        <v>4.7136100142554281E-2</v>
      </c>
      <c r="AW153" s="284">
        <f t="shared" ca="1" si="395"/>
        <v>5.5908266192542522E-2</v>
      </c>
      <c r="AX153" s="284">
        <f t="shared" ca="1" si="395"/>
        <v>5.8786916668237398E-2</v>
      </c>
      <c r="AY153" s="284">
        <f t="shared" ca="1" si="395"/>
        <v>5.6245708586977465E-2</v>
      </c>
      <c r="AZ153" s="284">
        <f t="shared" ca="1" si="395"/>
        <v>4.5427235560089783E-2</v>
      </c>
      <c r="BC153"/>
      <c r="BD153"/>
      <c r="BE153"/>
      <c r="BF153"/>
      <c r="BG153"/>
      <c r="BH153"/>
    </row>
    <row r="154" spans="1:60" s="279" customFormat="1" hidden="1" outlineLevel="1">
      <c r="A154" s="296"/>
      <c r="B154" s="3" t="str">
        <f t="shared" si="384"/>
        <v>Content Costs</v>
      </c>
      <c r="E154" s="283"/>
      <c r="F154" s="284">
        <f t="shared" si="385"/>
        <v>1.0216751613157989E-2</v>
      </c>
      <c r="G154" s="284">
        <f t="shared" ref="G154:N154" si="396">G105/G$94</f>
        <v>2.8509141705076794E-2</v>
      </c>
      <c r="H154" s="284">
        <f t="shared" si="396"/>
        <v>4.0425230693204764E-2</v>
      </c>
      <c r="I154" s="284">
        <f t="shared" si="396"/>
        <v>5.9763850896943159E-2</v>
      </c>
      <c r="J154" s="284">
        <f t="shared" si="396"/>
        <v>0.11807432957059971</v>
      </c>
      <c r="K154" s="284">
        <f t="shared" ca="1" si="396"/>
        <v>0.16734930594449676</v>
      </c>
      <c r="L154" s="284">
        <f t="shared" ca="1" si="396"/>
        <v>0.23266542525071346</v>
      </c>
      <c r="M154" s="284">
        <f t="shared" ca="1" si="396"/>
        <v>0.22741017053502974</v>
      </c>
      <c r="N154" s="284">
        <f t="shared" ca="1" si="396"/>
        <v>0.21459120441733592</v>
      </c>
      <c r="O154" s="284"/>
      <c r="P154" s="284"/>
      <c r="Q154" s="284">
        <f t="shared" ref="Q154:AZ154" si="397">Q105/Q$94</f>
        <v>7.2862866895876772E-3</v>
      </c>
      <c r="R154" s="284">
        <f t="shared" si="397"/>
        <v>6.4383694256651093E-3</v>
      </c>
      <c r="S154" s="284">
        <f t="shared" si="397"/>
        <v>5.4751319766606953E-3</v>
      </c>
      <c r="T154" s="285">
        <f t="shared" si="397"/>
        <v>2.0121337586490203E-2</v>
      </c>
      <c r="U154" s="284">
        <f t="shared" si="397"/>
        <v>1.7001402512500135E-2</v>
      </c>
      <c r="V154" s="284">
        <f t="shared" si="397"/>
        <v>2.1107378377972143E-2</v>
      </c>
      <c r="W154" s="284">
        <f t="shared" si="397"/>
        <v>2.6475015082790741E-2</v>
      </c>
      <c r="X154" s="285">
        <f t="shared" si="397"/>
        <v>4.0235471888180094E-2</v>
      </c>
      <c r="Y154" s="284">
        <f t="shared" si="397"/>
        <v>4.3909670173100192E-2</v>
      </c>
      <c r="Z154" s="284">
        <f t="shared" si="397"/>
        <v>3.1313054140144216E-2</v>
      </c>
      <c r="AA154" s="284">
        <f t="shared" si="397"/>
        <v>3.9029434569927884E-2</v>
      </c>
      <c r="AB154" s="285">
        <f t="shared" si="397"/>
        <v>4.4634654612680541E-2</v>
      </c>
      <c r="AC154" s="284">
        <f t="shared" si="397"/>
        <v>5.0650857508344985E-2</v>
      </c>
      <c r="AD154" s="284">
        <f t="shared" si="397"/>
        <v>5.3698579609423147E-2</v>
      </c>
      <c r="AE154" s="284">
        <f t="shared" si="397"/>
        <v>5.2700505943020406E-2</v>
      </c>
      <c r="AF154" s="285">
        <f t="shared" si="397"/>
        <v>7.8285831460211827E-2</v>
      </c>
      <c r="AG154" s="284">
        <f t="shared" si="397"/>
        <v>9.2568006615647153E-2</v>
      </c>
      <c r="AH154" s="284">
        <f t="shared" si="397"/>
        <v>9.8545702667053633E-2</v>
      </c>
      <c r="AI154" s="284">
        <f t="shared" si="397"/>
        <v>0.12833983860016979</v>
      </c>
      <c r="AJ154" s="285">
        <f t="shared" si="397"/>
        <v>0.14952626319295115</v>
      </c>
      <c r="AK154" s="284">
        <f t="shared" si="397"/>
        <v>0.16531077824738885</v>
      </c>
      <c r="AL154" s="284">
        <f t="shared" si="397"/>
        <v>0.15792901070669374</v>
      </c>
      <c r="AM154" s="284">
        <f t="shared" si="397"/>
        <v>0.17574941317645257</v>
      </c>
      <c r="AN154" s="285">
        <f t="shared" si="397"/>
        <v>0.16881876868968573</v>
      </c>
      <c r="AO154" s="284">
        <f t="shared" ca="1" si="397"/>
        <v>0.20986961455451933</v>
      </c>
      <c r="AP154" s="284">
        <f t="shared" ca="1" si="397"/>
        <v>0.23958314301754097</v>
      </c>
      <c r="AQ154" s="284">
        <f t="shared" ca="1" si="397"/>
        <v>0.2320464854133843</v>
      </c>
      <c r="AR154" s="285">
        <f t="shared" ca="1" si="397"/>
        <v>0.24441325018807511</v>
      </c>
      <c r="AS154" s="284">
        <f t="shared" ca="1" si="397"/>
        <v>0.2405867882813493</v>
      </c>
      <c r="AT154" s="284">
        <f t="shared" ca="1" si="397"/>
        <v>0.23300784816330564</v>
      </c>
      <c r="AU154" s="284">
        <f t="shared" ca="1" si="397"/>
        <v>0.21501237937579967</v>
      </c>
      <c r="AV154" s="285">
        <f t="shared" ca="1" si="397"/>
        <v>0.22414748284026231</v>
      </c>
      <c r="AW154" s="284">
        <f t="shared" ca="1" si="397"/>
        <v>0.23078039539984782</v>
      </c>
      <c r="AX154" s="284">
        <f t="shared" ca="1" si="397"/>
        <v>0.22761992366067729</v>
      </c>
      <c r="AY154" s="284">
        <f t="shared" ca="1" si="397"/>
        <v>0.20238310348469143</v>
      </c>
      <c r="AZ154" s="284">
        <f t="shared" ca="1" si="397"/>
        <v>0.20161952093400629</v>
      </c>
      <c r="BC154"/>
      <c r="BD154"/>
      <c r="BE154"/>
      <c r="BF154"/>
      <c r="BG154"/>
      <c r="BH154"/>
    </row>
    <row r="155" spans="1:60" s="279" customFormat="1" hidden="1" outlineLevel="1">
      <c r="A155" s="296"/>
      <c r="B155" s="3" t="str">
        <f t="shared" ref="B155" si="398">B108</f>
        <v>SBC</v>
      </c>
      <c r="E155" s="283"/>
      <c r="F155" s="284">
        <f t="shared" ref="F155" si="399">F108/F$94</f>
        <v>4.7989046334575116E-4</v>
      </c>
      <c r="G155" s="284">
        <f t="shared" ref="G155:N155" si="400">G108/G$94</f>
        <v>7.950903303158924E-4</v>
      </c>
      <c r="H155" s="284">
        <f t="shared" si="400"/>
        <v>7.4745081191176805E-4</v>
      </c>
      <c r="I155" s="284">
        <f t="shared" si="400"/>
        <v>7.9423146129740973E-4</v>
      </c>
      <c r="J155" s="284">
        <f t="shared" si="400"/>
        <v>1.5518944932164862E-3</v>
      </c>
      <c r="K155" s="284">
        <f t="shared" ca="1" si="400"/>
        <v>2.2857831756861401E-3</v>
      </c>
      <c r="L155" s="284">
        <f t="shared" ca="1" si="400"/>
        <v>2.0686475947967824E-3</v>
      </c>
      <c r="M155" s="284">
        <f t="shared" ca="1" si="400"/>
        <v>2.0686473851280625E-3</v>
      </c>
      <c r="N155" s="284">
        <f t="shared" ca="1" si="400"/>
        <v>2.0686471756421166E-3</v>
      </c>
      <c r="O155" s="284"/>
      <c r="P155" s="284"/>
      <c r="Q155" s="284">
        <f t="shared" ref="Q155:AZ155" si="401">Q108/Q$94</f>
        <v>2.099400638558866E-4</v>
      </c>
      <c r="R155" s="284">
        <f t="shared" si="401"/>
        <v>4.840134786256293E-4</v>
      </c>
      <c r="S155" s="284">
        <f t="shared" si="401"/>
        <v>4.0724122140451454E-4</v>
      </c>
      <c r="T155" s="285">
        <f t="shared" si="401"/>
        <v>7.2969674520258307E-4</v>
      </c>
      <c r="U155" s="284">
        <f t="shared" si="401"/>
        <v>7.8199600661936497E-4</v>
      </c>
      <c r="V155" s="284">
        <f t="shared" si="401"/>
        <v>5.6631192021190169E-4</v>
      </c>
      <c r="W155" s="284">
        <f t="shared" si="401"/>
        <v>7.5735146015417222E-4</v>
      </c>
      <c r="X155" s="285">
        <f t="shared" si="401"/>
        <v>1.0201754833716696E-3</v>
      </c>
      <c r="Y155" s="284">
        <f t="shared" si="401"/>
        <v>7.1413073513596826E-4</v>
      </c>
      <c r="Z155" s="284">
        <f t="shared" si="401"/>
        <v>7.4788470630013598E-4</v>
      </c>
      <c r="AA155" s="284">
        <f t="shared" si="401"/>
        <v>6.5629005108762341E-4</v>
      </c>
      <c r="AB155" s="285">
        <f t="shared" si="401"/>
        <v>8.5732060647962592E-4</v>
      </c>
      <c r="AC155" s="284">
        <f t="shared" si="401"/>
        <v>7.2527246082098142E-4</v>
      </c>
      <c r="AD155" s="284">
        <f t="shared" si="401"/>
        <v>8.1261455558085803E-4</v>
      </c>
      <c r="AE155" s="284">
        <f t="shared" si="401"/>
        <v>6.8026119289631007E-4</v>
      </c>
      <c r="AF155" s="285">
        <f t="shared" si="401"/>
        <v>9.3690896838641931E-4</v>
      </c>
      <c r="AG155" s="284">
        <f t="shared" si="401"/>
        <v>8.3169173548534436E-4</v>
      </c>
      <c r="AH155" s="284">
        <f t="shared" si="401"/>
        <v>1.1787098816666501E-3</v>
      </c>
      <c r="AI155" s="284">
        <f t="shared" si="401"/>
        <v>1.6465469918125152E-3</v>
      </c>
      <c r="AJ155" s="285">
        <f t="shared" si="401"/>
        <v>2.4568864930026683E-3</v>
      </c>
      <c r="AK155" s="284">
        <f t="shared" si="401"/>
        <v>2.2797883730233549E-3</v>
      </c>
      <c r="AL155" s="284">
        <f t="shared" si="401"/>
        <v>2.4359230443191837E-3</v>
      </c>
      <c r="AM155" s="284">
        <f t="shared" si="401"/>
        <v>2.3902280981144435E-3</v>
      </c>
      <c r="AN155" s="285">
        <f t="shared" si="401"/>
        <v>2.0686370164426063E-3</v>
      </c>
      <c r="AO155" s="284">
        <f t="shared" ca="1" si="401"/>
        <v>2.0686476603639986E-3</v>
      </c>
      <c r="AP155" s="284">
        <f t="shared" ca="1" si="401"/>
        <v>2.0686476333623286E-3</v>
      </c>
      <c r="AQ155" s="284">
        <f t="shared" ca="1" si="401"/>
        <v>2.0686475202895908E-3</v>
      </c>
      <c r="AR155" s="285">
        <f t="shared" ca="1" si="401"/>
        <v>2.0686475838140829E-3</v>
      </c>
      <c r="AS155" s="284">
        <f t="shared" ca="1" si="401"/>
        <v>2.0686474589674104E-3</v>
      </c>
      <c r="AT155" s="284">
        <f t="shared" ca="1" si="401"/>
        <v>2.0686474323331305E-3</v>
      </c>
      <c r="AU155" s="284">
        <f t="shared" ca="1" si="401"/>
        <v>2.0686473831157352E-3</v>
      </c>
      <c r="AV155" s="285">
        <f t="shared" ca="1" si="401"/>
        <v>2.0686472821026141E-3</v>
      </c>
      <c r="AW155" s="284">
        <f t="shared" ca="1" si="401"/>
        <v>2.0686472071677763E-3</v>
      </c>
      <c r="AX155" s="284">
        <f t="shared" ca="1" si="401"/>
        <v>2.0686471977475101E-3</v>
      </c>
      <c r="AY155" s="284">
        <f t="shared" ca="1" si="401"/>
        <v>2.068647180971034E-3</v>
      </c>
      <c r="AZ155" s="284">
        <f t="shared" ca="1" si="401"/>
        <v>2.0686471241180985E-3</v>
      </c>
      <c r="BC155"/>
      <c r="BD155"/>
      <c r="BE155"/>
      <c r="BF155"/>
      <c r="BG155"/>
      <c r="BH155"/>
    </row>
    <row r="156" spans="1:60" s="279" customFormat="1" hidden="1" outlineLevel="1">
      <c r="A156" s="296"/>
      <c r="B156" s="3" t="s">
        <v>683</v>
      </c>
      <c r="E156" s="283"/>
      <c r="F156" s="284">
        <f>SUM(F149:F155)</f>
        <v>0.24692192928387471</v>
      </c>
      <c r="G156" s="284">
        <f t="shared" ref="G156:N156" si="402">SUM(G149:G155)</f>
        <v>0.32110623853415809</v>
      </c>
      <c r="H156" s="284">
        <f t="shared" si="402"/>
        <v>0.34852359136011274</v>
      </c>
      <c r="I156" s="284">
        <f t="shared" si="402"/>
        <v>0.37885420261461661</v>
      </c>
      <c r="J156" s="284">
        <f t="shared" si="402"/>
        <v>0.47040299340578845</v>
      </c>
      <c r="K156" s="284">
        <f t="shared" ca="1" si="402"/>
        <v>0.47854871830026924</v>
      </c>
      <c r="L156" s="284">
        <f t="shared" ca="1" si="402"/>
        <v>0.50033632683801788</v>
      </c>
      <c r="M156" s="284">
        <f t="shared" ca="1" si="402"/>
        <v>0.46911885644194912</v>
      </c>
      <c r="N156" s="284">
        <f t="shared" ca="1" si="402"/>
        <v>0.44484018597812203</v>
      </c>
      <c r="O156" s="284"/>
      <c r="P156" s="284"/>
      <c r="Q156" s="284">
        <f t="shared" ref="Q156:AZ156" si="403">Q109/Q$94</f>
        <v>0.31069887201772661</v>
      </c>
      <c r="R156" s="284">
        <f t="shared" si="403"/>
        <v>0.29280932211466432</v>
      </c>
      <c r="S156" s="284">
        <f t="shared" si="403"/>
        <v>0.28751128547957366</v>
      </c>
      <c r="T156" s="285">
        <f t="shared" si="403"/>
        <v>0.33329835203253816</v>
      </c>
      <c r="U156" s="284">
        <f t="shared" si="403"/>
        <v>0.37258648770762481</v>
      </c>
      <c r="V156" s="284">
        <f t="shared" si="403"/>
        <v>0.36947831727000729</v>
      </c>
      <c r="W156" s="284">
        <f t="shared" si="403"/>
        <v>0.36681794367145376</v>
      </c>
      <c r="X156" s="285">
        <f t="shared" si="403"/>
        <v>0.406745222224206</v>
      </c>
      <c r="Y156" s="284">
        <f t="shared" si="403"/>
        <v>0.42804786553680979</v>
      </c>
      <c r="Z156" s="284">
        <f t="shared" si="403"/>
        <v>0.4013779317720369</v>
      </c>
      <c r="AA156" s="284">
        <f t="shared" si="403"/>
        <v>0.39712262997365005</v>
      </c>
      <c r="AB156" s="285">
        <f t="shared" si="403"/>
        <v>0.41002641610844082</v>
      </c>
      <c r="AC156" s="284">
        <f t="shared" si="403"/>
        <v>0.44339713376905554</v>
      </c>
      <c r="AD156" s="284">
        <f t="shared" si="403"/>
        <v>0.41560744846507519</v>
      </c>
      <c r="AE156" s="284">
        <f t="shared" si="403"/>
        <v>0.43100957333023154</v>
      </c>
      <c r="AF156" s="285">
        <f t="shared" si="403"/>
        <v>0.46167478247754223</v>
      </c>
      <c r="AG156" s="284">
        <f t="shared" si="403"/>
        <v>0.50641958189799452</v>
      </c>
      <c r="AH156" s="284">
        <f t="shared" si="403"/>
        <v>0.50680818605129274</v>
      </c>
      <c r="AI156" s="284">
        <f t="shared" ca="1" si="403"/>
        <v>0.53720518059298616</v>
      </c>
      <c r="AJ156" s="285">
        <f t="shared" ca="1" si="403"/>
        <v>0.56545440397206337</v>
      </c>
      <c r="AK156" s="284">
        <f t="shared" ca="1" si="403"/>
        <v>0.57907264377728629</v>
      </c>
      <c r="AL156" s="284">
        <f t="shared" ca="1" si="403"/>
        <v>0.53701953447886674</v>
      </c>
      <c r="AM156" s="284">
        <f t="shared" ca="1" si="403"/>
        <v>0.53220909029902919</v>
      </c>
      <c r="AN156" s="285">
        <f t="shared" ca="1" si="403"/>
        <v>0.51473085413482766</v>
      </c>
      <c r="AO156" s="284">
        <f t="shared" ca="1" si="403"/>
        <v>0.50427651093881698</v>
      </c>
      <c r="AP156" s="284">
        <f t="shared" ca="1" si="403"/>
        <v>0.51461434789614313</v>
      </c>
      <c r="AQ156" s="284">
        <f t="shared" ca="1" si="403"/>
        <v>0.49144239083735919</v>
      </c>
      <c r="AR156" s="285">
        <f t="shared" ca="1" si="403"/>
        <v>0.49312614803272248</v>
      </c>
      <c r="AS156" s="284">
        <f t="shared" ca="1" si="403"/>
        <v>0.50391610057567227</v>
      </c>
      <c r="AT156" s="284">
        <f t="shared" ca="1" si="403"/>
        <v>0.47926843488607451</v>
      </c>
      <c r="AU156" s="284">
        <f t="shared" ca="1" si="403"/>
        <v>0.44998760852245989</v>
      </c>
      <c r="AV156" s="285">
        <f t="shared" ca="1" si="403"/>
        <v>0.4508042662928905</v>
      </c>
      <c r="AW156" s="284">
        <f t="shared" ca="1" si="403"/>
        <v>0.48015077169401821</v>
      </c>
      <c r="AX156" s="284">
        <f t="shared" ca="1" si="403"/>
        <v>0.46331888064795579</v>
      </c>
      <c r="AY156" s="284">
        <f t="shared" ca="1" si="403"/>
        <v>0.4271586753655186</v>
      </c>
      <c r="AZ156" s="284">
        <f t="shared" ca="1" si="403"/>
        <v>0.41673862318089633</v>
      </c>
      <c r="BC156"/>
      <c r="BD156"/>
      <c r="BE156"/>
      <c r="BF156"/>
      <c r="BG156"/>
      <c r="BH156"/>
    </row>
    <row r="157" spans="1:60" s="280" customFormat="1" hidden="1" outlineLevel="1">
      <c r="A157" s="296"/>
      <c r="B157" s="9" t="s">
        <v>684</v>
      </c>
      <c r="E157" s="287"/>
      <c r="F157" s="288">
        <f>F147-F156</f>
        <v>0.75307807071612531</v>
      </c>
      <c r="G157" s="288">
        <f t="shared" ref="G157:N157" si="404">G147-G156</f>
        <v>0.67889376146584191</v>
      </c>
      <c r="H157" s="288">
        <f t="shared" si="404"/>
        <v>0.65147640863988721</v>
      </c>
      <c r="I157" s="288">
        <f t="shared" si="404"/>
        <v>0.62114579738538334</v>
      </c>
      <c r="J157" s="288">
        <f t="shared" si="404"/>
        <v>0.52959700659421149</v>
      </c>
      <c r="K157" s="288">
        <f t="shared" ca="1" si="404"/>
        <v>0.52145128169973076</v>
      </c>
      <c r="L157" s="288">
        <f t="shared" ca="1" si="404"/>
        <v>0.49966367316198212</v>
      </c>
      <c r="M157" s="288">
        <f t="shared" ca="1" si="404"/>
        <v>0.53088114355805094</v>
      </c>
      <c r="N157" s="288">
        <f t="shared" ca="1" si="404"/>
        <v>0.55515981402187797</v>
      </c>
      <c r="O157" s="288"/>
      <c r="P157" s="288"/>
      <c r="Q157" s="288">
        <f t="shared" ref="Q157:AZ157" si="405">Q111/Q$94</f>
        <v>0.74862316188057842</v>
      </c>
      <c r="R157" s="288">
        <f t="shared" si="405"/>
        <v>0.76651271178364078</v>
      </c>
      <c r="S157" s="288">
        <f t="shared" si="405"/>
        <v>0.77181074841873143</v>
      </c>
      <c r="T157" s="289">
        <f t="shared" si="405"/>
        <v>0.72602368186576693</v>
      </c>
      <c r="U157" s="288">
        <f t="shared" si="405"/>
        <v>0.68673554619068033</v>
      </c>
      <c r="V157" s="288">
        <f t="shared" si="405"/>
        <v>0.6898437166282978</v>
      </c>
      <c r="W157" s="288">
        <f t="shared" si="405"/>
        <v>0.69250409022685133</v>
      </c>
      <c r="X157" s="289">
        <f t="shared" si="405"/>
        <v>0.65257681167409898</v>
      </c>
      <c r="Y157" s="288">
        <f t="shared" si="405"/>
        <v>0.6312741683614953</v>
      </c>
      <c r="Z157" s="288">
        <f t="shared" si="405"/>
        <v>0.65794410212626819</v>
      </c>
      <c r="AA157" s="288">
        <f t="shared" si="405"/>
        <v>0.66219940392465504</v>
      </c>
      <c r="AB157" s="289">
        <f t="shared" si="405"/>
        <v>0.64929561778986433</v>
      </c>
      <c r="AC157" s="288">
        <f t="shared" si="405"/>
        <v>0.6159249001292495</v>
      </c>
      <c r="AD157" s="288">
        <f t="shared" si="405"/>
        <v>0.64371458543322979</v>
      </c>
      <c r="AE157" s="288">
        <f t="shared" si="405"/>
        <v>0.62831246056807366</v>
      </c>
      <c r="AF157" s="289">
        <f t="shared" si="405"/>
        <v>0.59764725142076269</v>
      </c>
      <c r="AG157" s="288">
        <f t="shared" si="405"/>
        <v>0.55290245200031052</v>
      </c>
      <c r="AH157" s="288">
        <f t="shared" si="405"/>
        <v>0.5525138478470123</v>
      </c>
      <c r="AI157" s="288">
        <f t="shared" ca="1" si="405"/>
        <v>0.5221168533053191</v>
      </c>
      <c r="AJ157" s="289">
        <f t="shared" ca="1" si="405"/>
        <v>0.49386762992624178</v>
      </c>
      <c r="AK157" s="288">
        <f t="shared" ca="1" si="405"/>
        <v>0.4802493901210188</v>
      </c>
      <c r="AL157" s="288">
        <f t="shared" ca="1" si="405"/>
        <v>0.52230249941943829</v>
      </c>
      <c r="AM157" s="288">
        <f t="shared" ca="1" si="405"/>
        <v>0.52711294359927574</v>
      </c>
      <c r="AN157" s="289">
        <f t="shared" ca="1" si="405"/>
        <v>0.54459117976347737</v>
      </c>
      <c r="AO157" s="288">
        <f t="shared" ca="1" si="405"/>
        <v>0.49572348906118302</v>
      </c>
      <c r="AP157" s="288">
        <f t="shared" ca="1" si="405"/>
        <v>0.48538565210385687</v>
      </c>
      <c r="AQ157" s="288">
        <f t="shared" ca="1" si="405"/>
        <v>0.50855760916264081</v>
      </c>
      <c r="AR157" s="289">
        <f t="shared" ca="1" si="405"/>
        <v>0.50687385196727752</v>
      </c>
      <c r="AS157" s="288">
        <f t="shared" ca="1" si="405"/>
        <v>0.49608389942432768</v>
      </c>
      <c r="AT157" s="288">
        <f t="shared" ca="1" si="405"/>
        <v>0.52073156511392549</v>
      </c>
      <c r="AU157" s="288">
        <f t="shared" ca="1" si="405"/>
        <v>0.55001239147754011</v>
      </c>
      <c r="AV157" s="289">
        <f t="shared" ca="1" si="405"/>
        <v>0.5491957337071095</v>
      </c>
      <c r="AW157" s="288">
        <f t="shared" ca="1" si="405"/>
        <v>0.51984922830598179</v>
      </c>
      <c r="AX157" s="288">
        <f t="shared" ca="1" si="405"/>
        <v>0.53668111935204421</v>
      </c>
      <c r="AY157" s="288">
        <f t="shared" ca="1" si="405"/>
        <v>0.57284132463448134</v>
      </c>
      <c r="AZ157" s="288">
        <f t="shared" ca="1" si="405"/>
        <v>0.58326137681910373</v>
      </c>
      <c r="BC157"/>
      <c r="BD157"/>
      <c r="BE157"/>
      <c r="BF157"/>
      <c r="BG157"/>
      <c r="BH157"/>
    </row>
    <row r="158" spans="1:60" s="279" customFormat="1" hidden="1" outlineLevel="1">
      <c r="A158" s="296"/>
      <c r="B158" s="9" t="s">
        <v>682</v>
      </c>
      <c r="E158" s="283"/>
      <c r="F158" s="284"/>
      <c r="G158" s="284"/>
      <c r="H158" s="284"/>
      <c r="I158" s="284"/>
      <c r="J158" s="284"/>
      <c r="K158" s="284"/>
      <c r="L158" s="284"/>
      <c r="M158" s="284"/>
      <c r="N158" s="284"/>
      <c r="O158" s="284"/>
      <c r="P158" s="284"/>
      <c r="Q158" s="284"/>
      <c r="R158" s="284"/>
      <c r="S158" s="284"/>
      <c r="T158" s="285"/>
      <c r="U158" s="284"/>
      <c r="V158" s="284"/>
      <c r="W158" s="284"/>
      <c r="X158" s="285"/>
      <c r="Y158" s="284"/>
      <c r="Z158" s="284"/>
      <c r="AA158" s="284"/>
      <c r="AB158" s="285"/>
      <c r="AC158" s="284"/>
      <c r="AD158" s="284"/>
      <c r="AE158" s="284"/>
      <c r="AF158" s="285"/>
      <c r="AG158" s="284"/>
      <c r="AH158" s="284"/>
      <c r="AI158" s="284"/>
      <c r="AJ158" s="285"/>
      <c r="AK158" s="284"/>
      <c r="AL158" s="284"/>
      <c r="AM158" s="284"/>
      <c r="AN158" s="285"/>
      <c r="AO158" s="284"/>
      <c r="AP158" s="284"/>
      <c r="AQ158" s="284"/>
      <c r="AR158" s="285"/>
      <c r="AS158" s="284"/>
      <c r="AT158" s="284"/>
      <c r="AU158" s="284"/>
      <c r="AV158" s="285"/>
      <c r="AW158" s="284"/>
      <c r="AX158" s="284"/>
      <c r="AY158" s="284"/>
      <c r="AZ158" s="284"/>
      <c r="BC158"/>
      <c r="BD158"/>
      <c r="BE158"/>
      <c r="BF158"/>
      <c r="BG158"/>
      <c r="BH158"/>
    </row>
    <row r="159" spans="1:60" s="279" customFormat="1" hidden="1" outlineLevel="1">
      <c r="A159" s="296"/>
      <c r="B159" s="3" t="str">
        <f>B116</f>
        <v xml:space="preserve">Selling &amp; Marketing </v>
      </c>
      <c r="E159" s="283"/>
      <c r="F159" s="284">
        <f t="shared" ref="F159:N159" si="406">F116/F$94</f>
        <v>8.5551893314376556E-2</v>
      </c>
      <c r="G159" s="284">
        <f t="shared" si="406"/>
        <v>0.12883278331035641</v>
      </c>
      <c r="H159" s="284">
        <f t="shared" si="406"/>
        <v>0.17185926638573737</v>
      </c>
      <c r="I159" s="284">
        <f t="shared" si="406"/>
        <v>0.22485445095314818</v>
      </c>
      <c r="J159" s="284">
        <f t="shared" si="406"/>
        <v>0.1810803278453135</v>
      </c>
      <c r="K159" s="284">
        <f t="shared" ca="1" si="406"/>
        <v>0.1163392807106107</v>
      </c>
      <c r="L159" s="284">
        <f t="shared" ca="1" si="406"/>
        <v>0.13382790767296021</v>
      </c>
      <c r="M159" s="284">
        <f t="shared" ca="1" si="406"/>
        <v>0.13917570219523814</v>
      </c>
      <c r="N159" s="284">
        <f t="shared" ca="1" si="406"/>
        <v>0.13014643745984913</v>
      </c>
      <c r="O159" s="284"/>
      <c r="P159" s="284"/>
      <c r="Q159" s="284">
        <f t="shared" ref="Q159:AZ159" si="407">Q116/Q$94</f>
        <v>8.6624934665880129E-2</v>
      </c>
      <c r="R159" s="284">
        <f t="shared" si="407"/>
        <v>8.0841375366983728E-2</v>
      </c>
      <c r="S159" s="284">
        <f t="shared" si="407"/>
        <v>7.4959049242240242E-2</v>
      </c>
      <c r="T159" s="285">
        <f t="shared" si="407"/>
        <v>9.9393088342110247E-2</v>
      </c>
      <c r="U159" s="284">
        <f t="shared" si="407"/>
        <v>0.11154190923748901</v>
      </c>
      <c r="V159" s="284">
        <f t="shared" si="407"/>
        <v>0.11162815865478655</v>
      </c>
      <c r="W159" s="284">
        <f t="shared" si="407"/>
        <v>0.12127211455456453</v>
      </c>
      <c r="X159" s="285">
        <f t="shared" si="407"/>
        <v>0.16035746311086893</v>
      </c>
      <c r="Y159" s="284">
        <f t="shared" si="407"/>
        <v>0.17271715452832861</v>
      </c>
      <c r="Z159" s="284">
        <f t="shared" si="407"/>
        <v>0.13582813140377575</v>
      </c>
      <c r="AA159" s="284">
        <f t="shared" si="407"/>
        <v>0.16071055722572558</v>
      </c>
      <c r="AB159" s="285">
        <f t="shared" si="407"/>
        <v>0.21275955271305033</v>
      </c>
      <c r="AC159" s="284">
        <f t="shared" si="407"/>
        <v>0.19566326716718141</v>
      </c>
      <c r="AD159" s="284">
        <f t="shared" si="407"/>
        <v>0.20033618644506368</v>
      </c>
      <c r="AE159" s="284">
        <f t="shared" si="407"/>
        <v>0.28132976034204027</v>
      </c>
      <c r="AF159" s="285">
        <f t="shared" si="407"/>
        <v>0.21101510791910108</v>
      </c>
      <c r="AG159" s="284">
        <f t="shared" si="407"/>
        <v>0.21851434364187233</v>
      </c>
      <c r="AH159" s="284">
        <f t="shared" si="407"/>
        <v>0.1990084835739683</v>
      </c>
      <c r="AI159" s="284">
        <f t="shared" si="407"/>
        <v>0.16349185797022037</v>
      </c>
      <c r="AJ159" s="285">
        <f t="shared" si="407"/>
        <v>0.14828839832737353</v>
      </c>
      <c r="AK159" s="284">
        <f t="shared" ca="1" si="407"/>
        <v>0.12833621895613942</v>
      </c>
      <c r="AL159" s="284">
        <f t="shared" ca="1" si="407"/>
        <v>0.1018510658916785</v>
      </c>
      <c r="AM159" s="284">
        <f t="shared" ca="1" si="407"/>
        <v>0.12200451502441063</v>
      </c>
      <c r="AN159" s="285">
        <f t="shared" ca="1" si="407"/>
        <v>0.1149245867261833</v>
      </c>
      <c r="AO159" s="284">
        <f t="shared" ca="1" si="407"/>
        <v>0.14618061665920903</v>
      </c>
      <c r="AP159" s="284">
        <f t="shared" ca="1" si="407"/>
        <v>0.1261795506413895</v>
      </c>
      <c r="AQ159" s="284">
        <f t="shared" ca="1" si="407"/>
        <v>0.12738933957527401</v>
      </c>
      <c r="AR159" s="285">
        <f t="shared" ca="1" si="407"/>
        <v>0.13783043556825003</v>
      </c>
      <c r="AS159" s="284">
        <f t="shared" ca="1" si="407"/>
        <v>0.1346500319880998</v>
      </c>
      <c r="AT159" s="284">
        <f t="shared" ca="1" si="407"/>
        <v>0.1300339829939279</v>
      </c>
      <c r="AU159" s="284">
        <f t="shared" ca="1" si="407"/>
        <v>0.14395034126106737</v>
      </c>
      <c r="AV159" s="285">
        <f t="shared" ca="1" si="407"/>
        <v>0.14658370212251787</v>
      </c>
      <c r="AW159" s="284">
        <f t="shared" ca="1" si="407"/>
        <v>0.12876679205393898</v>
      </c>
      <c r="AX159" s="284">
        <f t="shared" ca="1" si="407"/>
        <v>0.11855408150837882</v>
      </c>
      <c r="AY159" s="284">
        <f t="shared" ca="1" si="407"/>
        <v>0.13890423838564925</v>
      </c>
      <c r="AZ159" s="284">
        <f t="shared" ca="1" si="407"/>
        <v>0.13318202788832675</v>
      </c>
      <c r="BC159"/>
      <c r="BD159"/>
      <c r="BE159"/>
      <c r="BF159"/>
      <c r="BG159"/>
      <c r="BH159"/>
    </row>
    <row r="160" spans="1:60" s="279" customFormat="1" hidden="1" outlineLevel="1">
      <c r="A160" s="296"/>
      <c r="B160" s="3" t="str">
        <f>B117</f>
        <v xml:space="preserve">General &amp; Administrative </v>
      </c>
      <c r="E160" s="283"/>
      <c r="F160" s="284">
        <f t="shared" ref="F160:N160" si="408">F117/F$94</f>
        <v>3.0648797727282767E-2</v>
      </c>
      <c r="G160" s="284">
        <f t="shared" si="408"/>
        <v>3.7269631775805626E-2</v>
      </c>
      <c r="H160" s="284">
        <f t="shared" si="408"/>
        <v>4.3150053020423566E-2</v>
      </c>
      <c r="I160" s="284">
        <f t="shared" si="408"/>
        <v>3.9883353299677189E-2</v>
      </c>
      <c r="J160" s="284">
        <f t="shared" si="408"/>
        <v>3.8764414903338582E-2</v>
      </c>
      <c r="K160" s="284">
        <f t="shared" ca="1" si="408"/>
        <v>3.5492967409813024E-2</v>
      </c>
      <c r="L160" s="284">
        <f t="shared" ca="1" si="408"/>
        <v>3.3233565286002645E-2</v>
      </c>
      <c r="M160" s="284">
        <f t="shared" ca="1" si="408"/>
        <v>3.1384291744393319E-2</v>
      </c>
      <c r="N160" s="284">
        <f t="shared" ca="1" si="408"/>
        <v>3.1000928071334692E-2</v>
      </c>
      <c r="O160" s="284"/>
      <c r="P160" s="284"/>
      <c r="Q160" s="284">
        <f t="shared" ref="Q160:AZ160" si="409">Q117/Q$94</f>
        <v>2.8793652747813828E-2</v>
      </c>
      <c r="R160" s="284">
        <f t="shared" si="409"/>
        <v>2.978977764999495E-2</v>
      </c>
      <c r="S160" s="284">
        <f t="shared" si="409"/>
        <v>3.0875199330290305E-2</v>
      </c>
      <c r="T160" s="285">
        <f t="shared" si="409"/>
        <v>3.2358641809671462E-2</v>
      </c>
      <c r="U160" s="284">
        <f t="shared" si="409"/>
        <v>3.3740027932361354E-2</v>
      </c>
      <c r="V160" s="284">
        <f t="shared" si="409"/>
        <v>3.6315016065963955E-2</v>
      </c>
      <c r="W160" s="284">
        <f t="shared" si="409"/>
        <v>3.780290587088387E-2</v>
      </c>
      <c r="X160" s="285">
        <f t="shared" si="409"/>
        <v>3.977369085395363E-2</v>
      </c>
      <c r="Y160" s="284">
        <f t="shared" si="409"/>
        <v>4.2787355754518627E-2</v>
      </c>
      <c r="Z160" s="284">
        <f t="shared" si="409"/>
        <v>4.5517028997275562E-2</v>
      </c>
      <c r="AA160" s="284">
        <f t="shared" si="409"/>
        <v>4.2799534203514483E-2</v>
      </c>
      <c r="AB160" s="285">
        <f t="shared" si="409"/>
        <v>4.1697968276676343E-2</v>
      </c>
      <c r="AC160" s="284">
        <f t="shared" si="409"/>
        <v>4.0683980254799357E-2</v>
      </c>
      <c r="AD160" s="284">
        <f t="shared" si="409"/>
        <v>3.992840562958222E-2</v>
      </c>
      <c r="AE160" s="284">
        <f t="shared" si="409"/>
        <v>3.9279039802662521E-2</v>
      </c>
      <c r="AF160" s="285">
        <f t="shared" si="409"/>
        <v>3.9808872076795405E-2</v>
      </c>
      <c r="AG160" s="284">
        <f t="shared" si="409"/>
        <v>3.8667158681575345E-2</v>
      </c>
      <c r="AH160" s="284">
        <f t="shared" si="409"/>
        <v>3.8835821190170136E-2</v>
      </c>
      <c r="AI160" s="284">
        <f t="shared" si="409"/>
        <v>3.843599666817675E-2</v>
      </c>
      <c r="AJ160" s="285">
        <f t="shared" si="409"/>
        <v>3.9029362524162448E-2</v>
      </c>
      <c r="AK160" s="284">
        <f t="shared" ca="1" si="409"/>
        <v>3.6588166175071136E-2</v>
      </c>
      <c r="AL160" s="284">
        <f t="shared" ca="1" si="409"/>
        <v>3.5068108557762295E-2</v>
      </c>
      <c r="AM160" s="284">
        <f t="shared" ca="1" si="409"/>
        <v>3.557014487770005E-2</v>
      </c>
      <c r="AN160" s="285">
        <f t="shared" ca="1" si="409"/>
        <v>3.500662659598297E-2</v>
      </c>
      <c r="AO160" s="284">
        <f t="shared" ca="1" si="409"/>
        <v>3.394800650757137E-2</v>
      </c>
      <c r="AP160" s="284">
        <f t="shared" ca="1" si="409"/>
        <v>3.3229075585408711E-2</v>
      </c>
      <c r="AQ160" s="284">
        <f t="shared" ca="1" si="409"/>
        <v>3.2865847116446557E-2</v>
      </c>
      <c r="AR160" s="285">
        <f t="shared" ca="1" si="409"/>
        <v>3.305852430602247E-2</v>
      </c>
      <c r="AS160" s="284">
        <f t="shared" ca="1" si="409"/>
        <v>3.1797107592915888E-2</v>
      </c>
      <c r="AT160" s="284">
        <f t="shared" ca="1" si="409"/>
        <v>3.1341715133867652E-2</v>
      </c>
      <c r="AU160" s="284">
        <f t="shared" ca="1" si="409"/>
        <v>3.1046611645331183E-2</v>
      </c>
      <c r="AV160" s="285">
        <f t="shared" ca="1" si="409"/>
        <v>3.1435543627879273E-2</v>
      </c>
      <c r="AW160" s="284">
        <f t="shared" ca="1" si="409"/>
        <v>3.1342227559723379E-2</v>
      </c>
      <c r="AX160" s="284">
        <f t="shared" ca="1" si="409"/>
        <v>3.0958775988092543E-2</v>
      </c>
      <c r="AY160" s="284">
        <f t="shared" ca="1" si="409"/>
        <v>3.0743044601622853E-2</v>
      </c>
      <c r="AZ160" s="284">
        <f t="shared" ca="1" si="409"/>
        <v>3.1021040920587467E-2</v>
      </c>
      <c r="BC160"/>
      <c r="BD160"/>
      <c r="BE160"/>
      <c r="BF160"/>
      <c r="BG160"/>
      <c r="BH160"/>
    </row>
    <row r="161" spans="1:60" s="202" customFormat="1" hidden="1" outlineLevel="1">
      <c r="A161" s="296"/>
      <c r="B161" s="3" t="str">
        <f>B118</f>
        <v>Research &amp; Development</v>
      </c>
      <c r="E161" s="205"/>
      <c r="F161" s="284">
        <f t="shared" ref="F161:N161" si="410">F118/F$94</f>
        <v>0.10244310290632461</v>
      </c>
      <c r="G161" s="284">
        <f t="shared" si="410"/>
        <v>0.12537811121552267</v>
      </c>
      <c r="H161" s="284">
        <f t="shared" si="410"/>
        <v>0.13991643851760932</v>
      </c>
      <c r="I161" s="284">
        <f t="shared" si="410"/>
        <v>0.14881146419273883</v>
      </c>
      <c r="J161" s="284">
        <f t="shared" si="410"/>
        <v>0.13398709659739161</v>
      </c>
      <c r="K161" s="284">
        <f t="shared" ca="1" si="410"/>
        <v>0.13540729720395767</v>
      </c>
      <c r="L161" s="284">
        <f t="shared" ca="1" si="410"/>
        <v>0.12898421644802335</v>
      </c>
      <c r="M161" s="284">
        <f t="shared" ca="1" si="410"/>
        <v>0.12756370143632878</v>
      </c>
      <c r="N161" s="284">
        <f t="shared" ca="1" si="410"/>
        <v>0.12379407874991027</v>
      </c>
      <c r="O161" s="284"/>
      <c r="P161" s="284"/>
      <c r="Q161" s="284">
        <f t="shared" ref="Q161:AZ161" si="411">Q118/Q$94</f>
        <v>0.1050550017526045</v>
      </c>
      <c r="R161" s="284">
        <f t="shared" si="411"/>
        <v>9.9400021163173854E-2</v>
      </c>
      <c r="S161" s="284">
        <f t="shared" si="411"/>
        <v>9.8042603797127315E-2</v>
      </c>
      <c r="T161" s="285">
        <f t="shared" si="411"/>
        <v>0.10764816119871388</v>
      </c>
      <c r="U161" s="284">
        <f t="shared" si="411"/>
        <v>0.13021671133374849</v>
      </c>
      <c r="V161" s="284">
        <f t="shared" si="411"/>
        <v>0.12394679292992102</v>
      </c>
      <c r="W161" s="284">
        <f t="shared" si="411"/>
        <v>0.11948556592432967</v>
      </c>
      <c r="X161" s="285">
        <f t="shared" si="411"/>
        <v>0.12898373086655598</v>
      </c>
      <c r="Y161" s="284">
        <f t="shared" si="411"/>
        <v>0.13285731923312444</v>
      </c>
      <c r="Z161" s="284">
        <f t="shared" si="411"/>
        <v>0.14336866741113252</v>
      </c>
      <c r="AA161" s="284">
        <f t="shared" si="411"/>
        <v>0.13386350365936051</v>
      </c>
      <c r="AB161" s="285">
        <f t="shared" si="411"/>
        <v>0.1475671858613328</v>
      </c>
      <c r="AC161" s="284">
        <f t="shared" si="411"/>
        <v>0.1766414731300526</v>
      </c>
      <c r="AD161" s="284">
        <f t="shared" si="411"/>
        <v>0.15984438271358023</v>
      </c>
      <c r="AE161" s="284">
        <f t="shared" si="411"/>
        <v>0.14058218458813723</v>
      </c>
      <c r="AF161" s="285">
        <f t="shared" si="411"/>
        <v>0.12818334383907143</v>
      </c>
      <c r="AG161" s="284">
        <f t="shared" si="411"/>
        <v>0.12783063808055245</v>
      </c>
      <c r="AH161" s="284">
        <f t="shared" si="411"/>
        <v>0.12633841956047409</v>
      </c>
      <c r="AI161" s="284">
        <f t="shared" si="411"/>
        <v>0.13583551294113574</v>
      </c>
      <c r="AJ161" s="285">
        <f t="shared" si="411"/>
        <v>0.14515272604375948</v>
      </c>
      <c r="AK161" s="284">
        <f t="shared" si="411"/>
        <v>0.15225682454282574</v>
      </c>
      <c r="AL161" s="284">
        <f t="shared" si="411"/>
        <v>0.13377277385052852</v>
      </c>
      <c r="AM161" s="284">
        <f t="shared" si="411"/>
        <v>0.12203692893391857</v>
      </c>
      <c r="AN161" s="285">
        <f t="shared" si="411"/>
        <v>0.13810400603250531</v>
      </c>
      <c r="AO161" s="284">
        <f t="shared" ca="1" si="411"/>
        <v>0.14244020979575467</v>
      </c>
      <c r="AP161" s="284">
        <f t="shared" ca="1" si="411"/>
        <v>0.12099906422861914</v>
      </c>
      <c r="AQ161" s="284">
        <f t="shared" ca="1" si="411"/>
        <v>0.12290591876134696</v>
      </c>
      <c r="AR161" s="285">
        <f t="shared" ca="1" si="411"/>
        <v>0.13208891973803383</v>
      </c>
      <c r="AS161" s="284">
        <f t="shared" ca="1" si="411"/>
        <v>0.13881883230853026</v>
      </c>
      <c r="AT161" s="284">
        <f t="shared" ca="1" si="411"/>
        <v>0.12683141369987061</v>
      </c>
      <c r="AU161" s="284">
        <f t="shared" ca="1" si="411"/>
        <v>0.11912359601106066</v>
      </c>
      <c r="AV161" s="285">
        <f t="shared" ca="1" si="411"/>
        <v>0.12776331096745111</v>
      </c>
      <c r="AW161" s="284">
        <f t="shared" ca="1" si="411"/>
        <v>0.13473696792164261</v>
      </c>
      <c r="AX161" s="284">
        <f t="shared" ca="1" si="411"/>
        <v>0.12278030412002909</v>
      </c>
      <c r="AY161" s="284">
        <f t="shared" ca="1" si="411"/>
        <v>0.11554018339291246</v>
      </c>
      <c r="AZ161" s="284">
        <f t="shared" ca="1" si="411"/>
        <v>0.12411198248514139</v>
      </c>
      <c r="BC161"/>
      <c r="BD161"/>
      <c r="BE161"/>
      <c r="BF161"/>
      <c r="BG161"/>
      <c r="BH161"/>
    </row>
    <row r="162" spans="1:60" s="202" customFormat="1" hidden="1" outlineLevel="1">
      <c r="A162" s="296"/>
      <c r="B162" s="3" t="str">
        <f>B119</f>
        <v>SBC</v>
      </c>
      <c r="E162" s="205"/>
      <c r="F162" s="284">
        <f t="shared" ref="F162:N162" ca="1" si="412">F119/F$94</f>
        <v>9.6027007778229506E-3</v>
      </c>
      <c r="G162" s="284">
        <f t="shared" ca="1" si="412"/>
        <v>1.6274248193729336E-2</v>
      </c>
      <c r="H162" s="284">
        <f t="shared" ca="1" si="412"/>
        <v>2.0043628533068836E-2</v>
      </c>
      <c r="I162" s="284">
        <f t="shared" ca="1" si="412"/>
        <v>2.1341447785878404E-2</v>
      </c>
      <c r="J162" s="284">
        <f t="shared" ca="1" si="412"/>
        <v>2.4874907423759123E-2</v>
      </c>
      <c r="K162" s="295">
        <f t="shared" ca="1" si="412"/>
        <v>3.8239528748831096E-2</v>
      </c>
      <c r="L162" s="295">
        <f t="shared" ca="1" si="412"/>
        <v>4.0829119703160451E-2</v>
      </c>
      <c r="M162" s="295">
        <f t="shared" ca="1" si="412"/>
        <v>3.8693529637329437E-2</v>
      </c>
      <c r="N162" s="295">
        <f t="shared" ca="1" si="412"/>
        <v>3.6582561986185994E-2</v>
      </c>
      <c r="O162" s="284"/>
      <c r="P162" s="284"/>
      <c r="Q162" s="284">
        <f t="shared" ref="Q162:AZ162" si="413">Q119/Q$94</f>
        <v>8.5253057410069749E-3</v>
      </c>
      <c r="R162" s="284">
        <f t="shared" si="413"/>
        <v>9.9736287246198155E-3</v>
      </c>
      <c r="S162" s="284">
        <f t="shared" si="413"/>
        <v>9.2052107461627203E-3</v>
      </c>
      <c r="T162" s="285">
        <f t="shared" si="413"/>
        <v>1.0400519534451392E-2</v>
      </c>
      <c r="U162" s="284">
        <f t="shared" si="413"/>
        <v>1.8909536663014162E-2</v>
      </c>
      <c r="V162" s="284">
        <f t="shared" si="413"/>
        <v>1.1102347645084491E-2</v>
      </c>
      <c r="W162" s="284">
        <f t="shared" si="413"/>
        <v>1.6296340125862632E-2</v>
      </c>
      <c r="X162" s="285">
        <f t="shared" si="413"/>
        <v>1.8708222962975401E-2</v>
      </c>
      <c r="Y162" s="284">
        <f t="shared" si="413"/>
        <v>1.8133811770912008E-2</v>
      </c>
      <c r="Z162" s="284">
        <f t="shared" si="413"/>
        <v>1.8744843696430615E-2</v>
      </c>
      <c r="AA162" s="284">
        <f t="shared" si="413"/>
        <v>1.7693582911467751E-2</v>
      </c>
      <c r="AB162" s="285">
        <f t="shared" si="413"/>
        <v>2.4703741151762229E-2</v>
      </c>
      <c r="AC162" s="284">
        <f t="shared" si="413"/>
        <v>2.3506753113780487E-2</v>
      </c>
      <c r="AD162" s="284">
        <f t="shared" si="413"/>
        <v>2.1857829662147801E-2</v>
      </c>
      <c r="AE162" s="284">
        <f t="shared" si="413"/>
        <v>2.2386787916194268E-2</v>
      </c>
      <c r="AF162" s="285">
        <f t="shared" si="413"/>
        <v>1.8382518797917649E-2</v>
      </c>
      <c r="AG162" s="284">
        <f t="shared" si="413"/>
        <v>1.9862641341768621E-2</v>
      </c>
      <c r="AH162" s="284">
        <f t="shared" si="413"/>
        <v>2.2075956566837029E-2</v>
      </c>
      <c r="AI162" s="284">
        <f t="shared" si="413"/>
        <v>2.26162117580068E-2</v>
      </c>
      <c r="AJ162" s="285">
        <f t="shared" si="413"/>
        <v>3.4299449969654887E-2</v>
      </c>
      <c r="AK162" s="284">
        <f t="shared" si="413"/>
        <v>3.7282137939189115E-2</v>
      </c>
      <c r="AL162" s="284">
        <f t="shared" si="413"/>
        <v>3.7959800773973949E-2</v>
      </c>
      <c r="AM162" s="284">
        <f t="shared" si="413"/>
        <v>3.5537730968192106E-2</v>
      </c>
      <c r="AN162" s="285">
        <f t="shared" si="413"/>
        <v>4.1867414398001443E-2</v>
      </c>
      <c r="AO162" s="284">
        <f t="shared" ca="1" si="413"/>
        <v>4.0254444411441423E-2</v>
      </c>
      <c r="AP162" s="284">
        <f t="shared" ca="1" si="413"/>
        <v>4.0254443886007706E-2</v>
      </c>
      <c r="AQ162" s="284">
        <f t="shared" ca="1" si="413"/>
        <v>4.0254441685690881E-2</v>
      </c>
      <c r="AR162" s="285">
        <f t="shared" ca="1" si="413"/>
        <v>4.2373097812456115E-2</v>
      </c>
      <c r="AS162" s="284">
        <f t="shared" ca="1" si="413"/>
        <v>3.8135785729645821E-2</v>
      </c>
      <c r="AT162" s="284">
        <f t="shared" ca="1" si="413"/>
        <v>3.8135785238639391E-2</v>
      </c>
      <c r="AU162" s="284">
        <f t="shared" ca="1" si="413"/>
        <v>3.8135784331310284E-2</v>
      </c>
      <c r="AV162" s="285">
        <f t="shared" ca="1" si="413"/>
        <v>4.0254437050738015E-2</v>
      </c>
      <c r="AW162" s="284">
        <f t="shared" ca="1" si="413"/>
        <v>3.601712658281523E-2</v>
      </c>
      <c r="AX162" s="284">
        <f t="shared" ca="1" si="413"/>
        <v>3.6017126418799381E-2</v>
      </c>
      <c r="AY162" s="284">
        <f t="shared" ca="1" si="413"/>
        <v>3.6017126126704893E-2</v>
      </c>
      <c r="AZ162" s="284">
        <f t="shared" ca="1" si="413"/>
        <v>3.8135779556655071E-2</v>
      </c>
      <c r="BC162"/>
      <c r="BD162"/>
      <c r="BE162"/>
      <c r="BF162"/>
      <c r="BG162"/>
      <c r="BH162"/>
    </row>
    <row r="163" spans="1:60" s="202" customFormat="1" hidden="1" outlineLevel="1">
      <c r="A163" s="296"/>
      <c r="B163" s="3" t="str">
        <f>B120</f>
        <v>Total</v>
      </c>
      <c r="E163" s="205"/>
      <c r="F163" s="284">
        <f t="shared" ref="F163:N163" ca="1" si="414">F120/F$94</f>
        <v>0.22824649472580691</v>
      </c>
      <c r="G163" s="284">
        <f t="shared" ca="1" si="414"/>
        <v>0.30775477449541405</v>
      </c>
      <c r="H163" s="284">
        <f t="shared" ca="1" si="414"/>
        <v>0.37496938645683903</v>
      </c>
      <c r="I163" s="284">
        <f t="shared" ca="1" si="414"/>
        <v>0.43489071623144254</v>
      </c>
      <c r="J163" s="284">
        <f t="shared" ca="1" si="414"/>
        <v>0.37870674676980282</v>
      </c>
      <c r="K163" s="284">
        <f t="shared" ca="1" si="414"/>
        <v>0.32547907407321247</v>
      </c>
      <c r="L163" s="284">
        <f t="shared" ca="1" si="414"/>
        <v>0.33687480911014667</v>
      </c>
      <c r="M163" s="284">
        <f t="shared" ca="1" si="414"/>
        <v>0.3368172250132897</v>
      </c>
      <c r="N163" s="284">
        <f t="shared" ca="1" si="414"/>
        <v>0.32152400626728012</v>
      </c>
      <c r="O163" s="284"/>
      <c r="P163" s="284"/>
      <c r="Q163" s="284">
        <f t="shared" ref="Q163:AZ163" si="415">Q120/Q$94</f>
        <v>0.22899889490730543</v>
      </c>
      <c r="R163" s="284">
        <f t="shared" si="415"/>
        <v>0.2200048029047724</v>
      </c>
      <c r="S163" s="284">
        <f t="shared" si="415"/>
        <v>0.21308206311582062</v>
      </c>
      <c r="T163" s="285">
        <f t="shared" si="415"/>
        <v>0.24980041088494701</v>
      </c>
      <c r="U163" s="284">
        <f t="shared" si="415"/>
        <v>0.29440818516661299</v>
      </c>
      <c r="V163" s="284">
        <f t="shared" si="415"/>
        <v>0.28299231529575603</v>
      </c>
      <c r="W163" s="284">
        <f t="shared" si="415"/>
        <v>0.29485692647564071</v>
      </c>
      <c r="X163" s="285">
        <f t="shared" si="415"/>
        <v>0.34782310779435394</v>
      </c>
      <c r="Y163" s="284">
        <f t="shared" si="415"/>
        <v>0.36649564128688367</v>
      </c>
      <c r="Z163" s="284">
        <f t="shared" si="415"/>
        <v>0.34345867150861448</v>
      </c>
      <c r="AA163" s="284">
        <f t="shared" si="415"/>
        <v>0.35506717800006832</v>
      </c>
      <c r="AB163" s="285">
        <f t="shared" si="415"/>
        <v>0.42672844800282167</v>
      </c>
      <c r="AC163" s="284">
        <f t="shared" si="415"/>
        <v>0.43649547366581382</v>
      </c>
      <c r="AD163" s="284">
        <f t="shared" si="415"/>
        <v>0.42196680445037393</v>
      </c>
      <c r="AE163" s="284">
        <f t="shared" si="415"/>
        <v>0.48357777264903423</v>
      </c>
      <c r="AF163" s="285">
        <f t="shared" si="415"/>
        <v>0.39738984263288557</v>
      </c>
      <c r="AG163" s="284">
        <f t="shared" si="415"/>
        <v>0.40487478174576874</v>
      </c>
      <c r="AH163" s="284">
        <f t="shared" si="415"/>
        <v>0.38625868089144955</v>
      </c>
      <c r="AI163" s="284">
        <f t="shared" si="415"/>
        <v>0.36037957933753967</v>
      </c>
      <c r="AJ163" s="285">
        <f t="shared" si="415"/>
        <v>0.36676993686495035</v>
      </c>
      <c r="AK163" s="284">
        <f t="shared" ca="1" si="415"/>
        <v>0.3544633476132254</v>
      </c>
      <c r="AL163" s="284">
        <f t="shared" ca="1" si="415"/>
        <v>0.30865174907394327</v>
      </c>
      <c r="AM163" s="284">
        <f t="shared" ca="1" si="415"/>
        <v>0.31514931980422134</v>
      </c>
      <c r="AN163" s="285">
        <f t="shared" ca="1" si="415"/>
        <v>0.32990263375267304</v>
      </c>
      <c r="AO163" s="284">
        <f t="shared" ca="1" si="415"/>
        <v>0.36282327737397646</v>
      </c>
      <c r="AP163" s="284">
        <f t="shared" ca="1" si="415"/>
        <v>0.32066213434142504</v>
      </c>
      <c r="AQ163" s="284">
        <f t="shared" ca="1" si="415"/>
        <v>0.32341554713875842</v>
      </c>
      <c r="AR163" s="285">
        <f t="shared" ca="1" si="415"/>
        <v>0.34535097742476245</v>
      </c>
      <c r="AS163" s="284">
        <f t="shared" ca="1" si="415"/>
        <v>0.34340175761919173</v>
      </c>
      <c r="AT163" s="284">
        <f t="shared" ca="1" si="415"/>
        <v>0.32634289706630548</v>
      </c>
      <c r="AU163" s="284">
        <f t="shared" ca="1" si="415"/>
        <v>0.33225633324876946</v>
      </c>
      <c r="AV163" s="285">
        <f t="shared" ca="1" si="415"/>
        <v>0.34603699376858621</v>
      </c>
      <c r="AW163" s="284">
        <f t="shared" ca="1" si="415"/>
        <v>0.33086311411812019</v>
      </c>
      <c r="AX163" s="284">
        <f t="shared" ca="1" si="415"/>
        <v>0.30831028803529981</v>
      </c>
      <c r="AY163" s="284">
        <f t="shared" ca="1" si="415"/>
        <v>0.32120459250688949</v>
      </c>
      <c r="AZ163" s="284">
        <f t="shared" ca="1" si="415"/>
        <v>0.32645083085071069</v>
      </c>
      <c r="BC163"/>
      <c r="BD163"/>
      <c r="BE163"/>
      <c r="BF163"/>
      <c r="BG163"/>
      <c r="BH163"/>
    </row>
    <row r="164" spans="1:60" s="203" customFormat="1" hidden="1" outlineLevel="1">
      <c r="A164" s="296"/>
      <c r="B164" s="9" t="s">
        <v>685</v>
      </c>
      <c r="E164" s="81"/>
      <c r="F164" s="85">
        <f t="shared" ref="F164:N164" ca="1" si="416">F122/F$94</f>
        <v>0.52483157599031838</v>
      </c>
      <c r="G164" s="85">
        <f t="shared" ca="1" si="416"/>
        <v>0.37113898697042791</v>
      </c>
      <c r="H164" s="85">
        <f t="shared" ca="1" si="416"/>
        <v>0.27650702218304812</v>
      </c>
      <c r="I164" s="85">
        <f t="shared" ca="1" si="416"/>
        <v>0.18625508115394085</v>
      </c>
      <c r="J164" s="85">
        <f t="shared" ca="1" si="416"/>
        <v>0.15089025982440862</v>
      </c>
      <c r="K164" s="85">
        <f t="shared" ca="1" si="416"/>
        <v>0.19597220762651821</v>
      </c>
      <c r="L164" s="85">
        <f t="shared" ca="1" si="416"/>
        <v>0.16278886405183535</v>
      </c>
      <c r="M164" s="85">
        <f t="shared" ca="1" si="416"/>
        <v>0.19406391854476118</v>
      </c>
      <c r="N164" s="85">
        <f t="shared" ca="1" si="416"/>
        <v>0.23363580775459789</v>
      </c>
      <c r="O164" s="85"/>
      <c r="P164" s="85"/>
      <c r="Q164" s="85">
        <f t="shared" ref="Q164:AZ164" si="417">Q122/Q$94</f>
        <v>0.51962426697327302</v>
      </c>
      <c r="R164" s="85">
        <f t="shared" si="417"/>
        <v>0.54650790887886835</v>
      </c>
      <c r="S164" s="85">
        <f t="shared" si="417"/>
        <v>0.55872868530291075</v>
      </c>
      <c r="T164" s="223">
        <f t="shared" si="417"/>
        <v>0.47622327098081996</v>
      </c>
      <c r="U164" s="85">
        <f t="shared" si="417"/>
        <v>0.39232736102406729</v>
      </c>
      <c r="V164" s="85">
        <f t="shared" si="417"/>
        <v>0.40685140133254172</v>
      </c>
      <c r="W164" s="85">
        <f t="shared" si="417"/>
        <v>0.39764716375121056</v>
      </c>
      <c r="X164" s="223">
        <f t="shared" si="417"/>
        <v>0.30475370387974504</v>
      </c>
      <c r="Y164" s="85">
        <f t="shared" si="417"/>
        <v>0.26477852707461158</v>
      </c>
      <c r="Z164" s="85">
        <f t="shared" si="417"/>
        <v>0.31448543061765377</v>
      </c>
      <c r="AA164" s="85">
        <f t="shared" si="417"/>
        <v>0.30713222592458672</v>
      </c>
      <c r="AB164" s="223">
        <f t="shared" si="417"/>
        <v>0.22256716978704261</v>
      </c>
      <c r="AC164" s="85">
        <f t="shared" si="417"/>
        <v>0.17942942646343574</v>
      </c>
      <c r="AD164" s="85">
        <f t="shared" si="417"/>
        <v>0.22174778098285586</v>
      </c>
      <c r="AE164" s="85">
        <f t="shared" si="417"/>
        <v>0.1447346879190394</v>
      </c>
      <c r="AF164" s="223">
        <f t="shared" si="417"/>
        <v>0.20025740878787715</v>
      </c>
      <c r="AG164" s="85">
        <f t="shared" si="417"/>
        <v>0.14802767025454175</v>
      </c>
      <c r="AH164" s="85">
        <f t="shared" si="417"/>
        <v>0.16625516695556272</v>
      </c>
      <c r="AI164" s="85">
        <f t="shared" ca="1" si="417"/>
        <v>0.16173727396777937</v>
      </c>
      <c r="AJ164" s="223">
        <f t="shared" ca="1" si="417"/>
        <v>0.1270976930612914</v>
      </c>
      <c r="AK164" s="85">
        <f t="shared" ca="1" si="417"/>
        <v>0.12578604250779338</v>
      </c>
      <c r="AL164" s="85">
        <f t="shared" ca="1" si="417"/>
        <v>0.21365075034549508</v>
      </c>
      <c r="AM164" s="85">
        <f t="shared" ca="1" si="417"/>
        <v>0.21196362379505443</v>
      </c>
      <c r="AN164" s="223">
        <f t="shared" ca="1" si="417"/>
        <v>0.21468854601080439</v>
      </c>
      <c r="AO164" s="85">
        <f t="shared" ca="1" si="417"/>
        <v>0.13290021168720659</v>
      </c>
      <c r="AP164" s="85">
        <f t="shared" ca="1" si="417"/>
        <v>0.16472351776243185</v>
      </c>
      <c r="AQ164" s="85">
        <f t="shared" ca="1" si="417"/>
        <v>0.18514206202388236</v>
      </c>
      <c r="AR164" s="223">
        <f t="shared" ca="1" si="417"/>
        <v>0.16152287454251513</v>
      </c>
      <c r="AS164" s="85">
        <f t="shared" ca="1" si="417"/>
        <v>0.15268214180513595</v>
      </c>
      <c r="AT164" s="85">
        <f t="shared" ca="1" si="417"/>
        <v>0.19438866804761995</v>
      </c>
      <c r="AU164" s="85">
        <f t="shared" ca="1" si="417"/>
        <v>0.21775605822877064</v>
      </c>
      <c r="AV164" s="223">
        <f t="shared" ca="1" si="417"/>
        <v>0.20315873993852326</v>
      </c>
      <c r="AW164" s="85">
        <f t="shared" ca="1" si="417"/>
        <v>0.1889861141878616</v>
      </c>
      <c r="AX164" s="85">
        <f t="shared" ca="1" si="417"/>
        <v>0.2283708313167444</v>
      </c>
      <c r="AY164" s="85">
        <f t="shared" ca="1" si="417"/>
        <v>0.25163673212759191</v>
      </c>
      <c r="AZ164" s="85">
        <f t="shared" ca="1" si="417"/>
        <v>0.25681054596839298</v>
      </c>
      <c r="BC164"/>
      <c r="BD164"/>
      <c r="BE164"/>
      <c r="BF164"/>
      <c r="BG164"/>
      <c r="BH164"/>
    </row>
    <row r="165" spans="1:60" s="202" customFormat="1" hidden="1" outlineLevel="1">
      <c r="A165" s="296"/>
      <c r="B165" s="3" t="str">
        <f>B126</f>
        <v>Interest Income</v>
      </c>
      <c r="E165" s="205"/>
      <c r="F165" s="38">
        <f t="shared" ref="F165:N165" si="418">F126/F$94</f>
        <v>4.1148766979008045E-2</v>
      </c>
      <c r="G165" s="38">
        <f t="shared" si="418"/>
        <v>4.3393772564740508E-2</v>
      </c>
      <c r="H165" s="38">
        <f t="shared" si="418"/>
        <v>4.3036417095501024E-2</v>
      </c>
      <c r="I165" s="38">
        <f t="shared" si="418"/>
        <v>3.7702966965401277E-2</v>
      </c>
      <c r="J165" s="38">
        <f t="shared" si="418"/>
        <v>3.5160363934100408E-2</v>
      </c>
      <c r="K165" s="38">
        <f t="shared" ca="1" si="418"/>
        <v>3.9395410579858396E-2</v>
      </c>
      <c r="L165" s="38">
        <f t="shared" ca="1" si="418"/>
        <v>4.4251987909372258E-2</v>
      </c>
      <c r="M165" s="38">
        <f t="shared" ca="1" si="418"/>
        <v>4.2414703087347995E-2</v>
      </c>
      <c r="N165" s="38">
        <f t="shared" ca="1" si="418"/>
        <v>4.3793906046837416E-2</v>
      </c>
      <c r="O165" s="38"/>
      <c r="P165" s="38"/>
      <c r="Q165" s="38">
        <f t="shared" ref="Q165:AZ165" si="419">Q126/Q$94</f>
        <v>4.5280469251908935E-2</v>
      </c>
      <c r="R165" s="38">
        <f t="shared" si="419"/>
        <v>3.9475735486768283E-2</v>
      </c>
      <c r="S165" s="38">
        <f t="shared" si="419"/>
        <v>3.8678595073305178E-2</v>
      </c>
      <c r="T165" s="218">
        <f t="shared" si="419"/>
        <v>4.2229443442113559E-2</v>
      </c>
      <c r="U165" s="38">
        <f t="shared" si="419"/>
        <v>4.8628402148347703E-2</v>
      </c>
      <c r="V165" s="38">
        <f t="shared" si="419"/>
        <v>4.4527500661668648E-2</v>
      </c>
      <c r="W165" s="38">
        <f t="shared" si="419"/>
        <v>4.1557472240663619E-2</v>
      </c>
      <c r="X165" s="218">
        <f t="shared" si="419"/>
        <v>4.09273802413119E-2</v>
      </c>
      <c r="Y165" s="38">
        <f t="shared" si="419"/>
        <v>4.6793857034655266E-2</v>
      </c>
      <c r="Z165" s="38">
        <f t="shared" si="419"/>
        <v>4.099154130836867E-2</v>
      </c>
      <c r="AA165" s="38">
        <f t="shared" si="419"/>
        <v>4.2026304421169454E-2</v>
      </c>
      <c r="AB165" s="218">
        <f t="shared" si="419"/>
        <v>4.3213150548432284E-2</v>
      </c>
      <c r="AC165" s="38">
        <f t="shared" si="419"/>
        <v>4.6720883098568117E-2</v>
      </c>
      <c r="AD165" s="38">
        <f t="shared" si="419"/>
        <v>3.9146292208262205E-2</v>
      </c>
      <c r="AE165" s="38">
        <f t="shared" si="419"/>
        <v>3.5506753027370802E-2</v>
      </c>
      <c r="AF165" s="218">
        <f t="shared" si="419"/>
        <v>3.2445954100804933E-2</v>
      </c>
      <c r="AG165" s="38">
        <f t="shared" si="419"/>
        <v>3.9915310953830087E-2</v>
      </c>
      <c r="AH165" s="38">
        <f t="shared" si="419"/>
        <v>2.8238517707832908E-2</v>
      </c>
      <c r="AI165" s="38">
        <f t="shared" si="419"/>
        <v>3.6406615922594386E-2</v>
      </c>
      <c r="AJ165" s="218">
        <f t="shared" si="419"/>
        <v>3.6722193650834817E-2</v>
      </c>
      <c r="AK165" s="38">
        <f t="shared" si="419"/>
        <v>4.0688430638262524E-2</v>
      </c>
      <c r="AL165" s="38">
        <f t="shared" si="419"/>
        <v>3.6132858490734561E-2</v>
      </c>
      <c r="AM165" s="38">
        <f t="shared" si="419"/>
        <v>3.9506411583929292E-2</v>
      </c>
      <c r="AN165" s="218">
        <f t="shared" si="419"/>
        <v>4.1237829219084129E-2</v>
      </c>
      <c r="AO165" s="38">
        <f t="shared" ca="1" si="419"/>
        <v>4.7961217543838273E-2</v>
      </c>
      <c r="AP165" s="38">
        <f t="shared" ca="1" si="419"/>
        <v>4.3619507034648029E-2</v>
      </c>
      <c r="AQ165" s="38">
        <f t="shared" ca="1" si="419"/>
        <v>4.3256366769854025E-2</v>
      </c>
      <c r="AR165" s="218">
        <f t="shared" ca="1" si="419"/>
        <v>4.2986696803090439E-2</v>
      </c>
      <c r="AS165" s="38">
        <f t="shared" ca="1" si="419"/>
        <v>4.6875242023203367E-2</v>
      </c>
      <c r="AT165" s="38">
        <f t="shared" ca="1" si="419"/>
        <v>3.9563325286265917E-2</v>
      </c>
      <c r="AU165" s="38">
        <f t="shared" ca="1" si="419"/>
        <v>4.0381978030508352E-2</v>
      </c>
      <c r="AV165" s="218">
        <f t="shared" ca="1" si="419"/>
        <v>4.3556723645415976E-2</v>
      </c>
      <c r="AW165" s="38">
        <f t="shared" ca="1" si="419"/>
        <v>4.7088080180922011E-2</v>
      </c>
      <c r="AX165" s="38">
        <f t="shared" ca="1" si="419"/>
        <v>4.1762854041547892E-2</v>
      </c>
      <c r="AY165" s="38">
        <f t="shared" ca="1" si="419"/>
        <v>4.2409059419009944E-2</v>
      </c>
      <c r="AZ165" s="38">
        <f t="shared" ca="1" si="419"/>
        <v>4.4379301971917667E-2</v>
      </c>
      <c r="BC165"/>
      <c r="BD165"/>
      <c r="BE165"/>
      <c r="BF165"/>
      <c r="BG165"/>
      <c r="BH165"/>
    </row>
    <row r="166" spans="1:60" s="202" customFormat="1" hidden="1" outlineLevel="1">
      <c r="A166" s="296"/>
      <c r="B166" s="3" t="str">
        <f>B127</f>
        <v>Interest Expense</v>
      </c>
      <c r="E166" s="205"/>
      <c r="F166" s="38">
        <f t="shared" ref="F166:N166" si="420">F127/F$94</f>
        <v>-5.122171766955238E-3</v>
      </c>
      <c r="G166" s="38">
        <f t="shared" si="420"/>
        <v>-1.4826166384674277E-2</v>
      </c>
      <c r="H166" s="38">
        <f t="shared" si="420"/>
        <v>-1.3574467778861982E-2</v>
      </c>
      <c r="I166" s="38">
        <f t="shared" si="420"/>
        <v>-1.6618603142582976E-2</v>
      </c>
      <c r="J166" s="38">
        <f t="shared" si="420"/>
        <v>-1.7381176281098573E-2</v>
      </c>
      <c r="K166" s="38">
        <f t="shared" ca="1" si="420"/>
        <v>-2.0172348790891349E-2</v>
      </c>
      <c r="L166" s="38">
        <f t="shared" ca="1" si="420"/>
        <v>-1.5801735738454774E-2</v>
      </c>
      <c r="M166" s="38">
        <f t="shared" ca="1" si="420"/>
        <v>-1.13737339725241E-2</v>
      </c>
      <c r="N166" s="38">
        <f t="shared" ca="1" si="420"/>
        <v>-8.1886832044236659E-3</v>
      </c>
      <c r="O166" s="38"/>
      <c r="P166" s="38"/>
      <c r="Q166" s="38">
        <f t="shared" ref="Q166:AZ166" si="421">Q127/Q$94</f>
        <v>-6.2897546231664202E-3</v>
      </c>
      <c r="R166" s="38">
        <f t="shared" si="421"/>
        <v>-4.9560417444349941E-3</v>
      </c>
      <c r="S166" s="38">
        <f t="shared" si="421"/>
        <v>-4.067666997982171E-3</v>
      </c>
      <c r="T166" s="218">
        <f t="shared" si="421"/>
        <v>-5.5198783117845268E-3</v>
      </c>
      <c r="U166" s="38">
        <f t="shared" si="421"/>
        <v>-1.5839767500397606E-2</v>
      </c>
      <c r="V166" s="38">
        <f t="shared" si="421"/>
        <v>-1.2784610689613016E-2</v>
      </c>
      <c r="W166" s="38">
        <f t="shared" si="421"/>
        <v>-1.4103511594228575E-2</v>
      </c>
      <c r="X166" s="218">
        <f t="shared" si="421"/>
        <v>-1.6486440722283831E-2</v>
      </c>
      <c r="Y166" s="38">
        <f t="shared" si="421"/>
        <v>-1.3584769985598056E-2</v>
      </c>
      <c r="Z166" s="38">
        <f t="shared" si="421"/>
        <v>-1.2907683990971799E-2</v>
      </c>
      <c r="AA166" s="38">
        <f t="shared" si="421"/>
        <v>-1.3881756897217297E-2</v>
      </c>
      <c r="AB166" s="218">
        <f t="shared" si="421"/>
        <v>-1.3840702694089994E-2</v>
      </c>
      <c r="AC166" s="38">
        <f t="shared" si="421"/>
        <v>-1.6577370819371027E-2</v>
      </c>
      <c r="AD166" s="38">
        <f t="shared" si="421"/>
        <v>-1.3646172641504991E-2</v>
      </c>
      <c r="AE166" s="38">
        <f t="shared" si="421"/>
        <v>-1.8980007592261199E-2</v>
      </c>
      <c r="AF166" s="218">
        <f t="shared" si="421"/>
        <v>-1.6959989822456108E-2</v>
      </c>
      <c r="AG166" s="38">
        <f t="shared" si="421"/>
        <v>-1.7970929328973199E-2</v>
      </c>
      <c r="AH166" s="38">
        <f t="shared" si="421"/>
        <v>-1.5955156626254494E-2</v>
      </c>
      <c r="AI166" s="38">
        <f t="shared" si="421"/>
        <v>-1.8565744462085643E-2</v>
      </c>
      <c r="AJ166" s="218">
        <f t="shared" si="421"/>
        <v>-1.7111714205396165E-2</v>
      </c>
      <c r="AK166" s="38">
        <f t="shared" si="421"/>
        <v>-2.0280213667603922E-2</v>
      </c>
      <c r="AL166" s="38">
        <f t="shared" si="421"/>
        <v>-1.6949964516720987E-2</v>
      </c>
      <c r="AM166" s="38">
        <f t="shared" si="421"/>
        <v>-2.5119944351881984E-2</v>
      </c>
      <c r="AN166" s="218">
        <f t="shared" si="421"/>
        <v>-1.7988147969066139E-2</v>
      </c>
      <c r="AO166" s="38">
        <f t="shared" ca="1" si="421"/>
        <v>-1.6347449764837152E-2</v>
      </c>
      <c r="AP166" s="38">
        <f t="shared" ca="1" si="421"/>
        <v>-1.7762685465166933E-2</v>
      </c>
      <c r="AQ166" s="38">
        <f t="shared" ca="1" si="421"/>
        <v>-1.5269900262317631E-2</v>
      </c>
      <c r="AR166" s="218">
        <f t="shared" ca="1" si="421"/>
        <v>-1.411674419235469E-2</v>
      </c>
      <c r="AS166" s="38">
        <f t="shared" ca="1" si="421"/>
        <v>-1.3943383267134003E-2</v>
      </c>
      <c r="AT166" s="38">
        <f t="shared" ca="1" si="421"/>
        <v>-1.1885626951994582E-2</v>
      </c>
      <c r="AU166" s="38">
        <f t="shared" ca="1" si="421"/>
        <v>-9.9334377432714945E-3</v>
      </c>
      <c r="AV166" s="218">
        <f t="shared" ca="1" si="421"/>
        <v>-1.0274267251451821E-2</v>
      </c>
      <c r="AW166" s="38">
        <f t="shared" ca="1" si="421"/>
        <v>-1.0214319495750046E-2</v>
      </c>
      <c r="AX166" s="38">
        <f t="shared" ca="1" si="421"/>
        <v>-9.0067025634996446E-3</v>
      </c>
      <c r="AY166" s="38">
        <f t="shared" ca="1" si="421"/>
        <v>-7.4342428855467728E-3</v>
      </c>
      <c r="AZ166" s="38">
        <f t="shared" ca="1" si="421"/>
        <v>-6.5389727596747238E-3</v>
      </c>
      <c r="BC166"/>
      <c r="BD166"/>
      <c r="BE166"/>
      <c r="BF166"/>
      <c r="BG166"/>
      <c r="BH166"/>
    </row>
    <row r="167" spans="1:60" s="202" customFormat="1" hidden="1" outlineLevel="1">
      <c r="A167" s="296"/>
      <c r="B167" s="3" t="str">
        <f>B128</f>
        <v>Other Income, net, including exchange gains or losses</v>
      </c>
      <c r="E167" s="205"/>
      <c r="F167" s="38">
        <f t="shared" ref="F167:N167" si="422">F128/F$94</f>
        <v>2.1358236239900193E-2</v>
      </c>
      <c r="G167" s="38">
        <f t="shared" si="422"/>
        <v>4.6742065877692423E-3</v>
      </c>
      <c r="H167" s="38">
        <f t="shared" si="422"/>
        <v>7.2634743629707401E-3</v>
      </c>
      <c r="I167" s="38">
        <f t="shared" si="422"/>
        <v>0.39751410706421275</v>
      </c>
      <c r="J167" s="38">
        <f t="shared" si="422"/>
        <v>6.4592724543813318E-2</v>
      </c>
      <c r="K167" s="38">
        <f t="shared" ca="1" si="422"/>
        <v>-7.8690896212145814E-4</v>
      </c>
      <c r="L167" s="38">
        <f t="shared" ca="1" si="422"/>
        <v>0</v>
      </c>
      <c r="M167" s="38">
        <f t="shared" ca="1" si="422"/>
        <v>0</v>
      </c>
      <c r="N167" s="38">
        <f t="shared" ca="1" si="422"/>
        <v>0</v>
      </c>
      <c r="O167" s="38"/>
      <c r="P167" s="38"/>
      <c r="Q167" s="38">
        <f t="shared" ref="Q167:AZ167" si="423">Q128/Q$94</f>
        <v>-8.7454322458310155E-4</v>
      </c>
      <c r="R167" s="38">
        <f t="shared" si="423"/>
        <v>9.4055487252381106E-3</v>
      </c>
      <c r="S167" s="38">
        <f t="shared" si="423"/>
        <v>4.6260772453928555E-3</v>
      </c>
      <c r="T167" s="218">
        <f t="shared" si="423"/>
        <v>6.3123951915362866E-2</v>
      </c>
      <c r="U167" s="38">
        <f t="shared" si="423"/>
        <v>1.0661484366233603E-3</v>
      </c>
      <c r="V167" s="38">
        <f t="shared" si="423"/>
        <v>2.9364996377341042E-3</v>
      </c>
      <c r="W167" s="38">
        <f t="shared" si="423"/>
        <v>4.3054781215214133E-3</v>
      </c>
      <c r="X167" s="218">
        <f t="shared" si="423"/>
        <v>8.2915538305045819E-3</v>
      </c>
      <c r="Y167" s="38">
        <f t="shared" si="423"/>
        <v>1.9501725736074831E-2</v>
      </c>
      <c r="Z167" s="38">
        <f t="shared" si="423"/>
        <v>5.9188242609564895E-3</v>
      </c>
      <c r="AA167" s="38">
        <f t="shared" si="423"/>
        <v>-1.910653402073985E-3</v>
      </c>
      <c r="AB167" s="218">
        <f t="shared" si="423"/>
        <v>8.7513652938096577E-3</v>
      </c>
      <c r="AC167" s="38">
        <f t="shared" si="423"/>
        <v>8.3139101061534618E-3</v>
      </c>
      <c r="AD167" s="38">
        <f t="shared" si="423"/>
        <v>9.4444792602932006E-3</v>
      </c>
      <c r="AE167" s="38">
        <f t="shared" si="423"/>
        <v>1.5099551113681145E-2</v>
      </c>
      <c r="AF167" s="218">
        <f t="shared" si="423"/>
        <v>1.3823223921576102</v>
      </c>
      <c r="AG167" s="38">
        <f t="shared" si="423"/>
        <v>1.5531228815798416E-2</v>
      </c>
      <c r="AH167" s="38">
        <f t="shared" si="423"/>
        <v>3.8956761800586749E-2</v>
      </c>
      <c r="AI167" s="38">
        <f t="shared" si="423"/>
        <v>7.4999864357631771E-2</v>
      </c>
      <c r="AJ167" s="218">
        <f t="shared" si="423"/>
        <v>0.1224889369495594</v>
      </c>
      <c r="AK167" s="38">
        <f t="shared" si="423"/>
        <v>-4.9895574641960891E-3</v>
      </c>
      <c r="AL167" s="38">
        <f t="shared" si="423"/>
        <v>2.557719196535143E-2</v>
      </c>
      <c r="AM167" s="38">
        <f t="shared" si="423"/>
        <v>0.18485933913530386</v>
      </c>
      <c r="AN167" s="218">
        <f t="shared" si="423"/>
        <v>-1.83029405585248E-2</v>
      </c>
      <c r="AO167" s="38">
        <f t="shared" ca="1" si="423"/>
        <v>0</v>
      </c>
      <c r="AP167" s="38">
        <f t="shared" ca="1" si="423"/>
        <v>0</v>
      </c>
      <c r="AQ167" s="38">
        <f t="shared" ca="1" si="423"/>
        <v>0</v>
      </c>
      <c r="AR167" s="218">
        <f t="shared" ca="1" si="423"/>
        <v>0</v>
      </c>
      <c r="AS167" s="38">
        <f t="shared" ca="1" si="423"/>
        <v>0</v>
      </c>
      <c r="AT167" s="38">
        <f t="shared" ca="1" si="423"/>
        <v>0</v>
      </c>
      <c r="AU167" s="38">
        <f t="shared" ca="1" si="423"/>
        <v>0</v>
      </c>
      <c r="AV167" s="218">
        <f t="shared" ca="1" si="423"/>
        <v>0</v>
      </c>
      <c r="AW167" s="38">
        <f t="shared" ca="1" si="423"/>
        <v>0</v>
      </c>
      <c r="AX167" s="38">
        <f t="shared" ca="1" si="423"/>
        <v>0</v>
      </c>
      <c r="AY167" s="38">
        <f t="shared" ca="1" si="423"/>
        <v>0</v>
      </c>
      <c r="AZ167" s="38">
        <f t="shared" ca="1" si="423"/>
        <v>0</v>
      </c>
      <c r="BC167"/>
      <c r="BD167"/>
      <c r="BE167"/>
      <c r="BF167"/>
      <c r="BG167"/>
      <c r="BH167"/>
    </row>
    <row r="168" spans="1:60" s="202" customFormat="1" hidden="1" outlineLevel="1">
      <c r="A168" s="296"/>
      <c r="B168" s="3" t="str">
        <f>B129</f>
        <v>Income / (loss) from equity method investments</v>
      </c>
      <c r="E168" s="205"/>
      <c r="F168" s="38">
        <f t="shared" ref="F168:N168" si="424">F129/F$94</f>
        <v>-1.3973052067269372E-2</v>
      </c>
      <c r="G168" s="38">
        <f t="shared" si="424"/>
        <v>7.4872995820287865E-4</v>
      </c>
      <c r="H168" s="38">
        <f t="shared" si="424"/>
        <v>-4.3068422010217539E-4</v>
      </c>
      <c r="I168" s="38">
        <f t="shared" si="424"/>
        <v>6.1709725956139903E-5</v>
      </c>
      <c r="J168" s="38">
        <f t="shared" si="424"/>
        <v>-1.5401630153099704E-2</v>
      </c>
      <c r="K168" s="38">
        <f t="shared" ca="1" si="424"/>
        <v>5.1411385525268596E-2</v>
      </c>
      <c r="L168" s="38">
        <f t="shared" ca="1" si="424"/>
        <v>8.2097419008645596E-3</v>
      </c>
      <c r="M168" s="38">
        <f t="shared" ca="1" si="424"/>
        <v>6.7217604394271234E-3</v>
      </c>
      <c r="N168" s="38">
        <f t="shared" ca="1" si="424"/>
        <v>5.586493334808415E-3</v>
      </c>
      <c r="O168" s="38"/>
      <c r="P168" s="38"/>
      <c r="Q168" s="38">
        <f t="shared" ref="Q168:AZ168" si="425">Q129/Q$94</f>
        <v>-1.1395894495789122E-2</v>
      </c>
      <c r="R168" s="38">
        <f t="shared" si="425"/>
        <v>-1.1130756816320078E-2</v>
      </c>
      <c r="S168" s="38">
        <f t="shared" si="425"/>
        <v>-1.1746443419887519E-2</v>
      </c>
      <c r="T168" s="218">
        <f t="shared" si="425"/>
        <v>-2.0352419369686802E-2</v>
      </c>
      <c r="U168" s="38">
        <f t="shared" si="425"/>
        <v>-9.6782211168756189E-4</v>
      </c>
      <c r="V168" s="38">
        <f t="shared" si="425"/>
        <v>1.1768976075655553E-5</v>
      </c>
      <c r="W168" s="38">
        <f t="shared" si="425"/>
        <v>2.5614372177622623E-5</v>
      </c>
      <c r="X168" s="218">
        <f t="shared" si="425"/>
        <v>-7.241677458019376E-5</v>
      </c>
      <c r="Y168" s="38">
        <f t="shared" si="425"/>
        <v>-6.2500382832971412E-4</v>
      </c>
      <c r="Z168" s="38">
        <f t="shared" si="425"/>
        <v>-4.8618692618258668E-4</v>
      </c>
      <c r="AA168" s="38">
        <f t="shared" si="425"/>
        <v>-7.821259897273946E-4</v>
      </c>
      <c r="AB168" s="218">
        <f t="shared" si="425"/>
        <v>-4.4234456056775704E-4</v>
      </c>
      <c r="AC168" s="38">
        <f t="shared" si="425"/>
        <v>-6.6425034032261375E-4</v>
      </c>
      <c r="AD168" s="38">
        <f t="shared" si="425"/>
        <v>-1.54470261961379E-4</v>
      </c>
      <c r="AE168" s="38">
        <f t="shared" si="425"/>
        <v>-5.1032555055397898E-4</v>
      </c>
      <c r="AF168" s="218">
        <f t="shared" si="425"/>
        <v>1.309735061079068E-3</v>
      </c>
      <c r="AG168" s="38">
        <f t="shared" si="425"/>
        <v>-7.840306633238061E-3</v>
      </c>
      <c r="AH168" s="38">
        <f t="shared" si="425"/>
        <v>-3.2163838540018336E-2</v>
      </c>
      <c r="AI168" s="38">
        <f t="shared" si="425"/>
        <v>-1.4419691430888497E-2</v>
      </c>
      <c r="AJ168" s="218">
        <f t="shared" si="425"/>
        <v>-6.1446591594173268E-3</v>
      </c>
      <c r="AK168" s="38">
        <f t="shared" si="425"/>
        <v>-4.7744416731732818E-3</v>
      </c>
      <c r="AL168" s="38">
        <f t="shared" si="425"/>
        <v>-5.9883108172846602E-3</v>
      </c>
      <c r="AM168" s="38">
        <f t="shared" si="425"/>
        <v>-3.2922009653274411E-3</v>
      </c>
      <c r="AN168" s="218">
        <f t="shared" si="425"/>
        <v>9.1739554642237316E-3</v>
      </c>
      <c r="AO168" s="38">
        <f t="shared" ca="1" si="425"/>
        <v>9.8699025588731507E-3</v>
      </c>
      <c r="AP168" s="38">
        <f t="shared" ca="1" si="425"/>
        <v>8.244763169805859E-3</v>
      </c>
      <c r="AQ168" s="38">
        <f t="shared" ca="1" si="425"/>
        <v>7.5494084117651268E-3</v>
      </c>
      <c r="AR168" s="218">
        <f t="shared" ca="1" si="425"/>
        <v>7.5666952549115259E-3</v>
      </c>
      <c r="AS168" s="38">
        <f t="shared" ca="1" si="425"/>
        <v>7.7905918311089528E-3</v>
      </c>
      <c r="AT168" s="38">
        <f t="shared" ca="1" si="425"/>
        <v>6.7553411382716404E-3</v>
      </c>
      <c r="AU168" s="38">
        <f t="shared" ca="1" si="425"/>
        <v>6.1715750758305392E-3</v>
      </c>
      <c r="AV168" s="218">
        <f t="shared" ca="1" si="425"/>
        <v>6.3833300545354773E-3</v>
      </c>
      <c r="AW168" s="38">
        <f t="shared" ca="1" si="425"/>
        <v>6.4158221322105852E-3</v>
      </c>
      <c r="AX168" s="38">
        <f t="shared" ca="1" si="425"/>
        <v>5.6572933389426551E-3</v>
      </c>
      <c r="AY168" s="38">
        <f t="shared" ca="1" si="425"/>
        <v>5.2004144755659794E-3</v>
      </c>
      <c r="AZ168" s="38">
        <f t="shared" ca="1" si="425"/>
        <v>5.2330634211053655E-3</v>
      </c>
      <c r="BC168"/>
      <c r="BD168"/>
      <c r="BE168"/>
      <c r="BF168"/>
      <c r="BG168"/>
      <c r="BH168"/>
    </row>
    <row r="169" spans="1:60" s="202" customFormat="1" hidden="1" outlineLevel="1">
      <c r="A169" s="296"/>
      <c r="B169" s="9" t="str">
        <f>B131</f>
        <v>Profit Before Tax</v>
      </c>
      <c r="E169" s="205"/>
      <c r="F169" s="38">
        <f t="shared" ref="F169:N169" ca="1" si="426">F131/F$94</f>
        <v>0.56824335537500203</v>
      </c>
      <c r="G169" s="38">
        <f t="shared" ca="1" si="426"/>
        <v>0.40512952969646621</v>
      </c>
      <c r="H169" s="38">
        <f t="shared" ca="1" si="426"/>
        <v>0.31280176164255574</v>
      </c>
      <c r="I169" s="38">
        <f t="shared" ca="1" si="426"/>
        <v>0.604915261766928</v>
      </c>
      <c r="J169" s="38">
        <f t="shared" ca="1" si="426"/>
        <v>0.21786054186812409</v>
      </c>
      <c r="K169" s="38">
        <f t="shared" ca="1" si="426"/>
        <v>0.26581974597863239</v>
      </c>
      <c r="L169" s="38">
        <f t="shared" ca="1" si="426"/>
        <v>0.1994488581236174</v>
      </c>
      <c r="M169" s="38">
        <f t="shared" ca="1" si="426"/>
        <v>0.23182664809901218</v>
      </c>
      <c r="N169" s="38">
        <f t="shared" ca="1" si="426"/>
        <v>0.27482752393182003</v>
      </c>
      <c r="O169" s="38"/>
      <c r="P169" s="38"/>
      <c r="Q169" s="38">
        <f t="shared" ref="Q169:AZ169" si="427">Q131/Q$94</f>
        <v>0.54634454388164333</v>
      </c>
      <c r="R169" s="38">
        <f t="shared" si="427"/>
        <v>0.57930239453011978</v>
      </c>
      <c r="S169" s="38">
        <f t="shared" si="427"/>
        <v>0.58621924720373919</v>
      </c>
      <c r="T169" s="218">
        <f t="shared" si="427"/>
        <v>0.55570436865682504</v>
      </c>
      <c r="U169" s="38">
        <f t="shared" si="427"/>
        <v>0.42521432199695319</v>
      </c>
      <c r="V169" s="38">
        <f t="shared" si="427"/>
        <v>0.44154255991840713</v>
      </c>
      <c r="W169" s="38">
        <f t="shared" si="427"/>
        <v>0.4294322168913447</v>
      </c>
      <c r="X169" s="218">
        <f t="shared" si="427"/>
        <v>0.3374137804546975</v>
      </c>
      <c r="Y169" s="38">
        <f t="shared" si="427"/>
        <v>0.3168643360314139</v>
      </c>
      <c r="Z169" s="38">
        <f t="shared" si="427"/>
        <v>0.34800192526982454</v>
      </c>
      <c r="AA169" s="38">
        <f t="shared" si="427"/>
        <v>0.3325839940567375</v>
      </c>
      <c r="AB169" s="218">
        <f t="shared" si="427"/>
        <v>0.26024863837462681</v>
      </c>
      <c r="AC169" s="38">
        <f t="shared" si="427"/>
        <v>0.21722259850846368</v>
      </c>
      <c r="AD169" s="38">
        <f t="shared" si="427"/>
        <v>0.25653790954794492</v>
      </c>
      <c r="AE169" s="38">
        <f t="shared" si="427"/>
        <v>0.17585065891727616</v>
      </c>
      <c r="AF169" s="218">
        <f t="shared" si="427"/>
        <v>1.599375500284915</v>
      </c>
      <c r="AG169" s="38">
        <f t="shared" si="427"/>
        <v>0.17766297406195902</v>
      </c>
      <c r="AH169" s="38">
        <f t="shared" si="427"/>
        <v>0.18533145129770953</v>
      </c>
      <c r="AI169" s="38">
        <f t="shared" ca="1" si="427"/>
        <v>0.24015831835503137</v>
      </c>
      <c r="AJ169" s="218">
        <f t="shared" ca="1" si="427"/>
        <v>0.26305245029687213</v>
      </c>
      <c r="AK169" s="38">
        <f t="shared" ca="1" si="427"/>
        <v>0.1364302603410826</v>
      </c>
      <c r="AL169" s="38">
        <f t="shared" ca="1" si="427"/>
        <v>0.25242252546757543</v>
      </c>
      <c r="AM169" s="38">
        <f t="shared" ca="1" si="427"/>
        <v>0.40791722919707818</v>
      </c>
      <c r="AN169" s="218">
        <f t="shared" ca="1" si="427"/>
        <v>0.22880924216652132</v>
      </c>
      <c r="AO169" s="38">
        <f t="shared" ca="1" si="427"/>
        <v>0.17438388202508087</v>
      </c>
      <c r="AP169" s="38">
        <f t="shared" ca="1" si="427"/>
        <v>0.19882510250171881</v>
      </c>
      <c r="AQ169" s="38">
        <f t="shared" ca="1" si="427"/>
        <v>0.22067793694318391</v>
      </c>
      <c r="AR169" s="218">
        <f t="shared" ca="1" si="427"/>
        <v>0.19795952240816239</v>
      </c>
      <c r="AS169" s="38">
        <f t="shared" ca="1" si="427"/>
        <v>0.19340459239231428</v>
      </c>
      <c r="AT169" s="38">
        <f t="shared" ca="1" si="427"/>
        <v>0.22882170752016295</v>
      </c>
      <c r="AU169" s="38">
        <f t="shared" ca="1" si="427"/>
        <v>0.25437617359183801</v>
      </c>
      <c r="AV169" s="218">
        <f t="shared" ca="1" si="427"/>
        <v>0.24282452638702293</v>
      </c>
      <c r="AW169" s="38">
        <f t="shared" ca="1" si="427"/>
        <v>0.23227569700524417</v>
      </c>
      <c r="AX169" s="38">
        <f t="shared" ca="1" si="427"/>
        <v>0.26678427613373534</v>
      </c>
      <c r="AY169" s="38">
        <f t="shared" ca="1" si="427"/>
        <v>0.291811963136621</v>
      </c>
      <c r="AZ169" s="38">
        <f t="shared" ca="1" si="427"/>
        <v>0.29988393860174134</v>
      </c>
      <c r="BC169"/>
      <c r="BD169"/>
      <c r="BE169"/>
      <c r="BF169"/>
      <c r="BG169"/>
      <c r="BH169"/>
    </row>
    <row r="170" spans="1:60" s="202" customFormat="1" hidden="1" outlineLevel="1">
      <c r="A170" s="296"/>
      <c r="B170" s="3" t="str">
        <f>B132</f>
        <v>Tax Expenses</v>
      </c>
      <c r="E170" s="205"/>
      <c r="F170" s="38">
        <f t="shared" ref="F170:N170" si="428">F132/F$94</f>
        <v>7.4757436109835165E-2</v>
      </c>
      <c r="G170" s="38">
        <f t="shared" si="428"/>
        <v>6.0650840750110326E-2</v>
      </c>
      <c r="H170" s="38">
        <f t="shared" si="428"/>
        <v>4.8183852616647989E-2</v>
      </c>
      <c r="I170" s="38">
        <f t="shared" si="428"/>
        <v>8.7360306297024917E-2</v>
      </c>
      <c r="J170" s="38">
        <f t="shared" si="428"/>
        <v>4.3748577549670015E-2</v>
      </c>
      <c r="K170" s="38">
        <f t="shared" ca="1" si="428"/>
        <v>3.7409402246885194E-2</v>
      </c>
      <c r="L170" s="38">
        <f t="shared" ca="1" si="428"/>
        <v>3.5900794462251119E-2</v>
      </c>
      <c r="M170" s="38">
        <f t="shared" ca="1" si="428"/>
        <v>4.1728796657822226E-2</v>
      </c>
      <c r="N170" s="38">
        <f t="shared" ca="1" si="428"/>
        <v>4.9468954307727589E-2</v>
      </c>
      <c r="O170" s="38"/>
      <c r="P170" s="38"/>
      <c r="Q170" s="38">
        <f t="shared" ref="Q170:AZ170" si="429">Q132/Q$94</f>
        <v>8.2285573241200269E-2</v>
      </c>
      <c r="R170" s="38">
        <f t="shared" si="429"/>
        <v>4.5693939936596463E-2</v>
      </c>
      <c r="S170" s="38">
        <f t="shared" si="429"/>
        <v>7.9261885979887661E-2</v>
      </c>
      <c r="T170" s="218">
        <f t="shared" si="429"/>
        <v>9.0277231898620858E-2</v>
      </c>
      <c r="U170" s="38">
        <f t="shared" si="429"/>
        <v>6.9016738340901704E-2</v>
      </c>
      <c r="V170" s="38">
        <f t="shared" si="429"/>
        <v>7.1898636342192374E-2</v>
      </c>
      <c r="W170" s="38">
        <f t="shared" si="429"/>
        <v>7.0060311643618617E-2</v>
      </c>
      <c r="X170" s="218">
        <f t="shared" si="429"/>
        <v>3.7691429438642413E-2</v>
      </c>
      <c r="Y170" s="38">
        <f t="shared" si="429"/>
        <v>4.79986877235343E-2</v>
      </c>
      <c r="Z170" s="38">
        <f t="shared" si="429"/>
        <v>5.3525106183083267E-2</v>
      </c>
      <c r="AA170" s="38">
        <f t="shared" si="429"/>
        <v>5.1460160491011979E-2</v>
      </c>
      <c r="AB170" s="218">
        <f t="shared" si="429"/>
        <v>4.0599872073259456E-2</v>
      </c>
      <c r="AC170" s="38">
        <f t="shared" si="429"/>
        <v>4.5038154419668387E-2</v>
      </c>
      <c r="AD170" s="38">
        <f t="shared" si="429"/>
        <v>4.8760132740461759E-2</v>
      </c>
      <c r="AE170" s="38">
        <f t="shared" si="429"/>
        <v>3.4028445476116088E-2</v>
      </c>
      <c r="AF170" s="218">
        <f t="shared" si="429"/>
        <v>0.20280861338174253</v>
      </c>
      <c r="AG170" s="38">
        <f t="shared" si="429"/>
        <v>4.5180259119131809E-2</v>
      </c>
      <c r="AH170" s="38">
        <f t="shared" si="429"/>
        <v>4.597925566009408E-2</v>
      </c>
      <c r="AI170" s="38">
        <f t="shared" si="429"/>
        <v>6.0658579926353387E-2</v>
      </c>
      <c r="AJ170" s="218">
        <f t="shared" si="429"/>
        <v>2.3320471113754994E-2</v>
      </c>
      <c r="AK170" s="38">
        <f t="shared" si="429"/>
        <v>2.5403293440571895E-2</v>
      </c>
      <c r="AL170" s="38">
        <f t="shared" si="429"/>
        <v>2.8622095770750408E-2</v>
      </c>
      <c r="AM170" s="38">
        <f t="shared" si="429"/>
        <v>4.947321176663292E-2</v>
      </c>
      <c r="AN170" s="218">
        <f t="shared" si="429"/>
        <v>4.1777473658156108E-2</v>
      </c>
      <c r="AO170" s="38">
        <f t="shared" ca="1" si="429"/>
        <v>3.1389098764514553E-2</v>
      </c>
      <c r="AP170" s="38">
        <f t="shared" ca="1" si="429"/>
        <v>3.5788518450309385E-2</v>
      </c>
      <c r="AQ170" s="38">
        <f t="shared" ca="1" si="429"/>
        <v>3.9722028649773103E-2</v>
      </c>
      <c r="AR170" s="218">
        <f t="shared" ca="1" si="429"/>
        <v>3.563271403346923E-2</v>
      </c>
      <c r="AS170" s="38">
        <f t="shared" ca="1" si="429"/>
        <v>3.4812826630616571E-2</v>
      </c>
      <c r="AT170" s="38">
        <f t="shared" ca="1" si="429"/>
        <v>4.118790735362933E-2</v>
      </c>
      <c r="AU170" s="38">
        <f t="shared" ca="1" si="429"/>
        <v>4.5787711246530839E-2</v>
      </c>
      <c r="AV170" s="218">
        <f t="shared" ca="1" si="429"/>
        <v>4.3708414749664123E-2</v>
      </c>
      <c r="AW170" s="38">
        <f t="shared" ca="1" si="429"/>
        <v>4.1809625460943946E-2</v>
      </c>
      <c r="AX170" s="38">
        <f t="shared" ca="1" si="429"/>
        <v>4.8021169704072358E-2</v>
      </c>
      <c r="AY170" s="38">
        <f t="shared" ca="1" si="429"/>
        <v>5.2526153364591786E-2</v>
      </c>
      <c r="AZ170" s="38">
        <f t="shared" ca="1" si="429"/>
        <v>5.3979108948313433E-2</v>
      </c>
      <c r="BC170"/>
      <c r="BD170"/>
      <c r="BE170"/>
      <c r="BF170"/>
      <c r="BG170"/>
      <c r="BH170"/>
    </row>
    <row r="171" spans="1:60" s="202" customFormat="1" hidden="1" outlineLevel="1">
      <c r="A171" s="296"/>
      <c r="B171" s="9" t="s">
        <v>686</v>
      </c>
      <c r="E171" s="205"/>
      <c r="F171" s="38">
        <f t="shared" ref="F171:N171" ca="1" si="430">F134/F$94</f>
        <v>0.49348591926516688</v>
      </c>
      <c r="G171" s="38">
        <f t="shared" ca="1" si="430"/>
        <v>0.34447868894635592</v>
      </c>
      <c r="H171" s="38">
        <f t="shared" ca="1" si="430"/>
        <v>0.26461790902590776</v>
      </c>
      <c r="I171" s="38">
        <f t="shared" ca="1" si="430"/>
        <v>0.51755495546990304</v>
      </c>
      <c r="J171" s="38">
        <f t="shared" ca="1" si="430"/>
        <v>0.17411196431845405</v>
      </c>
      <c r="K171" s="38">
        <f t="shared" ca="1" si="430"/>
        <v>0.22841034373174721</v>
      </c>
      <c r="L171" s="38">
        <f t="shared" ca="1" si="430"/>
        <v>0.16354806366136629</v>
      </c>
      <c r="M171" s="38">
        <f t="shared" ca="1" si="430"/>
        <v>0.19009785144118999</v>
      </c>
      <c r="N171" s="38">
        <f t="shared" ca="1" si="430"/>
        <v>0.22535856962409248</v>
      </c>
      <c r="O171" s="38"/>
      <c r="P171" s="38"/>
      <c r="Q171" s="38">
        <f t="shared" ref="Q171:AZ171" si="431">Q134/Q$94</f>
        <v>0.46405897064044316</v>
      </c>
      <c r="R171" s="38">
        <f t="shared" si="431"/>
        <v>0.53360845459352324</v>
      </c>
      <c r="S171" s="38">
        <f t="shared" si="431"/>
        <v>0.50695736122385149</v>
      </c>
      <c r="T171" s="218">
        <f t="shared" si="431"/>
        <v>0.46542713675820419</v>
      </c>
      <c r="U171" s="38">
        <f t="shared" si="431"/>
        <v>0.35619758365605148</v>
      </c>
      <c r="V171" s="38">
        <f t="shared" si="431"/>
        <v>0.36964392357621473</v>
      </c>
      <c r="W171" s="38">
        <f t="shared" si="431"/>
        <v>0.35937190524772605</v>
      </c>
      <c r="X171" s="218">
        <f t="shared" si="431"/>
        <v>0.2997223510160551</v>
      </c>
      <c r="Y171" s="38">
        <f t="shared" si="431"/>
        <v>0.26886564830787962</v>
      </c>
      <c r="Z171" s="38">
        <f t="shared" si="431"/>
        <v>0.29447681908674123</v>
      </c>
      <c r="AA171" s="38">
        <f t="shared" si="431"/>
        <v>0.28112383356572551</v>
      </c>
      <c r="AB171" s="218">
        <f t="shared" si="431"/>
        <v>0.21964876630136734</v>
      </c>
      <c r="AC171" s="38">
        <f t="shared" si="431"/>
        <v>0.1721844440887953</v>
      </c>
      <c r="AD171" s="38">
        <f t="shared" si="431"/>
        <v>0.20777777680748313</v>
      </c>
      <c r="AE171" s="38">
        <f t="shared" si="431"/>
        <v>0.14182221344116006</v>
      </c>
      <c r="AF171" s="218">
        <f t="shared" si="431"/>
        <v>1.3965668869031727</v>
      </c>
      <c r="AG171" s="38">
        <f t="shared" si="431"/>
        <v>0.13248271494282721</v>
      </c>
      <c r="AH171" s="38">
        <f t="shared" si="431"/>
        <v>0.13935219563761544</v>
      </c>
      <c r="AI171" s="38">
        <f t="shared" ca="1" si="431"/>
        <v>0.17949973842867797</v>
      </c>
      <c r="AJ171" s="218">
        <f t="shared" ca="1" si="431"/>
        <v>0.23973197918311714</v>
      </c>
      <c r="AK171" s="38">
        <f t="shared" ca="1" si="431"/>
        <v>0.11102696690051071</v>
      </c>
      <c r="AL171" s="38">
        <f t="shared" ca="1" si="431"/>
        <v>0.22380042969682501</v>
      </c>
      <c r="AM171" s="38">
        <f t="shared" ca="1" si="431"/>
        <v>0.35844401743044524</v>
      </c>
      <c r="AN171" s="218">
        <f t="shared" ca="1" si="431"/>
        <v>0.1870317685083652</v>
      </c>
      <c r="AO171" s="38">
        <f t="shared" ca="1" si="431"/>
        <v>0.1429947832605663</v>
      </c>
      <c r="AP171" s="38">
        <f t="shared" ca="1" si="431"/>
        <v>0.16303658405140942</v>
      </c>
      <c r="AQ171" s="38">
        <f t="shared" ca="1" si="431"/>
        <v>0.18095590829341082</v>
      </c>
      <c r="AR171" s="218">
        <f t="shared" ca="1" si="431"/>
        <v>0.16232680837469318</v>
      </c>
      <c r="AS171" s="38">
        <f t="shared" ca="1" si="431"/>
        <v>0.15859176576169773</v>
      </c>
      <c r="AT171" s="38">
        <f t="shared" ca="1" si="431"/>
        <v>0.18763380016653364</v>
      </c>
      <c r="AU171" s="38">
        <f t="shared" ca="1" si="431"/>
        <v>0.20858846234530717</v>
      </c>
      <c r="AV171" s="218">
        <f t="shared" ca="1" si="431"/>
        <v>0.19911611163735879</v>
      </c>
      <c r="AW171" s="38">
        <f t="shared" ca="1" si="431"/>
        <v>0.1904660715443002</v>
      </c>
      <c r="AX171" s="38">
        <f t="shared" ca="1" si="431"/>
        <v>0.21876310642966298</v>
      </c>
      <c r="AY171" s="38">
        <f t="shared" ca="1" si="431"/>
        <v>0.23928580977202923</v>
      </c>
      <c r="AZ171" s="38">
        <f t="shared" ca="1" si="431"/>
        <v>0.24590482965342789</v>
      </c>
      <c r="BC171"/>
      <c r="BD171"/>
      <c r="BE171"/>
      <c r="BF171"/>
      <c r="BG171"/>
      <c r="BH171"/>
    </row>
    <row r="172" spans="1:60" s="202" customFormat="1" hidden="1" outlineLevel="1">
      <c r="A172" s="296"/>
      <c r="B172" s="3" t="str">
        <f>B137</f>
        <v>Less Net Loss Attributable to NCI</v>
      </c>
      <c r="E172" s="205"/>
      <c r="F172" s="38">
        <f t="shared" ref="F172:N172" si="432">F137/F$94</f>
        <v>-3.0750032163916266E-3</v>
      </c>
      <c r="G172" s="38">
        <f t="shared" si="432"/>
        <v>-5.4014144562000571E-3</v>
      </c>
      <c r="H172" s="38">
        <f t="shared" si="432"/>
        <v>-2.0379874499422489E-2</v>
      </c>
      <c r="I172" s="38">
        <f t="shared" si="432"/>
        <v>-1.9659135652435884E-2</v>
      </c>
      <c r="J172" s="38">
        <f t="shared" si="432"/>
        <v>-5.5040196357512546E-4</v>
      </c>
      <c r="K172" s="38">
        <f t="shared" ca="1" si="432"/>
        <v>-1.6237803980284057E-4</v>
      </c>
      <c r="L172" s="38">
        <f t="shared" ca="1" si="432"/>
        <v>-2.4990058520757065E-2</v>
      </c>
      <c r="M172" s="38">
        <f t="shared" ca="1" si="432"/>
        <v>-2.166552913591225E-2</v>
      </c>
      <c r="N172" s="38">
        <f t="shared" ca="1" si="432"/>
        <v>-9.4155295704500697E-3</v>
      </c>
      <c r="O172" s="38"/>
      <c r="P172" s="38"/>
      <c r="Q172" s="38">
        <f t="shared" ref="Q172:AZ172" si="433">Q137/Q$94</f>
        <v>-3.7657533110812703E-3</v>
      </c>
      <c r="R172" s="38">
        <f t="shared" si="433"/>
        <v>-4.1590600638260053E-3</v>
      </c>
      <c r="S172" s="38">
        <f t="shared" si="433"/>
        <v>-2.7468022124529216E-3</v>
      </c>
      <c r="T172" s="218">
        <f t="shared" si="433"/>
        <v>-2.0004793445471368E-3</v>
      </c>
      <c r="U172" s="38">
        <f t="shared" si="433"/>
        <v>-6.37310771804089E-3</v>
      </c>
      <c r="V172" s="38">
        <f t="shared" si="433"/>
        <v>-7.8305722960522479E-4</v>
      </c>
      <c r="W172" s="38">
        <f t="shared" si="433"/>
        <v>-3.7542330049360191E-3</v>
      </c>
      <c r="X172" s="218">
        <f t="shared" si="433"/>
        <v>-9.9970745491889598E-3</v>
      </c>
      <c r="Y172" s="38">
        <f t="shared" si="433"/>
        <v>-1.3930122805963716E-2</v>
      </c>
      <c r="Z172" s="38">
        <f t="shared" si="433"/>
        <v>-1.8985683429905899E-2</v>
      </c>
      <c r="AA172" s="38">
        <f t="shared" si="433"/>
        <v>-2.2583633304063089E-2</v>
      </c>
      <c r="AB172" s="218">
        <f t="shared" si="433"/>
        <v>-2.3808044308478618E-2</v>
      </c>
      <c r="AC172" s="38">
        <f t="shared" si="433"/>
        <v>-3.1717683188479E-2</v>
      </c>
      <c r="AD172" s="38">
        <f t="shared" si="433"/>
        <v>-2.6261158821799042E-2</v>
      </c>
      <c r="AE172" s="38">
        <f t="shared" si="433"/>
        <v>-2.1893922691048808E-2</v>
      </c>
      <c r="AF172" s="218">
        <f t="shared" si="433"/>
        <v>-3.4039288526725121E-3</v>
      </c>
      <c r="AG172" s="38">
        <f t="shared" si="433"/>
        <v>-5.5254167951252419E-4</v>
      </c>
      <c r="AH172" s="38">
        <f t="shared" si="433"/>
        <v>-6.5356278646884242E-4</v>
      </c>
      <c r="AI172" s="38">
        <f t="shared" si="433"/>
        <v>-5.4792041696457498E-4</v>
      </c>
      <c r="AJ172" s="218">
        <f t="shared" si="433"/>
        <v>-4.4757910898805716E-4</v>
      </c>
      <c r="AK172" s="38">
        <f t="shared" si="433"/>
        <v>-3.9868544709387545E-4</v>
      </c>
      <c r="AL172" s="38">
        <f t="shared" si="433"/>
        <v>-2.5374198378324831E-4</v>
      </c>
      <c r="AM172" s="38">
        <f t="shared" si="433"/>
        <v>-4.5098643360649878E-5</v>
      </c>
      <c r="AN172" s="218">
        <f t="shared" si="433"/>
        <v>0</v>
      </c>
      <c r="AO172" s="38">
        <f t="shared" ca="1" si="433"/>
        <v>0</v>
      </c>
      <c r="AP172" s="38">
        <f t="shared" ca="1" si="433"/>
        <v>-3.7099159264182648E-2</v>
      </c>
      <c r="AQ172" s="38">
        <f t="shared" ca="1" si="433"/>
        <v>-2.5398845393947763E-2</v>
      </c>
      <c r="AR172" s="218">
        <f t="shared" ca="1" si="433"/>
        <v>-3.2625577020205812E-2</v>
      </c>
      <c r="AS172" s="38">
        <f t="shared" ca="1" si="433"/>
        <v>-3.0428047142509025E-2</v>
      </c>
      <c r="AT172" s="38">
        <f t="shared" ca="1" si="433"/>
        <v>-2.9154600111455285E-2</v>
      </c>
      <c r="AU172" s="38">
        <f t="shared" ca="1" si="433"/>
        <v>-1.3511951074545989E-2</v>
      </c>
      <c r="AV172" s="218">
        <f t="shared" ca="1" si="433"/>
        <v>-1.5842522031555485E-2</v>
      </c>
      <c r="AW172" s="38">
        <f t="shared" ca="1" si="433"/>
        <v>-1.855501287891435E-2</v>
      </c>
      <c r="AX172" s="38">
        <f t="shared" ca="1" si="433"/>
        <v>-1.9298639342757676E-2</v>
      </c>
      <c r="AY172" s="38">
        <f t="shared" ca="1" si="433"/>
        <v>-1.4509939389993288E-3</v>
      </c>
      <c r="AZ172" s="38">
        <f t="shared" ca="1" si="433"/>
        <v>-8.334571122322283E-4</v>
      </c>
      <c r="BC172"/>
      <c r="BD172"/>
      <c r="BE172"/>
      <c r="BF172"/>
      <c r="BG172"/>
      <c r="BH172"/>
    </row>
    <row r="173" spans="1:60" s="202" customFormat="1" hidden="1" outlineLevel="1">
      <c r="A173" s="296"/>
      <c r="B173" s="9" t="str">
        <f>B138</f>
        <v xml:space="preserve">Net Income Attributable to Baidu </v>
      </c>
      <c r="E173" s="205"/>
      <c r="F173" s="38">
        <f t="shared" ref="F173:N173" ca="1" si="434">F138/F$94</f>
        <v>0.49656092248155853</v>
      </c>
      <c r="G173" s="38">
        <f t="shared" ca="1" si="434"/>
        <v>0.34988010340255593</v>
      </c>
      <c r="H173" s="38">
        <f t="shared" ca="1" si="434"/>
        <v>0.28499778352533023</v>
      </c>
      <c r="I173" s="38">
        <f t="shared" ca="1" si="434"/>
        <v>0.53721409112233898</v>
      </c>
      <c r="J173" s="38">
        <f t="shared" ca="1" si="434"/>
        <v>0.17466236628202919</v>
      </c>
      <c r="K173" s="38">
        <f t="shared" ca="1" si="434"/>
        <v>0.22841034373174721</v>
      </c>
      <c r="L173" s="38">
        <f t="shared" ca="1" si="434"/>
        <v>0.18853812218212335</v>
      </c>
      <c r="M173" s="38">
        <f t="shared" ca="1" si="434"/>
        <v>0.21176338057710223</v>
      </c>
      <c r="N173" s="38">
        <f t="shared" ca="1" si="434"/>
        <v>0.23477409919454253</v>
      </c>
      <c r="O173" s="38"/>
      <c r="P173" s="38"/>
      <c r="Q173" s="38">
        <f t="shared" ref="Q173:AZ173" si="435">Q138/Q$94</f>
        <v>0.46782472395152441</v>
      </c>
      <c r="R173" s="38">
        <f t="shared" si="435"/>
        <v>0.53776751465734929</v>
      </c>
      <c r="S173" s="38">
        <f t="shared" si="435"/>
        <v>0.50970416343630442</v>
      </c>
      <c r="T173" s="218">
        <f t="shared" si="435"/>
        <v>0.4674276161027513</v>
      </c>
      <c r="U173" s="38">
        <f t="shared" si="435"/>
        <v>0.36257069137409237</v>
      </c>
      <c r="V173" s="38">
        <f t="shared" si="435"/>
        <v>0.37042698080581998</v>
      </c>
      <c r="W173" s="38">
        <f t="shared" si="435"/>
        <v>0.3631261382526621</v>
      </c>
      <c r="X173" s="218">
        <f t="shared" si="435"/>
        <v>0.30971942556524401</v>
      </c>
      <c r="Y173" s="38">
        <f t="shared" si="435"/>
        <v>0.28279577111384335</v>
      </c>
      <c r="Z173" s="38">
        <f t="shared" si="435"/>
        <v>0.31346250251664715</v>
      </c>
      <c r="AA173" s="38">
        <f t="shared" si="435"/>
        <v>0.30370746686978861</v>
      </c>
      <c r="AB173" s="218">
        <f t="shared" si="435"/>
        <v>0.24345681060984595</v>
      </c>
      <c r="AC173" s="38">
        <f t="shared" si="435"/>
        <v>0.2039021272772743</v>
      </c>
      <c r="AD173" s="38">
        <f t="shared" si="435"/>
        <v>0.23403893562928219</v>
      </c>
      <c r="AE173" s="38">
        <f t="shared" si="435"/>
        <v>0.16371613613220887</v>
      </c>
      <c r="AF173" s="218">
        <f t="shared" si="435"/>
        <v>1.399970815755845</v>
      </c>
      <c r="AG173" s="38">
        <f t="shared" si="435"/>
        <v>0.13303525662233973</v>
      </c>
      <c r="AH173" s="38">
        <f t="shared" si="435"/>
        <v>0.1400057584240843</v>
      </c>
      <c r="AI173" s="38">
        <f t="shared" ca="1" si="435"/>
        <v>0.18004765884564256</v>
      </c>
      <c r="AJ173" s="218">
        <f t="shared" ca="1" si="435"/>
        <v>0.24017955829210519</v>
      </c>
      <c r="AK173" s="38">
        <f t="shared" ca="1" si="435"/>
        <v>0.11142565234760458</v>
      </c>
      <c r="AL173" s="38">
        <f t="shared" ca="1" si="435"/>
        <v>0.22405417168060826</v>
      </c>
      <c r="AM173" s="38">
        <f t="shared" ca="1" si="435"/>
        <v>0.3584891160738059</v>
      </c>
      <c r="AN173" s="218">
        <f t="shared" ca="1" si="435"/>
        <v>0.1870317685083652</v>
      </c>
      <c r="AO173" s="38">
        <f t="shared" ca="1" si="435"/>
        <v>0.1429947832605663</v>
      </c>
      <c r="AP173" s="38">
        <f t="shared" ca="1" si="435"/>
        <v>0.20013574331559206</v>
      </c>
      <c r="AQ173" s="38">
        <f t="shared" ca="1" si="435"/>
        <v>0.20635475368735859</v>
      </c>
      <c r="AR173" s="218">
        <f t="shared" ca="1" si="435"/>
        <v>0.19495238539489898</v>
      </c>
      <c r="AS173" s="38">
        <f t="shared" ca="1" si="435"/>
        <v>0.18901981290420675</v>
      </c>
      <c r="AT173" s="38">
        <f t="shared" ca="1" si="435"/>
        <v>0.21678840027798893</v>
      </c>
      <c r="AU173" s="38">
        <f t="shared" ca="1" si="435"/>
        <v>0.22210041341985318</v>
      </c>
      <c r="AV173" s="218">
        <f t="shared" ca="1" si="435"/>
        <v>0.2149586336689143</v>
      </c>
      <c r="AW173" s="38">
        <f t="shared" ca="1" si="435"/>
        <v>0.20902108442321454</v>
      </c>
      <c r="AX173" s="38">
        <f t="shared" ca="1" si="435"/>
        <v>0.23806174577242065</v>
      </c>
      <c r="AY173" s="38">
        <f t="shared" ca="1" si="435"/>
        <v>0.24073680371102857</v>
      </c>
      <c r="AZ173" s="38">
        <f t="shared" ca="1" si="435"/>
        <v>0.24673828676566012</v>
      </c>
      <c r="BC173"/>
      <c r="BD173"/>
      <c r="BE173"/>
      <c r="BF173"/>
      <c r="BG173"/>
      <c r="BH173"/>
    </row>
    <row r="174" spans="1:60" s="202" customFormat="1" hidden="1" outlineLevel="1">
      <c r="A174" s="296"/>
      <c r="B174" s="3"/>
      <c r="E174" s="205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218"/>
      <c r="U174" s="38"/>
      <c r="V174" s="38"/>
      <c r="W174" s="38"/>
      <c r="X174" s="218"/>
      <c r="Y174" s="38"/>
      <c r="Z174" s="38"/>
      <c r="AA174" s="38"/>
      <c r="AB174" s="218"/>
      <c r="AC174" s="38"/>
      <c r="AD174" s="38"/>
      <c r="AE174" s="38"/>
      <c r="AF174" s="218"/>
      <c r="AG174" s="38"/>
      <c r="AH174" s="38"/>
      <c r="AI174" s="38"/>
      <c r="AJ174" s="218"/>
      <c r="AK174" s="38"/>
      <c r="AL174" s="38"/>
      <c r="AM174" s="38"/>
      <c r="AN174" s="218"/>
      <c r="AO174" s="38"/>
      <c r="AP174" s="38"/>
      <c r="AQ174" s="38"/>
      <c r="AR174" s="218"/>
      <c r="AS174" s="38"/>
      <c r="AT174" s="38"/>
      <c r="AU174" s="38"/>
      <c r="AV174" s="218"/>
      <c r="AW174" s="38"/>
      <c r="AX174" s="38"/>
      <c r="AY174" s="38"/>
      <c r="AZ174" s="38"/>
      <c r="BC174"/>
      <c r="BD174"/>
      <c r="BE174"/>
      <c r="BF174"/>
      <c r="BG174"/>
      <c r="BH174"/>
    </row>
    <row r="175" spans="1:60" s="202" customFormat="1" hidden="1" outlineLevel="1">
      <c r="A175" s="296"/>
      <c r="B175" s="286" t="s">
        <v>688</v>
      </c>
      <c r="C175" s="56"/>
      <c r="D175" s="56"/>
      <c r="E175" s="88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222"/>
      <c r="U175" s="87"/>
      <c r="V175" s="87"/>
      <c r="W175" s="87"/>
      <c r="X175" s="222"/>
      <c r="Y175" s="87"/>
      <c r="Z175" s="87"/>
      <c r="AA175" s="87"/>
      <c r="AB175" s="222"/>
      <c r="AC175" s="87"/>
      <c r="AD175" s="87"/>
      <c r="AE175" s="87"/>
      <c r="AF175" s="222"/>
      <c r="AG175" s="87"/>
      <c r="AH175" s="87"/>
      <c r="AI175" s="87"/>
      <c r="AJ175" s="222"/>
      <c r="AK175" s="87"/>
      <c r="AL175" s="87"/>
      <c r="AM175" s="87"/>
      <c r="AN175" s="222"/>
      <c r="AO175" s="87"/>
      <c r="AP175" s="87"/>
      <c r="AQ175" s="87"/>
      <c r="AR175" s="222"/>
      <c r="AS175" s="87"/>
      <c r="AT175" s="87"/>
      <c r="AU175" s="87"/>
      <c r="AV175" s="222"/>
      <c r="AW175" s="87"/>
      <c r="AX175" s="87"/>
      <c r="AY175" s="87"/>
      <c r="AZ175" s="87"/>
      <c r="BC175"/>
      <c r="BD175"/>
      <c r="BE175"/>
      <c r="BF175"/>
      <c r="BG175"/>
      <c r="BH175"/>
    </row>
    <row r="176" spans="1:60" s="280" customFormat="1" hidden="1" outlineLevel="1">
      <c r="A176" s="296"/>
      <c r="B176" s="282" t="s">
        <v>129</v>
      </c>
      <c r="E176" s="287"/>
      <c r="F176" s="288"/>
      <c r="G176" s="288">
        <f t="shared" ref="G176:N176" si="436">G94/F94-1</f>
        <v>0.43207597803391762</v>
      </c>
      <c r="H176" s="288">
        <f t="shared" si="436"/>
        <v>0.53557584221650423</v>
      </c>
      <c r="I176" s="288">
        <f t="shared" si="436"/>
        <v>0.3532842423471203</v>
      </c>
      <c r="J176" s="288">
        <f t="shared" si="436"/>
        <v>6.2782863037508463E-2</v>
      </c>
      <c r="K176" s="288">
        <f t="shared" ca="1" si="436"/>
        <v>0.20212868591257793</v>
      </c>
      <c r="L176" s="288">
        <f t="shared" ca="1" si="436"/>
        <v>0.24149391970123846</v>
      </c>
      <c r="M176" s="288">
        <f t="shared" ca="1" si="436"/>
        <v>0.22136782095201424</v>
      </c>
      <c r="N176" s="288">
        <f t="shared" ca="1" si="436"/>
        <v>0.20321640724872392</v>
      </c>
      <c r="O176" s="288"/>
      <c r="P176" s="288"/>
      <c r="Q176" s="288"/>
      <c r="R176" s="288">
        <f t="shared" ref="R176:AZ176" si="437">R94/Q94-1</f>
        <v>0.27968605869934926</v>
      </c>
      <c r="S176" s="288">
        <f t="shared" si="437"/>
        <v>0.14561111037800445</v>
      </c>
      <c r="T176" s="289">
        <f t="shared" si="437"/>
        <v>1.3538600353239172E-2</v>
      </c>
      <c r="U176" s="288">
        <f t="shared" si="437"/>
        <v>-5.7898653049099247E-2</v>
      </c>
      <c r="V176" s="288">
        <f t="shared" si="437"/>
        <v>0.26677839698767092</v>
      </c>
      <c r="W176" s="288">
        <f t="shared" si="437"/>
        <v>0.17601845832757435</v>
      </c>
      <c r="X176" s="289">
        <f t="shared" si="437"/>
        <v>7.099407107200939E-2</v>
      </c>
      <c r="Y176" s="288">
        <f t="shared" si="437"/>
        <v>-2.7681655812670236E-3</v>
      </c>
      <c r="Z176" s="288">
        <f t="shared" si="437"/>
        <v>0.2621193460531781</v>
      </c>
      <c r="AA176" s="288">
        <f t="shared" si="437"/>
        <v>0.12798280496007663</v>
      </c>
      <c r="AB176" s="289">
        <f t="shared" si="437"/>
        <v>3.9236876760201822E-2</v>
      </c>
      <c r="AC176" s="288">
        <f t="shared" si="437"/>
        <v>-9.4348141941316355E-2</v>
      </c>
      <c r="AD176" s="288">
        <f t="shared" si="437"/>
        <v>0.30261203953030869</v>
      </c>
      <c r="AE176" s="288">
        <f t="shared" si="437"/>
        <v>0.10906890145408465</v>
      </c>
      <c r="AF176" s="289">
        <f t="shared" si="437"/>
        <v>1.7174106995448968E-2</v>
      </c>
      <c r="AG176" s="288">
        <f t="shared" si="437"/>
        <v>-0.15392554193602015</v>
      </c>
      <c r="AH176" s="288">
        <f t="shared" si="437"/>
        <v>0.15442399933453754</v>
      </c>
      <c r="AI176" s="288">
        <f t="shared" si="437"/>
        <v>-5.9621166592804808E-4</v>
      </c>
      <c r="AJ176" s="289">
        <f t="shared" si="437"/>
        <v>-2.2119395758196658E-3</v>
      </c>
      <c r="AK176" s="288">
        <f t="shared" si="437"/>
        <v>-7.256600384848011E-2</v>
      </c>
      <c r="AL176" s="288">
        <f t="shared" si="437"/>
        <v>0.23582178092966077</v>
      </c>
      <c r="AM176" s="288">
        <f t="shared" si="437"/>
        <v>0.12527546229759512</v>
      </c>
      <c r="AN176" s="289">
        <f t="shared" si="437"/>
        <v>2.8523989952744522E-3</v>
      </c>
      <c r="AO176" s="288">
        <f t="shared" ca="1" si="437"/>
        <v>-7.0512053234381256E-2</v>
      </c>
      <c r="AP176" s="288">
        <f t="shared" ca="1" si="437"/>
        <v>0.19711171268313832</v>
      </c>
      <c r="AQ176" s="288">
        <f t="shared" ca="1" si="437"/>
        <v>9.2107185108316392E-2</v>
      </c>
      <c r="AR176" s="289">
        <f t="shared" ca="1" si="437"/>
        <v>-2.2845961894895073E-3</v>
      </c>
      <c r="AS176" s="288">
        <f t="shared" ca="1" si="437"/>
        <v>-2.8739353960680503E-2</v>
      </c>
      <c r="AT176" s="288">
        <f t="shared" ca="1" si="437"/>
        <v>0.15324921001727265</v>
      </c>
      <c r="AU176" s="288">
        <f t="shared" ca="1" si="437"/>
        <v>9.458947760795744E-2</v>
      </c>
      <c r="AV176" s="289">
        <f t="shared" ca="1" si="437"/>
        <v>-3.3173120752933993E-2</v>
      </c>
      <c r="AW176" s="288">
        <f t="shared" ca="1" si="437"/>
        <v>-5.0643669674040881E-3</v>
      </c>
      <c r="AX176" s="288">
        <f t="shared" ca="1" si="437"/>
        <v>0.13407980598186531</v>
      </c>
      <c r="AY176" s="288">
        <f t="shared" ca="1" si="437"/>
        <v>8.7854317290152473E-2</v>
      </c>
      <c r="AZ176" s="288">
        <f t="shared" ca="1" si="437"/>
        <v>-6.2389737926182853E-3</v>
      </c>
      <c r="BC176"/>
      <c r="BD176"/>
      <c r="BE176"/>
      <c r="BF176"/>
      <c r="BG176"/>
      <c r="BH176"/>
    </row>
    <row r="177" spans="1:60" s="279" customFormat="1" hidden="1" outlineLevel="1">
      <c r="A177" s="296"/>
      <c r="B177" s="282" t="s">
        <v>127</v>
      </c>
      <c r="E177" s="283"/>
      <c r="F177" s="284"/>
      <c r="G177" s="284"/>
      <c r="H177" s="284"/>
      <c r="I177" s="284"/>
      <c r="J177" s="284"/>
      <c r="K177" s="284"/>
      <c r="L177" s="284"/>
      <c r="M177" s="284"/>
      <c r="N177" s="284"/>
      <c r="O177" s="284"/>
      <c r="P177" s="284"/>
      <c r="Q177" s="284"/>
      <c r="R177" s="284"/>
      <c r="S177" s="284"/>
      <c r="T177" s="285"/>
      <c r="U177" s="284"/>
      <c r="V177" s="284"/>
      <c r="W177" s="284"/>
      <c r="X177" s="285"/>
      <c r="Y177" s="284"/>
      <c r="Z177" s="284"/>
      <c r="AA177" s="284"/>
      <c r="AB177" s="285"/>
      <c r="AC177" s="284"/>
      <c r="AD177" s="284"/>
      <c r="AE177" s="284"/>
      <c r="AF177" s="285"/>
      <c r="AG177" s="284"/>
      <c r="AH177" s="284"/>
      <c r="AI177" s="284"/>
      <c r="AJ177" s="285"/>
      <c r="AK177" s="284"/>
      <c r="AL177" s="284"/>
      <c r="AM177" s="284"/>
      <c r="AN177" s="285"/>
      <c r="AO177" s="284"/>
      <c r="AP177" s="284"/>
      <c r="AQ177" s="284"/>
      <c r="AR177" s="285"/>
      <c r="AS177" s="284"/>
      <c r="AT177" s="284"/>
      <c r="AU177" s="284"/>
      <c r="AV177" s="285"/>
      <c r="AW177" s="284"/>
      <c r="AX177" s="284"/>
      <c r="AY177" s="284"/>
      <c r="AZ177" s="284"/>
      <c r="BC177"/>
      <c r="BD177"/>
      <c r="BE177"/>
      <c r="BF177"/>
      <c r="BG177"/>
      <c r="BH177"/>
    </row>
    <row r="178" spans="1:60" s="279" customFormat="1" hidden="1" outlineLevel="1">
      <c r="A178" s="296"/>
      <c r="B178" s="3" t="s">
        <v>38</v>
      </c>
      <c r="E178" s="283"/>
      <c r="F178" s="284"/>
      <c r="G178" s="284">
        <f t="shared" ref="G178:N185" si="438">G98/F98-1</f>
        <v>0.48151130105188167</v>
      </c>
      <c r="H178" s="284">
        <f t="shared" si="438"/>
        <v>0.54439726334351835</v>
      </c>
      <c r="I178" s="284">
        <f t="shared" si="438"/>
        <v>0.29090131840257416</v>
      </c>
      <c r="J178" s="284">
        <f t="shared" si="438"/>
        <v>1.5957214314058943E-2</v>
      </c>
      <c r="K178" s="284">
        <f t="shared" si="438"/>
        <v>0.30995907993865801</v>
      </c>
      <c r="L178" s="284">
        <f t="shared" ca="1" si="438"/>
        <v>-0.71479643068856502</v>
      </c>
      <c r="M178" s="284">
        <f t="shared" ca="1" si="438"/>
        <v>0.22204567637850303</v>
      </c>
      <c r="N178" s="284">
        <f t="shared" ca="1" si="438"/>
        <v>0.20388323648724049</v>
      </c>
      <c r="O178" s="284"/>
      <c r="P178" s="284"/>
      <c r="Q178" s="284"/>
      <c r="R178" s="284">
        <f t="shared" ref="R178:AZ178" si="439">R98/Q98-1</f>
        <v>0.2661851939062192</v>
      </c>
      <c r="S178" s="284">
        <f t="shared" si="439"/>
        <v>8.8148080215211699E-2</v>
      </c>
      <c r="T178" s="285">
        <f t="shared" si="439"/>
        <v>3.6434848974355338E-2</v>
      </c>
      <c r="U178" s="284">
        <f t="shared" si="439"/>
        <v>-2.2454930891398273E-2</v>
      </c>
      <c r="V178" s="284">
        <f t="shared" si="439"/>
        <v>0.25923820615202597</v>
      </c>
      <c r="W178" s="284">
        <f t="shared" si="439"/>
        <v>0.19182762708318801</v>
      </c>
      <c r="X178" s="285">
        <f t="shared" si="439"/>
        <v>8.1355389409634604E-2</v>
      </c>
      <c r="Y178" s="284">
        <f t="shared" si="439"/>
        <v>-4.2230499362129192E-3</v>
      </c>
      <c r="Z178" s="284">
        <f t="shared" si="439"/>
        <v>0.24695940632283331</v>
      </c>
      <c r="AA178" s="284">
        <f t="shared" si="439"/>
        <v>0.14328174056228393</v>
      </c>
      <c r="AB178" s="285">
        <f t="shared" si="439"/>
        <v>3.2322675118350297E-2</v>
      </c>
      <c r="AC178" s="284">
        <f t="shared" si="439"/>
        <v>-7.875313208331769E-2</v>
      </c>
      <c r="AD178" s="284">
        <f t="shared" si="439"/>
        <v>0.23982898285082732</v>
      </c>
      <c r="AE178" s="284">
        <f t="shared" si="439"/>
        <v>7.2293102260345021E-2</v>
      </c>
      <c r="AF178" s="285">
        <f t="shared" si="439"/>
        <v>-5.4021637212586793E-4</v>
      </c>
      <c r="AG178" s="284">
        <f t="shared" si="439"/>
        <v>-0.16855050895886647</v>
      </c>
      <c r="AH178" s="284">
        <f t="shared" si="439"/>
        <v>0.15655177153854072</v>
      </c>
      <c r="AI178" s="284">
        <f t="shared" si="439"/>
        <v>7.2757316588007992E-3</v>
      </c>
      <c r="AJ178" s="285">
        <f t="shared" si="439"/>
        <v>1.5231358834196351E-2</v>
      </c>
      <c r="AK178" s="284">
        <f t="shared" si="439"/>
        <v>1.5773649780260302E-2</v>
      </c>
      <c r="AL178" s="284">
        <f t="shared" si="439"/>
        <v>0.19903886189042885</v>
      </c>
      <c r="AM178" s="284">
        <f t="shared" si="439"/>
        <v>0.12657388999337305</v>
      </c>
      <c r="AN178" s="285">
        <f t="shared" si="439"/>
        <v>7.6470588235293402E-3</v>
      </c>
      <c r="AO178" s="284">
        <f t="shared" ca="1" si="439"/>
        <v>-0.7860375299670207</v>
      </c>
      <c r="AP178" s="284">
        <f t="shared" ca="1" si="439"/>
        <v>0.1971972898004497</v>
      </c>
      <c r="AQ178" s="284">
        <f t="shared" ca="1" si="439"/>
        <v>9.2434092296744597E-2</v>
      </c>
      <c r="AR178" s="285">
        <f t="shared" ca="1" si="439"/>
        <v>-2.4523294533456141E-3</v>
      </c>
      <c r="AS178" s="284">
        <f t="shared" ca="1" si="439"/>
        <v>-2.8418389387956489E-2</v>
      </c>
      <c r="AT178" s="284">
        <f t="shared" ca="1" si="439"/>
        <v>0.15333048651305115</v>
      </c>
      <c r="AU178" s="284">
        <f t="shared" ca="1" si="439"/>
        <v>9.473201871620085E-2</v>
      </c>
      <c r="AV178" s="285">
        <f t="shared" ca="1" si="439"/>
        <v>-3.2914751880696258E-2</v>
      </c>
      <c r="AW178" s="284">
        <f t="shared" ca="1" si="439"/>
        <v>-4.8671808216782519E-3</v>
      </c>
      <c r="AX178" s="284">
        <f t="shared" ca="1" si="439"/>
        <v>0.13410805597676756</v>
      </c>
      <c r="AY178" s="284">
        <f t="shared" ca="1" si="439"/>
        <v>8.7902575614981604E-2</v>
      </c>
      <c r="AZ178" s="284">
        <f t="shared" ca="1" si="439"/>
        <v>-6.089585574307721E-3</v>
      </c>
      <c r="BC178"/>
      <c r="BD178"/>
      <c r="BE178"/>
      <c r="BF178"/>
      <c r="BG178"/>
      <c r="BH178"/>
    </row>
    <row r="179" spans="1:60" s="279" customFormat="1" hidden="1" outlineLevel="1">
      <c r="A179" s="296"/>
      <c r="B179" s="52" t="s">
        <v>395</v>
      </c>
      <c r="E179" s="283"/>
      <c r="F179" s="284"/>
      <c r="G179" s="284">
        <f t="shared" si="438"/>
        <v>0.43207597803391762</v>
      </c>
      <c r="H179" s="284">
        <f t="shared" si="438"/>
        <v>0.53557584221650401</v>
      </c>
      <c r="I179" s="284">
        <f t="shared" si="438"/>
        <v>0.3532842423471203</v>
      </c>
      <c r="J179" s="284">
        <f t="shared" si="438"/>
        <v>6.2782863037508241E-2</v>
      </c>
      <c r="K179" s="284">
        <f t="shared" ca="1" si="438"/>
        <v>0.20213394127833673</v>
      </c>
      <c r="L179" s="284">
        <f t="shared" ca="1" si="438"/>
        <v>-1</v>
      </c>
      <c r="M179" s="284" t="e">
        <f t="shared" ca="1" si="438"/>
        <v>#DIV/0!</v>
      </c>
      <c r="N179" s="284" t="e">
        <f t="shared" ca="1" si="438"/>
        <v>#DIV/0!</v>
      </c>
      <c r="O179" s="284"/>
      <c r="P179" s="284"/>
      <c r="Q179" s="284"/>
      <c r="R179" s="284">
        <f t="shared" ref="R179:AZ179" si="440">R99/Q99-1</f>
        <v>0.27968605869934926</v>
      </c>
      <c r="S179" s="284">
        <f t="shared" si="440"/>
        <v>0.14561111037800445</v>
      </c>
      <c r="T179" s="285">
        <f t="shared" si="440"/>
        <v>1.3538600353239172E-2</v>
      </c>
      <c r="U179" s="284">
        <f t="shared" si="440"/>
        <v>-5.7898653049099247E-2</v>
      </c>
      <c r="V179" s="284">
        <f t="shared" si="440"/>
        <v>0.26677839698767092</v>
      </c>
      <c r="W179" s="284">
        <f t="shared" si="440"/>
        <v>0.17601845832757435</v>
      </c>
      <c r="X179" s="285">
        <f t="shared" si="440"/>
        <v>7.0994071072009168E-2</v>
      </c>
      <c r="Y179" s="284">
        <f t="shared" si="440"/>
        <v>-2.7681655812668016E-3</v>
      </c>
      <c r="Z179" s="284">
        <f t="shared" si="440"/>
        <v>0.2621193460531781</v>
      </c>
      <c r="AA179" s="284">
        <f t="shared" si="440"/>
        <v>0.12798280496007663</v>
      </c>
      <c r="AB179" s="285">
        <f t="shared" si="440"/>
        <v>3.9236876760202044E-2</v>
      </c>
      <c r="AC179" s="284">
        <f t="shared" si="440"/>
        <v>-9.4348141941316466E-2</v>
      </c>
      <c r="AD179" s="284">
        <f t="shared" si="440"/>
        <v>0.30261203953030869</v>
      </c>
      <c r="AE179" s="284">
        <f t="shared" si="440"/>
        <v>0.10906890145408488</v>
      </c>
      <c r="AF179" s="285">
        <f t="shared" si="440"/>
        <v>1.7174106995448746E-2</v>
      </c>
      <c r="AG179" s="284">
        <f t="shared" si="440"/>
        <v>-0.15392554193602004</v>
      </c>
      <c r="AH179" s="284">
        <f t="shared" si="440"/>
        <v>0.15442399933453732</v>
      </c>
      <c r="AI179" s="284">
        <f t="shared" si="440"/>
        <v>-5.9621166592782604E-4</v>
      </c>
      <c r="AJ179" s="285">
        <f t="shared" si="440"/>
        <v>-2.2119395758197768E-3</v>
      </c>
      <c r="AK179" s="284">
        <f t="shared" si="440"/>
        <v>-7.256600384848011E-2</v>
      </c>
      <c r="AL179" s="284">
        <f t="shared" si="440"/>
        <v>0.23582178092966077</v>
      </c>
      <c r="AM179" s="284">
        <f t="shared" si="440"/>
        <v>0.12527546229759512</v>
      </c>
      <c r="AN179" s="285">
        <f t="shared" si="440"/>
        <v>2.8523989952744522E-3</v>
      </c>
      <c r="AO179" s="284">
        <f t="shared" si="440"/>
        <v>-1</v>
      </c>
      <c r="AP179" s="284" t="e">
        <f t="shared" si="440"/>
        <v>#DIV/0!</v>
      </c>
      <c r="AQ179" s="284" t="e">
        <f t="shared" si="440"/>
        <v>#DIV/0!</v>
      </c>
      <c r="AR179" s="285" t="e">
        <f t="shared" si="440"/>
        <v>#DIV/0!</v>
      </c>
      <c r="AS179" s="284" t="e">
        <f t="shared" si="440"/>
        <v>#DIV/0!</v>
      </c>
      <c r="AT179" s="284" t="e">
        <f t="shared" si="440"/>
        <v>#DIV/0!</v>
      </c>
      <c r="AU179" s="284" t="e">
        <f t="shared" si="440"/>
        <v>#DIV/0!</v>
      </c>
      <c r="AV179" s="285" t="e">
        <f t="shared" si="440"/>
        <v>#DIV/0!</v>
      </c>
      <c r="AW179" s="284" t="e">
        <f t="shared" si="440"/>
        <v>#DIV/0!</v>
      </c>
      <c r="AX179" s="284" t="e">
        <f t="shared" si="440"/>
        <v>#DIV/0!</v>
      </c>
      <c r="AY179" s="284" t="e">
        <f t="shared" si="440"/>
        <v>#DIV/0!</v>
      </c>
      <c r="AZ179" s="284" t="e">
        <f t="shared" si="440"/>
        <v>#DIV/0!</v>
      </c>
      <c r="BC179"/>
      <c r="BD179"/>
      <c r="BE179"/>
      <c r="BF179"/>
      <c r="BG179"/>
      <c r="BH179"/>
    </row>
    <row r="180" spans="1:60" s="279" customFormat="1" hidden="1" outlineLevel="1">
      <c r="A180" s="296"/>
      <c r="B180" s="52" t="s">
        <v>396</v>
      </c>
      <c r="E180" s="283"/>
      <c r="F180" s="284"/>
      <c r="G180" s="284">
        <f t="shared" si="438"/>
        <v>0.67252536839724963</v>
      </c>
      <c r="H180" s="284">
        <f t="shared" si="438"/>
        <v>0.57358227543460072</v>
      </c>
      <c r="I180" s="284">
        <f t="shared" si="438"/>
        <v>8.9496959822413125E-2</v>
      </c>
      <c r="J180" s="284">
        <f t="shared" si="438"/>
        <v>-0.1718230487811423</v>
      </c>
      <c r="K180" s="284">
        <f t="shared" ca="1" si="438"/>
        <v>0.86484993708822167</v>
      </c>
      <c r="L180" s="284">
        <f t="shared" ca="1" si="438"/>
        <v>0.23133499807256208</v>
      </c>
      <c r="M180" s="284">
        <f t="shared" ca="1" si="438"/>
        <v>0.22204567637850303</v>
      </c>
      <c r="N180" s="284">
        <f t="shared" ca="1" si="438"/>
        <v>0.20388323648724049</v>
      </c>
      <c r="O180" s="284"/>
      <c r="P180" s="284"/>
      <c r="Q180" s="284"/>
      <c r="R180" s="284">
        <f t="shared" ref="R180:AZ180" si="441">R100/Q100-1</f>
        <v>0.22094336114511792</v>
      </c>
      <c r="S180" s="284">
        <f t="shared" si="441"/>
        <v>-0.1136769594871464</v>
      </c>
      <c r="T180" s="285">
        <f t="shared" si="441"/>
        <v>0.14037803700064688</v>
      </c>
      <c r="U180" s="284">
        <f t="shared" si="441"/>
        <v>0.12055377377708232</v>
      </c>
      <c r="V180" s="284">
        <f t="shared" si="441"/>
        <v>0.23365998080257344</v>
      </c>
      <c r="W180" s="284">
        <f t="shared" si="441"/>
        <v>0.24689600432274661</v>
      </c>
      <c r="X180" s="285">
        <f t="shared" si="441"/>
        <v>0.1153955943064584</v>
      </c>
      <c r="Y180" s="284">
        <f t="shared" si="441"/>
        <v>-8.8125329216536263E-3</v>
      </c>
      <c r="Z180" s="284">
        <f t="shared" si="441"/>
        <v>0.19884522538758653</v>
      </c>
      <c r="AA180" s="284">
        <f t="shared" si="441"/>
        <v>0.19439977481729009</v>
      </c>
      <c r="AB180" s="285">
        <f t="shared" si="441"/>
        <v>1.0505036925539724E-2</v>
      </c>
      <c r="AC180" s="284">
        <f t="shared" si="441"/>
        <v>-2.8144171870234547E-2</v>
      </c>
      <c r="AD180" s="284">
        <f t="shared" si="441"/>
        <v>4.9964532605676792E-2</v>
      </c>
      <c r="AE180" s="284">
        <f t="shared" si="441"/>
        <v>-6.5682970137969643E-2</v>
      </c>
      <c r="AF180" s="285">
        <f t="shared" si="441"/>
        <v>-7.9431766594681319E-2</v>
      </c>
      <c r="AG180" s="284">
        <f t="shared" si="441"/>
        <v>-0.24051862420587866</v>
      </c>
      <c r="AH180" s="284">
        <f t="shared" si="441"/>
        <v>0.16821615587281102</v>
      </c>
      <c r="AI180" s="284">
        <f t="shared" si="441"/>
        <v>4.9920011742515369E-2</v>
      </c>
      <c r="AJ180" s="285">
        <f t="shared" si="441"/>
        <v>0.10517950495386752</v>
      </c>
      <c r="AK180" s="284">
        <f t="shared" si="441"/>
        <v>0.427041516685152</v>
      </c>
      <c r="AL180" s="284">
        <f t="shared" si="441"/>
        <v>8.7747442583110402E-2</v>
      </c>
      <c r="AM180" s="284">
        <f t="shared" si="441"/>
        <v>0.131037240925024</v>
      </c>
      <c r="AN180" s="285">
        <f t="shared" si="441"/>
        <v>2.4044761528381642E-2</v>
      </c>
      <c r="AO180" s="284">
        <f t="shared" ca="1" si="441"/>
        <v>-6.9430790408634535E-2</v>
      </c>
      <c r="AP180" s="284">
        <f t="shared" ca="1" si="441"/>
        <v>0.1971972898004497</v>
      </c>
      <c r="AQ180" s="284">
        <f t="shared" ca="1" si="441"/>
        <v>9.2434092296744597E-2</v>
      </c>
      <c r="AR180" s="285">
        <f t="shared" ca="1" si="441"/>
        <v>-2.4523294533456141E-3</v>
      </c>
      <c r="AS180" s="284">
        <f t="shared" ca="1" si="441"/>
        <v>-2.8418389387956489E-2</v>
      </c>
      <c r="AT180" s="284">
        <f t="shared" ca="1" si="441"/>
        <v>0.15333048651305115</v>
      </c>
      <c r="AU180" s="284">
        <f t="shared" ca="1" si="441"/>
        <v>9.473201871620085E-2</v>
      </c>
      <c r="AV180" s="285">
        <f t="shared" ca="1" si="441"/>
        <v>-3.2914751880696258E-2</v>
      </c>
      <c r="AW180" s="284">
        <f t="shared" ca="1" si="441"/>
        <v>-4.8671808216782519E-3</v>
      </c>
      <c r="AX180" s="284">
        <f t="shared" ca="1" si="441"/>
        <v>0.13410805597676756</v>
      </c>
      <c r="AY180" s="284">
        <f t="shared" ca="1" si="441"/>
        <v>8.7902575614981604E-2</v>
      </c>
      <c r="AZ180" s="284">
        <f t="shared" ca="1" si="441"/>
        <v>-6.089585574307721E-3</v>
      </c>
      <c r="BC180"/>
      <c r="BD180"/>
      <c r="BE180"/>
      <c r="BF180"/>
      <c r="BG180"/>
      <c r="BH180"/>
    </row>
    <row r="181" spans="1:60" s="279" customFormat="1" hidden="1" outlineLevel="1">
      <c r="A181" s="296"/>
      <c r="B181" s="3" t="s">
        <v>31</v>
      </c>
      <c r="E181" s="283"/>
      <c r="F181" s="284"/>
      <c r="G181" s="284">
        <f t="shared" si="438"/>
        <v>0.91928044328242065</v>
      </c>
      <c r="H181" s="284">
        <f t="shared" si="438"/>
        <v>0.70839783313076743</v>
      </c>
      <c r="I181" s="284">
        <f t="shared" si="438"/>
        <v>0.40022818657254788</v>
      </c>
      <c r="J181" s="284">
        <f t="shared" si="438"/>
        <v>0.1705991099510531</v>
      </c>
      <c r="K181" s="284">
        <f t="shared" si="438"/>
        <v>-6.8981913356412239E-2</v>
      </c>
      <c r="L181" s="284">
        <f t="shared" ca="1" si="438"/>
        <v>-6.9776239713024379E-2</v>
      </c>
      <c r="M181" s="284">
        <f t="shared" ca="1" si="438"/>
        <v>2.2376080896981954E-2</v>
      </c>
      <c r="N181" s="284">
        <f t="shared" ca="1" si="438"/>
        <v>0.16667511010463132</v>
      </c>
      <c r="O181" s="284"/>
      <c r="P181" s="284"/>
      <c r="Q181" s="284"/>
      <c r="R181" s="284">
        <f t="shared" ref="R181:AZ181" si="442">R101/Q101-1</f>
        <v>0.36950950413098416</v>
      </c>
      <c r="S181" s="284">
        <f t="shared" si="442"/>
        <v>0.18626277587852424</v>
      </c>
      <c r="T181" s="285">
        <f t="shared" si="442"/>
        <v>0.12749539197907067</v>
      </c>
      <c r="U181" s="284">
        <f t="shared" si="442"/>
        <v>4.6093581341082324E-3</v>
      </c>
      <c r="V181" s="284">
        <f t="shared" si="442"/>
        <v>0.44350777387361684</v>
      </c>
      <c r="W181" s="284">
        <f t="shared" si="442"/>
        <v>0.18031276030687393</v>
      </c>
      <c r="X181" s="285">
        <f t="shared" si="442"/>
        <v>0.1321804165250553</v>
      </c>
      <c r="Y181" s="284">
        <f t="shared" si="442"/>
        <v>4.9951995401082971E-3</v>
      </c>
      <c r="Z181" s="284">
        <f t="shared" si="442"/>
        <v>0.28374018343158691</v>
      </c>
      <c r="AA181" s="284">
        <f t="shared" si="442"/>
        <v>0.14817075421454229</v>
      </c>
      <c r="AB181" s="285">
        <f t="shared" si="442"/>
        <v>8.3458960848993291E-2</v>
      </c>
      <c r="AC181" s="284">
        <f t="shared" si="442"/>
        <v>-8.7782499982779649E-2</v>
      </c>
      <c r="AD181" s="284">
        <f t="shared" si="442"/>
        <v>0.22659063015318637</v>
      </c>
      <c r="AE181" s="284">
        <f t="shared" si="442"/>
        <v>0.14180100334606527</v>
      </c>
      <c r="AF181" s="285">
        <f t="shared" si="442"/>
        <v>8.5078260436798558E-2</v>
      </c>
      <c r="AG181" s="284">
        <f t="shared" si="442"/>
        <v>-0.1464313029106924</v>
      </c>
      <c r="AH181" s="284">
        <f t="shared" si="442"/>
        <v>0.30234219114386107</v>
      </c>
      <c r="AI181" s="284">
        <f t="shared" si="442"/>
        <v>-0.10794556871628069</v>
      </c>
      <c r="AJ181" s="285">
        <f t="shared" si="442"/>
        <v>1.6189546000465516E-2</v>
      </c>
      <c r="AK181" s="284">
        <f t="shared" si="442"/>
        <v>-0.17112031117542303</v>
      </c>
      <c r="AL181" s="284">
        <f t="shared" si="442"/>
        <v>0.13393834450492914</v>
      </c>
      <c r="AM181" s="284">
        <f t="shared" si="442"/>
        <v>-8.0710250201776468E-4</v>
      </c>
      <c r="AN181" s="285">
        <f t="shared" si="442"/>
        <v>1.696284329563813E-2</v>
      </c>
      <c r="AO181" s="284">
        <f t="shared" ca="1" si="442"/>
        <v>-0.19023791101086451</v>
      </c>
      <c r="AP181" s="284">
        <f t="shared" ca="1" si="442"/>
        <v>0.14395319970143783</v>
      </c>
      <c r="AQ181" s="284">
        <f t="shared" ca="1" si="442"/>
        <v>-1.3276659034352933E-2</v>
      </c>
      <c r="AR181" s="285">
        <f t="shared" ca="1" si="442"/>
        <v>3.7493230618124151E-3</v>
      </c>
      <c r="AS181" s="284">
        <f t="shared" ca="1" si="442"/>
        <v>-4.0214171491248174E-2</v>
      </c>
      <c r="AT181" s="284">
        <f t="shared" ca="1" si="442"/>
        <v>3.9930174950840946E-2</v>
      </c>
      <c r="AU181" s="284">
        <f t="shared" ca="1" si="442"/>
        <v>3.2735858125717776E-2</v>
      </c>
      <c r="AV181" s="285">
        <f t="shared" ca="1" si="442"/>
        <v>-4.2593905926796904E-2</v>
      </c>
      <c r="AW181" s="284">
        <f t="shared" ca="1" si="442"/>
        <v>0.14054010434828657</v>
      </c>
      <c r="AX181" s="284">
        <f t="shared" ca="1" si="442"/>
        <v>2.5328856129190225E-2</v>
      </c>
      <c r="AY181" s="284">
        <f t="shared" ca="1" si="442"/>
        <v>2.7879899550765419E-2</v>
      </c>
      <c r="AZ181" s="284">
        <f t="shared" ca="1" si="442"/>
        <v>-1.1797345922963332E-2</v>
      </c>
      <c r="BC181"/>
      <c r="BD181"/>
      <c r="BE181"/>
      <c r="BF181"/>
      <c r="BG181"/>
      <c r="BH181"/>
    </row>
    <row r="182" spans="1:60" s="279" customFormat="1" hidden="1" outlineLevel="1">
      <c r="A182" s="296"/>
      <c r="B182" s="3" t="s">
        <v>37</v>
      </c>
      <c r="E182" s="283"/>
      <c r="F182" s="284"/>
      <c r="G182" s="284">
        <f t="shared" si="438"/>
        <v>0.81287676305940471</v>
      </c>
      <c r="H182" s="284">
        <f t="shared" si="438"/>
        <v>0.46904339392938943</v>
      </c>
      <c r="I182" s="284">
        <f t="shared" si="438"/>
        <v>0.30514297151806491</v>
      </c>
      <c r="J182" s="284">
        <f t="shared" si="438"/>
        <v>0.26896342419863406</v>
      </c>
      <c r="K182" s="284">
        <f t="shared" si="438"/>
        <v>0.17843718620240456</v>
      </c>
      <c r="L182" s="284">
        <f t="shared" ca="1" si="438"/>
        <v>0.10302017073459102</v>
      </c>
      <c r="M182" s="284">
        <f t="shared" ca="1" si="438"/>
        <v>7.419612941008058E-2</v>
      </c>
      <c r="N182" s="284">
        <f t="shared" ca="1" si="438"/>
        <v>5.7850302974698842E-2</v>
      </c>
      <c r="O182" s="284"/>
      <c r="P182" s="284"/>
      <c r="Q182" s="284"/>
      <c r="R182" s="284">
        <f t="shared" ref="R182:AZ182" si="443">R102/Q102-1</f>
        <v>8.9576371671876709E-2</v>
      </c>
      <c r="S182" s="284">
        <f t="shared" si="443"/>
        <v>0.10008161851998398</v>
      </c>
      <c r="T182" s="285">
        <f t="shared" si="443"/>
        <v>0.2635093359713121</v>
      </c>
      <c r="U182" s="284">
        <f t="shared" si="443"/>
        <v>0.20073310913005571</v>
      </c>
      <c r="V182" s="284">
        <f t="shared" si="443"/>
        <v>0.12943835210432719</v>
      </c>
      <c r="W182" s="284">
        <f t="shared" si="443"/>
        <v>0.12105526726104188</v>
      </c>
      <c r="X182" s="285">
        <f t="shared" si="443"/>
        <v>9.9611036118631979E-2</v>
      </c>
      <c r="Y182" s="284">
        <f t="shared" si="443"/>
        <v>0.14613568348208039</v>
      </c>
      <c r="Z182" s="284">
        <f t="shared" si="443"/>
        <v>8.417751788845762E-2</v>
      </c>
      <c r="AA182" s="284">
        <f t="shared" si="443"/>
        <v>7.442685157029616E-2</v>
      </c>
      <c r="AB182" s="285">
        <f t="shared" si="443"/>
        <v>-5.3188450280158284E-3</v>
      </c>
      <c r="AC182" s="284">
        <f t="shared" si="443"/>
        <v>0.13494985332699261</v>
      </c>
      <c r="AD182" s="284">
        <f t="shared" si="443"/>
        <v>5.4762790303521047E-2</v>
      </c>
      <c r="AE182" s="284">
        <f t="shared" si="443"/>
        <v>8.2406411383732392E-2</v>
      </c>
      <c r="AF182" s="285">
        <f t="shared" si="443"/>
        <v>3.1909113870546957E-2</v>
      </c>
      <c r="AG182" s="284">
        <f t="shared" si="443"/>
        <v>8.6997743159796137E-2</v>
      </c>
      <c r="AH182" s="284">
        <f t="shared" si="443"/>
        <v>5.8779197050103038E-2</v>
      </c>
      <c r="AI182" s="284">
        <f t="shared" si="443"/>
        <v>7.7252272585226489E-2</v>
      </c>
      <c r="AJ182" s="285">
        <f t="shared" si="443"/>
        <v>-4.5012594823793384E-3</v>
      </c>
      <c r="AK182" s="284">
        <f t="shared" si="443"/>
        <v>8.1038530030759226E-2</v>
      </c>
      <c r="AL182" s="284">
        <f t="shared" si="443"/>
        <v>3.4806797377790577E-2</v>
      </c>
      <c r="AM182" s="284">
        <f t="shared" si="443"/>
        <v>4.1968162083936278E-2</v>
      </c>
      <c r="AN182" s="285">
        <f t="shared" si="443"/>
        <v>-2.777777777777779E-2</v>
      </c>
      <c r="AO182" s="284">
        <f t="shared" si="443"/>
        <v>6.7364188976006822E-2</v>
      </c>
      <c r="AP182" s="284">
        <f t="shared" si="443"/>
        <v>2.0095071220557426E-2</v>
      </c>
      <c r="AQ182" s="284">
        <f t="shared" si="443"/>
        <v>3.3946987433738807E-2</v>
      </c>
      <c r="AR182" s="285">
        <f t="shared" si="443"/>
        <v>-2.5526236237633282E-2</v>
      </c>
      <c r="AS182" s="284">
        <f t="shared" si="443"/>
        <v>4.7348231496771254E-2</v>
      </c>
      <c r="AT182" s="284">
        <f t="shared" si="443"/>
        <v>2.0709488934465448E-2</v>
      </c>
      <c r="AU182" s="284">
        <f t="shared" si="443"/>
        <v>2.6381207512839788E-2</v>
      </c>
      <c r="AV182" s="285">
        <f t="shared" si="443"/>
        <v>-2.1011824807153689E-2</v>
      </c>
      <c r="AW182" s="284">
        <f t="shared" si="443"/>
        <v>3.1234124319935663E-2</v>
      </c>
      <c r="AX182" s="284">
        <f t="shared" si="443"/>
        <v>2.1554462481278458E-2</v>
      </c>
      <c r="AY182" s="284">
        <f t="shared" si="443"/>
        <v>2.1846061613972845E-2</v>
      </c>
      <c r="AZ182" s="284">
        <f t="shared" si="443"/>
        <v>-1.3972030929625512E-2</v>
      </c>
      <c r="BC182"/>
      <c r="BD182"/>
      <c r="BE182"/>
      <c r="BF182"/>
      <c r="BG182"/>
      <c r="BH182"/>
    </row>
    <row r="183" spans="1:60" s="279" customFormat="1" hidden="1" outlineLevel="1">
      <c r="A183" s="296"/>
      <c r="B183" s="3" t="s">
        <v>36</v>
      </c>
      <c r="E183" s="283"/>
      <c r="F183" s="284"/>
      <c r="G183" s="284">
        <f t="shared" si="438"/>
        <v>0.44356251059262197</v>
      </c>
      <c r="H183" s="284">
        <f t="shared" si="438"/>
        <v>0.29647457848220982</v>
      </c>
      <c r="I183" s="284">
        <f t="shared" si="438"/>
        <v>0.28773752446307022</v>
      </c>
      <c r="J183" s="284">
        <f t="shared" si="438"/>
        <v>0.20130698934960334</v>
      </c>
      <c r="K183" s="284">
        <f t="shared" si="438"/>
        <v>0.10182695788113594</v>
      </c>
      <c r="L183" s="284">
        <f t="shared" ca="1" si="438"/>
        <v>0.12721685956099216</v>
      </c>
      <c r="M183" s="284">
        <f t="shared" ca="1" si="438"/>
        <v>0.15475064692617391</v>
      </c>
      <c r="N183" s="284">
        <f t="shared" ca="1" si="438"/>
        <v>0.17457064393010202</v>
      </c>
      <c r="O183" s="284"/>
      <c r="P183" s="284"/>
      <c r="Q183" s="284"/>
      <c r="R183" s="284">
        <f t="shared" ref="R183:AZ183" si="444">R103/Q103-1</f>
        <v>7.6559736643961651E-2</v>
      </c>
      <c r="S183" s="284">
        <f t="shared" si="444"/>
        <v>0.13804208600182966</v>
      </c>
      <c r="T183" s="285">
        <f t="shared" si="444"/>
        <v>0.13440024582578536</v>
      </c>
      <c r="U183" s="284">
        <f t="shared" si="444"/>
        <v>4.9176661795091503E-2</v>
      </c>
      <c r="V183" s="284">
        <f t="shared" si="444"/>
        <v>7.1683963722714683E-2</v>
      </c>
      <c r="W183" s="284">
        <f t="shared" si="444"/>
        <v>3.48031676933378E-2</v>
      </c>
      <c r="X183" s="285">
        <f t="shared" si="444"/>
        <v>0.11034290463260987</v>
      </c>
      <c r="Y183" s="284">
        <f t="shared" si="444"/>
        <v>4.9572853785315285E-2</v>
      </c>
      <c r="Z183" s="284">
        <f t="shared" si="444"/>
        <v>7.3008638852303243E-2</v>
      </c>
      <c r="AA183" s="284">
        <f t="shared" si="444"/>
        <v>0.11004119698567094</v>
      </c>
      <c r="AB183" s="285">
        <f t="shared" si="444"/>
        <v>7.9597002874650435E-2</v>
      </c>
      <c r="AC183" s="284">
        <f t="shared" si="444"/>
        <v>5.2143171981241743E-2</v>
      </c>
      <c r="AD183" s="284">
        <f t="shared" si="444"/>
        <v>5.7748735056323719E-2</v>
      </c>
      <c r="AE183" s="284">
        <f t="shared" si="444"/>
        <v>6.6961329195288855E-2</v>
      </c>
      <c r="AF183" s="285">
        <f t="shared" si="444"/>
        <v>5.282166356064355E-2</v>
      </c>
      <c r="AG183" s="284">
        <f t="shared" si="444"/>
        <v>2.2088127089817666E-2</v>
      </c>
      <c r="AH183" s="284">
        <f t="shared" si="444"/>
        <v>6.5659407463539043E-2</v>
      </c>
      <c r="AI183" s="284">
        <f t="shared" si="444"/>
        <v>6.4318928062087499E-2</v>
      </c>
      <c r="AJ183" s="285">
        <f t="shared" si="444"/>
        <v>1.155739370301534E-2</v>
      </c>
      <c r="AK183" s="284">
        <f t="shared" si="444"/>
        <v>1.4147368732355892E-2</v>
      </c>
      <c r="AL183" s="284">
        <f t="shared" si="444"/>
        <v>6.0631098042551734E-3</v>
      </c>
      <c r="AM183" s="284">
        <f t="shared" si="444"/>
        <v>2.8985507246376718E-2</v>
      </c>
      <c r="AN183" s="285">
        <f t="shared" si="444"/>
        <v>3.8732394366197243E-2</v>
      </c>
      <c r="AO183" s="284">
        <f t="shared" si="444"/>
        <v>3.4582849560457873E-2</v>
      </c>
      <c r="AP183" s="284">
        <f t="shared" ca="1" si="444"/>
        <v>1.8007875483392111E-2</v>
      </c>
      <c r="AQ183" s="284">
        <f t="shared" ca="1" si="444"/>
        <v>3.5664743849141534E-2</v>
      </c>
      <c r="AR183" s="285">
        <f t="shared" ca="1" si="444"/>
        <v>4.2096501017298005E-2</v>
      </c>
      <c r="AS183" s="284">
        <f t="shared" ca="1" si="444"/>
        <v>3.6796458582176728E-2</v>
      </c>
      <c r="AT183" s="284">
        <f t="shared" ca="1" si="444"/>
        <v>2.9265090486768397E-2</v>
      </c>
      <c r="AU183" s="284">
        <f t="shared" ca="1" si="444"/>
        <v>4.2710354376215287E-2</v>
      </c>
      <c r="AV183" s="285">
        <f t="shared" ca="1" si="444"/>
        <v>4.8932715380245462E-2</v>
      </c>
      <c r="AW183" s="284">
        <f t="shared" ca="1" si="444"/>
        <v>3.8656322495230322E-2</v>
      </c>
      <c r="AX183" s="284">
        <f t="shared" ca="1" si="444"/>
        <v>3.3562654812784309E-2</v>
      </c>
      <c r="AY183" s="284">
        <f t="shared" ca="1" si="444"/>
        <v>4.4835708032935129E-2</v>
      </c>
      <c r="AZ183" s="284">
        <f t="shared" ca="1" si="444"/>
        <v>5.0072354967845234E-2</v>
      </c>
      <c r="BC183"/>
      <c r="BD183"/>
      <c r="BE183"/>
      <c r="BF183"/>
      <c r="BG183"/>
      <c r="BH183"/>
    </row>
    <row r="184" spans="1:60" s="279" customFormat="1" hidden="1" outlineLevel="1">
      <c r="A184" s="296"/>
      <c r="B184" s="3" t="s">
        <v>35</v>
      </c>
      <c r="E184" s="283"/>
      <c r="F184" s="284"/>
      <c r="G184" s="284">
        <f t="shared" si="438"/>
        <v>0.83662932211583341</v>
      </c>
      <c r="H184" s="284">
        <f t="shared" si="438"/>
        <v>1.0479934318069732</v>
      </c>
      <c r="I184" s="284">
        <f t="shared" si="438"/>
        <v>0.75040032828948999</v>
      </c>
      <c r="J184" s="284">
        <f t="shared" si="438"/>
        <v>0.14120536097273062</v>
      </c>
      <c r="K184" s="284">
        <f t="shared" si="438"/>
        <v>6.0339575046961302E-2</v>
      </c>
      <c r="L184" s="284">
        <f t="shared" ca="1" si="438"/>
        <v>0.2143259618896145</v>
      </c>
      <c r="M184" s="284">
        <f t="shared" ca="1" si="438"/>
        <v>0.18477978130585182</v>
      </c>
      <c r="N184" s="284">
        <f t="shared" ca="1" si="438"/>
        <v>0.16532062632280375</v>
      </c>
      <c r="O184" s="284"/>
      <c r="P184" s="284"/>
      <c r="Q184" s="284"/>
      <c r="R184" s="284">
        <f t="shared" ref="R184:AZ184" si="445">R104/Q104-1</f>
        <v>7.6322697584299437E-2</v>
      </c>
      <c r="S184" s="284">
        <f t="shared" si="445"/>
        <v>8.6778209269408046E-2</v>
      </c>
      <c r="T184" s="285">
        <f t="shared" si="445"/>
        <v>9.8129842372428611E-2</v>
      </c>
      <c r="U184" s="284">
        <f t="shared" si="445"/>
        <v>0.33026786365958682</v>
      </c>
      <c r="V184" s="284">
        <f t="shared" si="445"/>
        <v>0.11209718716851391</v>
      </c>
      <c r="W184" s="284">
        <f t="shared" si="445"/>
        <v>0.15201723478697038</v>
      </c>
      <c r="X184" s="285">
        <f t="shared" si="445"/>
        <v>0.54700860801416118</v>
      </c>
      <c r="Y184" s="284">
        <f t="shared" si="445"/>
        <v>0.10626606194547361</v>
      </c>
      <c r="Z184" s="284">
        <f t="shared" si="445"/>
        <v>0.30760600739872634</v>
      </c>
      <c r="AA184" s="284">
        <f t="shared" si="445"/>
        <v>-0.1108951091775483</v>
      </c>
      <c r="AB184" s="285">
        <f t="shared" si="445"/>
        <v>0.10531196470050119</v>
      </c>
      <c r="AC184" s="284">
        <f t="shared" si="445"/>
        <v>-1.4864628027288496E-2</v>
      </c>
      <c r="AD184" s="284">
        <f t="shared" si="445"/>
        <v>0.4010012057957264</v>
      </c>
      <c r="AE184" s="284">
        <f t="shared" si="445"/>
        <v>0.47455564530636574</v>
      </c>
      <c r="AF184" s="285">
        <f t="shared" si="445"/>
        <v>-5.7767475684028846E-2</v>
      </c>
      <c r="AG184" s="284">
        <f t="shared" si="445"/>
        <v>-7.5752305852664015E-2</v>
      </c>
      <c r="AH184" s="284">
        <f t="shared" si="445"/>
        <v>-9.1011973597105889E-2</v>
      </c>
      <c r="AI184" s="284">
        <f t="shared" si="445"/>
        <v>0.16701015558738619</v>
      </c>
      <c r="AJ184" s="285">
        <f t="shared" si="445"/>
        <v>2.3907388002630814E-2</v>
      </c>
      <c r="AK184" s="284">
        <f t="shared" si="445"/>
        <v>-0.19182096215643896</v>
      </c>
      <c r="AL184" s="284">
        <f t="shared" si="445"/>
        <v>0.27776665164638925</v>
      </c>
      <c r="AM184" s="284">
        <f t="shared" si="445"/>
        <v>0.12897959183673469</v>
      </c>
      <c r="AN184" s="285">
        <f t="shared" si="445"/>
        <v>-0.1829356471438901</v>
      </c>
      <c r="AO184" s="284">
        <f t="shared" ca="1" si="445"/>
        <v>8.5747639338673354E-2</v>
      </c>
      <c r="AP184" s="284">
        <f t="shared" ca="1" si="445"/>
        <v>0.24393865707494489</v>
      </c>
      <c r="AQ184" s="284">
        <f t="shared" ca="1" si="445"/>
        <v>6.880254748390513E-2</v>
      </c>
      <c r="AR184" s="285">
        <f t="shared" ca="1" si="445"/>
        <v>-0.19112579073003766</v>
      </c>
      <c r="AS184" s="284">
        <f t="shared" ca="1" si="445"/>
        <v>0.1427789671807973</v>
      </c>
      <c r="AT184" s="284">
        <f t="shared" ca="1" si="445"/>
        <v>0.2051701826346064</v>
      </c>
      <c r="AU184" s="284">
        <f t="shared" ca="1" si="445"/>
        <v>6.0026709959583036E-2</v>
      </c>
      <c r="AV184" s="285">
        <f t="shared" ca="1" si="445"/>
        <v>-0.21796836912897843</v>
      </c>
      <c r="AW184" s="284">
        <f t="shared" ca="1" si="445"/>
        <v>0.18009606326795025</v>
      </c>
      <c r="AX184" s="284">
        <f t="shared" ca="1" si="445"/>
        <v>0.19247223335070252</v>
      </c>
      <c r="AY184" s="284">
        <f t="shared" ca="1" si="445"/>
        <v>4.082915694822753E-2</v>
      </c>
      <c r="AZ184" s="284">
        <f t="shared" ca="1" si="445"/>
        <v>-0.19738203389953546</v>
      </c>
      <c r="BC184"/>
      <c r="BD184"/>
      <c r="BE184"/>
      <c r="BF184"/>
      <c r="BG184"/>
      <c r="BH184"/>
    </row>
    <row r="185" spans="1:60" s="279" customFormat="1" hidden="1" outlineLevel="1">
      <c r="A185" s="296"/>
      <c r="B185" s="3" t="s">
        <v>30</v>
      </c>
      <c r="E185" s="283"/>
      <c r="F185" s="284"/>
      <c r="G185" s="284">
        <f t="shared" si="438"/>
        <v>2.9961093834976502</v>
      </c>
      <c r="H185" s="284">
        <f t="shared" si="438"/>
        <v>1.1774071036821194</v>
      </c>
      <c r="I185" s="284">
        <f t="shared" si="438"/>
        <v>1.0006683027887084</v>
      </c>
      <c r="J185" s="284">
        <f t="shared" si="438"/>
        <v>1.0997203518338678</v>
      </c>
      <c r="K185" s="284">
        <f t="shared" si="438"/>
        <v>0.70380303640133612</v>
      </c>
      <c r="L185" s="284">
        <f t="shared" ca="1" si="438"/>
        <v>0.72604666116311778</v>
      </c>
      <c r="M185" s="290">
        <f t="shared" ca="1" si="438"/>
        <v>0.19378057203556742</v>
      </c>
      <c r="N185" s="290">
        <f t="shared" ca="1" si="438"/>
        <v>0.13539186659389513</v>
      </c>
      <c r="O185" s="284"/>
      <c r="P185" s="284"/>
      <c r="Q185" s="284"/>
      <c r="R185" s="284">
        <f t="shared" ref="R185:AZ185" si="446">R105/Q105-1</f>
        <v>0.13076687011968491</v>
      </c>
      <c r="S185" s="284">
        <f t="shared" si="446"/>
        <v>-2.5782522163922517E-2</v>
      </c>
      <c r="T185" s="285">
        <f t="shared" si="446"/>
        <v>2.7247964837341749</v>
      </c>
      <c r="U185" s="284">
        <f t="shared" si="446"/>
        <v>-0.20397716413073286</v>
      </c>
      <c r="V185" s="284">
        <f t="shared" si="446"/>
        <v>0.57271559958660001</v>
      </c>
      <c r="W185" s="284">
        <f t="shared" si="446"/>
        <v>0.47508164511589634</v>
      </c>
      <c r="X185" s="285">
        <f t="shared" si="446"/>
        <v>0.62764597883216933</v>
      </c>
      <c r="Y185" s="284">
        <f t="shared" si="446"/>
        <v>8.8296442928156305E-2</v>
      </c>
      <c r="Z185" s="284">
        <f t="shared" si="446"/>
        <v>-9.9951986464755893E-2</v>
      </c>
      <c r="AA185" s="284">
        <f t="shared" si="446"/>
        <v>0.40594816734124772</v>
      </c>
      <c r="AB185" s="285">
        <f t="shared" si="446"/>
        <v>0.18848708842666118</v>
      </c>
      <c r="AC185" s="284">
        <f t="shared" si="446"/>
        <v>2.7722598343265403E-2</v>
      </c>
      <c r="AD185" s="284">
        <f t="shared" si="446"/>
        <v>0.38099174912067335</v>
      </c>
      <c r="AE185" s="284">
        <f t="shared" si="446"/>
        <v>8.8455088708592866E-2</v>
      </c>
      <c r="AF185" s="285">
        <f t="shared" si="446"/>
        <v>0.51099727186743138</v>
      </c>
      <c r="AG185" s="284">
        <f t="shared" si="446"/>
        <v>4.2912709181375241E-4</v>
      </c>
      <c r="AH185" s="284">
        <f t="shared" si="446"/>
        <v>0.22897238851098178</v>
      </c>
      <c r="AI185" s="284">
        <f t="shared" si="446"/>
        <v>0.3015617872708598</v>
      </c>
      <c r="AJ185" s="285">
        <f t="shared" si="446"/>
        <v>0.16250356678859679</v>
      </c>
      <c r="AK185" s="284">
        <f t="shared" si="446"/>
        <v>2.5337170895882055E-2</v>
      </c>
      <c r="AL185" s="284">
        <f t="shared" si="446"/>
        <v>0.18063754427390788</v>
      </c>
      <c r="AM185" s="284">
        <f t="shared" si="446"/>
        <v>0.25224935732647813</v>
      </c>
      <c r="AN185" s="285">
        <f t="shared" si="446"/>
        <v>-3.6694893507826509E-2</v>
      </c>
      <c r="AO185" s="284">
        <f t="shared" ca="1" si="446"/>
        <v>0.15550704838596641</v>
      </c>
      <c r="AP185" s="284">
        <f t="shared" ca="1" si="446"/>
        <v>0.36659986380844889</v>
      </c>
      <c r="AQ185" s="284">
        <f t="shared" ca="1" si="446"/>
        <v>5.7752356060105203E-2</v>
      </c>
      <c r="AR185" s="285">
        <f t="shared" ca="1" si="446"/>
        <v>5.0887989850887383E-2</v>
      </c>
      <c r="AS185" s="284">
        <f t="shared" ca="1" si="446"/>
        <v>-4.3945124763660748E-2</v>
      </c>
      <c r="AT185" s="284">
        <f t="shared" ca="1" si="446"/>
        <v>0.11691967269587655</v>
      </c>
      <c r="AU185" s="284">
        <f t="shared" ca="1" si="446"/>
        <v>1.0053051325778384E-2</v>
      </c>
      <c r="AV185" s="285">
        <f t="shared" ca="1" si="446"/>
        <v>7.9038795564703168E-3</v>
      </c>
      <c r="AW185" s="284">
        <f t="shared" ca="1" si="446"/>
        <v>2.4377503058073735E-2</v>
      </c>
      <c r="AX185" s="284">
        <f t="shared" ca="1" si="446"/>
        <v>0.11854890626848347</v>
      </c>
      <c r="AY185" s="284">
        <f t="shared" ca="1" si="446"/>
        <v>-3.2758954789001149E-2</v>
      </c>
      <c r="AZ185" s="284">
        <f t="shared" ca="1" si="446"/>
        <v>-9.9883904489368458E-3</v>
      </c>
      <c r="BC185"/>
      <c r="BD185"/>
      <c r="BE185"/>
      <c r="BF185"/>
      <c r="BG185"/>
      <c r="BH185"/>
    </row>
    <row r="186" spans="1:60" s="279" customFormat="1" hidden="1" outlineLevel="1">
      <c r="A186" s="296"/>
      <c r="B186" s="3" t="s">
        <v>99</v>
      </c>
      <c r="E186" s="283"/>
      <c r="F186" s="284"/>
      <c r="G186" s="284">
        <f t="shared" ref="G186:N187" si="447">G108/F108-1</f>
        <v>1.3726867887184562</v>
      </c>
      <c r="H186" s="284">
        <f t="shared" si="447"/>
        <v>0.44356856856856841</v>
      </c>
      <c r="I186" s="284">
        <f t="shared" si="447"/>
        <v>0.43798214440495808</v>
      </c>
      <c r="J186" s="284">
        <f t="shared" si="447"/>
        <v>1.0766325095439018</v>
      </c>
      <c r="K186" s="284">
        <f t="shared" si="447"/>
        <v>0.77061361921164151</v>
      </c>
      <c r="L186" s="284">
        <f t="shared" ca="1" si="447"/>
        <v>0.12355950392096005</v>
      </c>
      <c r="M186" s="284">
        <f t="shared" ca="1" si="447"/>
        <v>0.22136769715972227</v>
      </c>
      <c r="N186" s="284">
        <f t="shared" ca="1" si="447"/>
        <v>0.20321628540247327</v>
      </c>
      <c r="O186" s="284"/>
      <c r="P186" s="284"/>
      <c r="Q186" s="284"/>
      <c r="R186" s="284">
        <f t="shared" ref="R186:AZ186" si="448">R108/Q108-1</f>
        <v>1.9502958579881655</v>
      </c>
      <c r="S186" s="284">
        <f t="shared" si="448"/>
        <v>-3.6101083032490933E-2</v>
      </c>
      <c r="T186" s="285">
        <f t="shared" si="448"/>
        <v>0.8160632542655013</v>
      </c>
      <c r="U186" s="284">
        <f t="shared" si="448"/>
        <v>9.6241979835012259E-3</v>
      </c>
      <c r="V186" s="284">
        <f t="shared" si="448"/>
        <v>-8.2614616432137966E-2</v>
      </c>
      <c r="W186" s="284">
        <f t="shared" si="448"/>
        <v>0.57273626917367659</v>
      </c>
      <c r="X186" s="285">
        <f t="shared" si="448"/>
        <v>0.44266163284568183</v>
      </c>
      <c r="Y186" s="284">
        <f t="shared" si="448"/>
        <v>-0.30192999672881904</v>
      </c>
      <c r="Z186" s="284">
        <f t="shared" si="448"/>
        <v>0.3217744454857856</v>
      </c>
      <c r="AA186" s="284">
        <f t="shared" si="448"/>
        <v>-1.0163082013708413E-2</v>
      </c>
      <c r="AB186" s="285">
        <f t="shared" si="448"/>
        <v>0.35756924546322844</v>
      </c>
      <c r="AC186" s="284">
        <f t="shared" si="448"/>
        <v>-0.23384047137454933</v>
      </c>
      <c r="AD186" s="284">
        <f t="shared" si="448"/>
        <v>0.45948117539026634</v>
      </c>
      <c r="AE186" s="284">
        <f t="shared" si="448"/>
        <v>-7.1569012976799073E-2</v>
      </c>
      <c r="AF186" s="285">
        <f t="shared" si="448"/>
        <v>0.40093180855569677</v>
      </c>
      <c r="AG186" s="284">
        <f t="shared" si="448"/>
        <v>-0.24894183093481681</v>
      </c>
      <c r="AH186" s="284">
        <f t="shared" si="448"/>
        <v>0.63610015296674982</v>
      </c>
      <c r="AI186" s="284">
        <f t="shared" si="448"/>
        <v>0.3960732211396516</v>
      </c>
      <c r="AJ186" s="285">
        <f t="shared" si="448"/>
        <v>0.48884424236015667</v>
      </c>
      <c r="AK186" s="284">
        <f t="shared" si="448"/>
        <v>-0.13941761363636374</v>
      </c>
      <c r="AL186" s="284">
        <f t="shared" si="448"/>
        <v>0.32045885945366015</v>
      </c>
      <c r="AM186" s="284">
        <f t="shared" si="448"/>
        <v>0.10416666666666674</v>
      </c>
      <c r="AN186" s="285">
        <f t="shared" si="448"/>
        <v>-0.13207547169811318</v>
      </c>
      <c r="AO186" s="284">
        <f t="shared" ca="1" si="448"/>
        <v>-7.0507270666650856E-2</v>
      </c>
      <c r="AP186" s="284">
        <f t="shared" ca="1" si="448"/>
        <v>0.19711169705746356</v>
      </c>
      <c r="AQ186" s="284">
        <f t="shared" ca="1" si="448"/>
        <v>9.210712541349575E-2</v>
      </c>
      <c r="AR186" s="285">
        <f t="shared" ca="1" si="448"/>
        <v>-2.2845655514210916E-3</v>
      </c>
      <c r="AS186" s="284">
        <f t="shared" ca="1" si="448"/>
        <v>-2.8739412578040135E-2</v>
      </c>
      <c r="AT186" s="284">
        <f t="shared" ca="1" si="448"/>
        <v>0.15324919516894164</v>
      </c>
      <c r="AU186" s="284">
        <f t="shared" ca="1" si="448"/>
        <v>9.4589451565412874E-2</v>
      </c>
      <c r="AV186" s="285">
        <f t="shared" ca="1" si="448"/>
        <v>-3.3173167963590267E-2</v>
      </c>
      <c r="AW186" s="284">
        <f t="shared" ca="1" si="448"/>
        <v>-5.064403008028795E-3</v>
      </c>
      <c r="AX186" s="284">
        <f t="shared" ca="1" si="448"/>
        <v>0.13407980081745929</v>
      </c>
      <c r="AY186" s="284">
        <f t="shared" ca="1" si="448"/>
        <v>8.7854308467786968E-2</v>
      </c>
      <c r="AZ186" s="284">
        <f t="shared" ca="1" si="448"/>
        <v>-6.2390011042993132E-3</v>
      </c>
      <c r="BC186"/>
      <c r="BD186"/>
      <c r="BE186"/>
      <c r="BF186"/>
      <c r="BG186"/>
      <c r="BH186"/>
    </row>
    <row r="187" spans="1:60" s="279" customFormat="1" hidden="1" outlineLevel="1">
      <c r="A187" s="296"/>
      <c r="B187" s="3" t="s">
        <v>683</v>
      </c>
      <c r="E187" s="283"/>
      <c r="F187" s="284"/>
      <c r="G187" s="284">
        <f t="shared" si="447"/>
        <v>0.77898099493761763</v>
      </c>
      <c r="H187" s="284">
        <f t="shared" si="447"/>
        <v>0.64624433798277692</v>
      </c>
      <c r="I187" s="284">
        <f t="shared" si="447"/>
        <v>0.45392511166003446</v>
      </c>
      <c r="J187" s="284">
        <f t="shared" si="447"/>
        <v>0.28483161392131917</v>
      </c>
      <c r="K187" s="284">
        <f t="shared" ca="1" si="447"/>
        <v>0.22061473210154103</v>
      </c>
      <c r="L187" s="284">
        <f t="shared" ca="1" si="447"/>
        <v>0.15485775260362522</v>
      </c>
      <c r="M187" s="284">
        <f t="shared" ca="1" si="447"/>
        <v>0.14516305278289354</v>
      </c>
      <c r="N187" s="284">
        <f t="shared" ca="1" si="447"/>
        <v>0.14094541931652893</v>
      </c>
      <c r="O187" s="284"/>
      <c r="P187" s="284"/>
      <c r="Q187" s="284"/>
      <c r="R187" s="284">
        <f t="shared" ref="R187:AZ187" si="449">R109/Q109-1</f>
        <v>0.20600375834632767</v>
      </c>
      <c r="S187" s="284">
        <f t="shared" si="449"/>
        <v>0.12488263906938712</v>
      </c>
      <c r="T187" s="285">
        <f t="shared" si="449"/>
        <v>0.17494777519993998</v>
      </c>
      <c r="U187" s="284">
        <f t="shared" si="449"/>
        <v>5.3153217783659779E-2</v>
      </c>
      <c r="V187" s="284">
        <f t="shared" si="449"/>
        <v>0.25621074814792211</v>
      </c>
      <c r="W187" s="284">
        <f t="shared" si="449"/>
        <v>0.16755071255817944</v>
      </c>
      <c r="X187" s="285">
        <f t="shared" si="449"/>
        <v>0.18756928049616595</v>
      </c>
      <c r="Y187" s="284">
        <f t="shared" si="449"/>
        <v>4.9460288271070851E-2</v>
      </c>
      <c r="Z187" s="284">
        <f t="shared" si="449"/>
        <v>0.1834817868627745</v>
      </c>
      <c r="AA187" s="284">
        <f t="shared" si="449"/>
        <v>0.11602423205771251</v>
      </c>
      <c r="AB187" s="285">
        <f t="shared" si="449"/>
        <v>7.3005011308443057E-2</v>
      </c>
      <c r="AC187" s="284">
        <f t="shared" si="449"/>
        <v>-2.0640080053678123E-2</v>
      </c>
      <c r="AD187" s="284">
        <f t="shared" si="449"/>
        <v>0.2209715058082804</v>
      </c>
      <c r="AE187" s="284">
        <f t="shared" si="449"/>
        <v>0.15017022860148055</v>
      </c>
      <c r="AF187" s="285">
        <f t="shared" si="449"/>
        <v>8.9543396821746724E-2</v>
      </c>
      <c r="AG187" s="284">
        <f t="shared" si="449"/>
        <v>-7.1925325858196554E-2</v>
      </c>
      <c r="AH187" s="284">
        <f t="shared" si="449"/>
        <v>0.15530985362778416</v>
      </c>
      <c r="AI187" s="284">
        <f t="shared" ca="1" si="449"/>
        <v>5.9345344794772048E-2</v>
      </c>
      <c r="AJ187" s="285">
        <f t="shared" ca="1" si="449"/>
        <v>5.0257282282363702E-2</v>
      </c>
      <c r="AK187" s="284">
        <f t="shared" ca="1" si="449"/>
        <v>-5.0229952569389558E-2</v>
      </c>
      <c r="AL187" s="284">
        <f t="shared" ca="1" si="449"/>
        <v>0.14607458084125446</v>
      </c>
      <c r="AM187" s="284">
        <f t="shared" ca="1" si="449"/>
        <v>0.11519561519561528</v>
      </c>
      <c r="AN187" s="285">
        <f t="shared" ca="1" si="449"/>
        <v>-3.0082196424031871E-2</v>
      </c>
      <c r="AO187" s="284">
        <f t="shared" ca="1" si="449"/>
        <v>-8.9390241541891902E-2</v>
      </c>
      <c r="AP187" s="284">
        <f t="shared" ca="1" si="449"/>
        <v>0.22165290275836913</v>
      </c>
      <c r="AQ187" s="284">
        <f t="shared" ca="1" si="449"/>
        <v>4.2931990323373359E-2</v>
      </c>
      <c r="AR187" s="285">
        <f t="shared" ca="1" si="449"/>
        <v>1.1337301930358645E-3</v>
      </c>
      <c r="AS187" s="284">
        <f t="shared" ca="1" si="449"/>
        <v>-7.4874768914815482E-3</v>
      </c>
      <c r="AT187" s="284">
        <f t="shared" ca="1" si="449"/>
        <v>9.6841206873840679E-2</v>
      </c>
      <c r="AU187" s="284">
        <f t="shared" ca="1" si="449"/>
        <v>2.7715713136285292E-2</v>
      </c>
      <c r="AV187" s="285">
        <f t="shared" ca="1" si="449"/>
        <v>-3.1418479805840338E-2</v>
      </c>
      <c r="AW187" s="284">
        <f t="shared" ca="1" si="449"/>
        <v>5.9704061620615256E-2</v>
      </c>
      <c r="AX187" s="284">
        <f t="shared" ca="1" si="449"/>
        <v>9.4324152430628638E-2</v>
      </c>
      <c r="AY187" s="284">
        <f t="shared" ca="1" si="449"/>
        <v>2.9515924636047686E-3</v>
      </c>
      <c r="AZ187" s="284">
        <f t="shared" ca="1" si="449"/>
        <v>-3.04806487235183E-2</v>
      </c>
      <c r="BC187"/>
      <c r="BD187"/>
      <c r="BE187"/>
      <c r="BF187"/>
      <c r="BG187"/>
      <c r="BH187"/>
    </row>
    <row r="188" spans="1:60" s="280" customFormat="1" hidden="1" outlineLevel="1">
      <c r="A188" s="296"/>
      <c r="B188" s="9" t="s">
        <v>684</v>
      </c>
      <c r="E188" s="287"/>
      <c r="F188" s="288"/>
      <c r="G188" s="288">
        <f t="shared" ref="G188:N188" si="450">G111/F111-1</f>
        <v>0.29100485758109995</v>
      </c>
      <c r="H188" s="288">
        <f t="shared" si="450"/>
        <v>0.4735610955112779</v>
      </c>
      <c r="I188" s="288">
        <f t="shared" si="450"/>
        <v>0.29027975327103928</v>
      </c>
      <c r="J188" s="288">
        <f t="shared" si="450"/>
        <v>-9.3857472281861143E-2</v>
      </c>
      <c r="K188" s="288">
        <f t="shared" ca="1" si="450"/>
        <v>0.18363875972100008</v>
      </c>
      <c r="L188" s="288">
        <f t="shared" ca="1" si="450"/>
        <v>0.18962103248486062</v>
      </c>
      <c r="M188" s="288">
        <f t="shared" ca="1" si="450"/>
        <v>0.29767517696210444</v>
      </c>
      <c r="N188" s="288">
        <f t="shared" ca="1" si="450"/>
        <v>0.25824283831100447</v>
      </c>
      <c r="O188" s="288"/>
      <c r="P188" s="288"/>
      <c r="Q188" s="288"/>
      <c r="R188" s="288">
        <f t="shared" ref="R188:AZ188" si="451">R111/Q111-1</f>
        <v>0.31026620739505195</v>
      </c>
      <c r="S188" s="288">
        <f t="shared" si="451"/>
        <v>0.15352942606806796</v>
      </c>
      <c r="T188" s="289">
        <f t="shared" si="451"/>
        <v>-4.6588781188738215E-2</v>
      </c>
      <c r="U188" s="288">
        <f t="shared" si="451"/>
        <v>-0.10887964232422909</v>
      </c>
      <c r="V188" s="288">
        <f t="shared" si="451"/>
        <v>0.27251184589150301</v>
      </c>
      <c r="W188" s="288">
        <f t="shared" si="451"/>
        <v>0.18055375868986223</v>
      </c>
      <c r="X188" s="289">
        <f t="shared" si="451"/>
        <v>9.2444305896977053E-3</v>
      </c>
      <c r="Y188" s="288">
        <f t="shared" si="451"/>
        <v>-3.5321688306197863E-2</v>
      </c>
      <c r="Z188" s="288">
        <f t="shared" si="451"/>
        <v>0.31544108967821005</v>
      </c>
      <c r="AA188" s="288">
        <f t="shared" si="451"/>
        <v>0.1352781165875907</v>
      </c>
      <c r="AB188" s="289">
        <f t="shared" si="451"/>
        <v>1.8986042462218577E-2</v>
      </c>
      <c r="AC188" s="288">
        <f t="shared" si="451"/>
        <v>-0.14089435544720896</v>
      </c>
      <c r="AD188" s="288">
        <f t="shared" si="451"/>
        <v>0.36138410515734676</v>
      </c>
      <c r="AE188" s="288">
        <f t="shared" si="451"/>
        <v>8.2532268463609615E-2</v>
      </c>
      <c r="AF188" s="289">
        <f t="shared" si="451"/>
        <v>-3.2469754439422571E-2</v>
      </c>
      <c r="AG188" s="288">
        <f t="shared" si="451"/>
        <v>-0.21726964973680674</v>
      </c>
      <c r="AH188" s="288">
        <f t="shared" si="451"/>
        <v>0.15361261939005444</v>
      </c>
      <c r="AI188" s="288">
        <f t="shared" ca="1" si="451"/>
        <v>-5.5579216376698604E-2</v>
      </c>
      <c r="AJ188" s="289">
        <f t="shared" ca="1" si="451"/>
        <v>-5.6197436549264568E-2</v>
      </c>
      <c r="AK188" s="288">
        <f t="shared" ca="1" si="451"/>
        <v>-9.8139695659368642E-2</v>
      </c>
      <c r="AL188" s="288">
        <f t="shared" ca="1" si="451"/>
        <v>0.3440366990448227</v>
      </c>
      <c r="AM188" s="288">
        <f t="shared" ca="1" si="451"/>
        <v>0.13563933151962693</v>
      </c>
      <c r="AN188" s="289">
        <f t="shared" ca="1" si="451"/>
        <v>3.6105407255304645E-2</v>
      </c>
      <c r="AO188" s="288">
        <f t="shared" ca="1" si="451"/>
        <v>-0.15391760804667221</v>
      </c>
      <c r="AP188" s="288">
        <f t="shared" ca="1" si="451"/>
        <v>0.17214709837998932</v>
      </c>
      <c r="AQ188" s="288">
        <f t="shared" ca="1" si="451"/>
        <v>0.14424358569459605</v>
      </c>
      <c r="AR188" s="289">
        <f t="shared" ca="1" si="451"/>
        <v>-5.5878807335094649E-3</v>
      </c>
      <c r="AS188" s="288">
        <f t="shared" ca="1" si="451"/>
        <v>-4.9414826244217447E-2</v>
      </c>
      <c r="AT188" s="288">
        <f t="shared" ca="1" si="451"/>
        <v>0.21054778596034129</v>
      </c>
      <c r="AU188" s="288">
        <f t="shared" ca="1" si="451"/>
        <v>0.15613843407704775</v>
      </c>
      <c r="AV188" s="289">
        <f t="shared" ca="1" si="451"/>
        <v>-3.4608664198559458E-2</v>
      </c>
      <c r="AW188" s="288">
        <f t="shared" ca="1" si="451"/>
        <v>-5.8229171674603397E-2</v>
      </c>
      <c r="AX188" s="288">
        <f t="shared" ca="1" si="451"/>
        <v>0.17079950602649219</v>
      </c>
      <c r="AY188" s="288">
        <f t="shared" ca="1" si="451"/>
        <v>0.16115116715528388</v>
      </c>
      <c r="AZ188" s="288">
        <f t="shared" ca="1" si="451"/>
        <v>1.1837658089224545E-2</v>
      </c>
      <c r="BC188"/>
      <c r="BD188"/>
      <c r="BE188"/>
      <c r="BF188"/>
      <c r="BG188"/>
      <c r="BH188"/>
    </row>
    <row r="189" spans="1:60" s="279" customFormat="1" hidden="1" outlineLevel="1">
      <c r="A189" s="296"/>
      <c r="B189" s="9" t="s">
        <v>682</v>
      </c>
      <c r="E189" s="283"/>
      <c r="F189" s="284"/>
      <c r="G189" s="284"/>
      <c r="H189" s="284"/>
      <c r="I189" s="284"/>
      <c r="J189" s="284"/>
      <c r="K189" s="284"/>
      <c r="L189" s="284"/>
      <c r="M189" s="284"/>
      <c r="N189" s="284"/>
      <c r="O189" s="284"/>
      <c r="P189" s="284"/>
      <c r="Q189" s="284"/>
      <c r="R189" s="284"/>
      <c r="S189" s="284"/>
      <c r="T189" s="285"/>
      <c r="U189" s="284"/>
      <c r="V189" s="284"/>
      <c r="W189" s="284"/>
      <c r="X189" s="285"/>
      <c r="Y189" s="284"/>
      <c r="Z189" s="284"/>
      <c r="AA189" s="284"/>
      <c r="AB189" s="285"/>
      <c r="AC189" s="284"/>
      <c r="AD189" s="284"/>
      <c r="AE189" s="284"/>
      <c r="AF189" s="285"/>
      <c r="AG189" s="284"/>
      <c r="AH189" s="284"/>
      <c r="AI189" s="284"/>
      <c r="AJ189" s="285"/>
      <c r="AK189" s="284"/>
      <c r="AL189" s="284"/>
      <c r="AM189" s="284"/>
      <c r="AN189" s="285"/>
      <c r="AO189" s="284"/>
      <c r="AP189" s="284"/>
      <c r="AQ189" s="284"/>
      <c r="AR189" s="285"/>
      <c r="AS189" s="284"/>
      <c r="AT189" s="284"/>
      <c r="AU189" s="284"/>
      <c r="AV189" s="285"/>
      <c r="AW189" s="284"/>
      <c r="AX189" s="284"/>
      <c r="AY189" s="284"/>
      <c r="AZ189" s="284"/>
      <c r="BC189"/>
      <c r="BD189"/>
      <c r="BE189"/>
      <c r="BF189"/>
      <c r="BG189"/>
      <c r="BH189"/>
    </row>
    <row r="190" spans="1:60" s="279" customFormat="1" hidden="1" outlineLevel="1">
      <c r="A190" s="296"/>
      <c r="B190" s="3" t="s">
        <v>29</v>
      </c>
      <c r="E190" s="283"/>
      <c r="F190" s="284"/>
      <c r="G190" s="284">
        <f t="shared" ref="G190:N194" si="452">G116/F116-1</f>
        <v>1.1565663483803514</v>
      </c>
      <c r="H190" s="284">
        <f t="shared" si="452"/>
        <v>1.0484144713946808</v>
      </c>
      <c r="I190" s="284">
        <f t="shared" si="452"/>
        <v>0.77058817773332522</v>
      </c>
      <c r="J190" s="284">
        <f t="shared" si="452"/>
        <v>-0.14411714577394508</v>
      </c>
      <c r="K190" s="284">
        <f t="shared" ca="1" si="452"/>
        <v>-0.22766438350978213</v>
      </c>
      <c r="L190" s="284">
        <f t="shared" ca="1" si="452"/>
        <v>0.42812068845089102</v>
      </c>
      <c r="M190" s="284">
        <f t="shared" ca="1" si="452"/>
        <v>0.27017396502276569</v>
      </c>
      <c r="N190" s="284">
        <f t="shared" ca="1" si="452"/>
        <v>0.12515565883035484</v>
      </c>
      <c r="O190" s="284"/>
      <c r="P190" s="284"/>
      <c r="Q190" s="284"/>
      <c r="R190" s="284">
        <f t="shared" ref="R190:AZ190" si="453">R116/Q116-1</f>
        <v>0.19424714630067852</v>
      </c>
      <c r="S190" s="284">
        <f t="shared" si="453"/>
        <v>6.2252086205277113E-2</v>
      </c>
      <c r="T190" s="285">
        <f t="shared" si="453"/>
        <v>0.34391688076909199</v>
      </c>
      <c r="U190" s="284">
        <f t="shared" si="453"/>
        <v>5.7254429728714529E-2</v>
      </c>
      <c r="V190" s="284">
        <f t="shared" si="453"/>
        <v>0.26775792924897246</v>
      </c>
      <c r="W190" s="284">
        <f t="shared" si="453"/>
        <v>0.2776188993463129</v>
      </c>
      <c r="X190" s="285">
        <f t="shared" si="453"/>
        <v>0.41616968480100547</v>
      </c>
      <c r="Y190" s="284">
        <f t="shared" si="453"/>
        <v>7.4094348367093055E-2</v>
      </c>
      <c r="Z190" s="284">
        <f t="shared" si="453"/>
        <v>-7.4447853710969403E-3</v>
      </c>
      <c r="AA190" s="284">
        <f t="shared" si="453"/>
        <v>0.33461855988642175</v>
      </c>
      <c r="AB190" s="285">
        <f t="shared" si="453"/>
        <v>0.37581237274818169</v>
      </c>
      <c r="AC190" s="284">
        <f t="shared" si="453"/>
        <v>-0.16712176161234649</v>
      </c>
      <c r="AD190" s="284">
        <f t="shared" si="453"/>
        <v>0.33372161364327591</v>
      </c>
      <c r="AE190" s="284">
        <f t="shared" si="453"/>
        <v>0.55745246919955838</v>
      </c>
      <c r="AF190" s="285">
        <f t="shared" si="453"/>
        <v>-0.23705510679281827</v>
      </c>
      <c r="AG190" s="284">
        <f t="shared" si="453"/>
        <v>-0.12385702284936673</v>
      </c>
      <c r="AH190" s="284">
        <f t="shared" si="453"/>
        <v>5.137340496735554E-2</v>
      </c>
      <c r="AI190" s="284">
        <f t="shared" si="453"/>
        <v>-0.17895770430066527</v>
      </c>
      <c r="AJ190" s="285">
        <f t="shared" si="453"/>
        <v>-9.4998398162256303E-2</v>
      </c>
      <c r="AK190" s="284">
        <f t="shared" ca="1" si="453"/>
        <v>-0.19735209402759124</v>
      </c>
      <c r="AL190" s="284">
        <f t="shared" ca="1" si="453"/>
        <v>-1.9218684611115311E-2</v>
      </c>
      <c r="AM190" s="284">
        <f t="shared" ca="1" si="453"/>
        <v>0.34793569261708068</v>
      </c>
      <c r="AN190" s="285">
        <f t="shared" ca="1" si="453"/>
        <v>-5.5343177432132462E-2</v>
      </c>
      <c r="AO190" s="284">
        <f t="shared" ca="1" si="453"/>
        <v>0.18228070342535485</v>
      </c>
      <c r="AP190" s="284">
        <f t="shared" ca="1" si="453"/>
        <v>3.3317695779379042E-2</v>
      </c>
      <c r="AQ190" s="284">
        <f t="shared" ca="1" si="453"/>
        <v>0.10257813052256015</v>
      </c>
      <c r="AR190" s="285">
        <f t="shared" ca="1" si="453"/>
        <v>7.9490239441092125E-2</v>
      </c>
      <c r="AS190" s="284">
        <f t="shared" ca="1" si="453"/>
        <v>-5.1150955746505855E-2</v>
      </c>
      <c r="AT190" s="284">
        <f t="shared" ca="1" si="453"/>
        <v>0.11371372103647359</v>
      </c>
      <c r="AU190" s="284">
        <f t="shared" ca="1" si="453"/>
        <v>0.21173346547261174</v>
      </c>
      <c r="AV190" s="285">
        <f t="shared" ca="1" si="453"/>
        <v>-1.5486437683596033E-2</v>
      </c>
      <c r="AW190" s="284">
        <f t="shared" ca="1" si="453"/>
        <v>-0.12599649271594071</v>
      </c>
      <c r="AX190" s="284">
        <f t="shared" ca="1" si="453"/>
        <v>4.4134031847752997E-2</v>
      </c>
      <c r="AY190" s="284">
        <f t="shared" ca="1" si="453"/>
        <v>0.2745877113226971</v>
      </c>
      <c r="AZ190" s="284">
        <f t="shared" ca="1" si="453"/>
        <v>-4.7177319822103825E-2</v>
      </c>
      <c r="BC190"/>
      <c r="BD190"/>
      <c r="BE190"/>
      <c r="BF190"/>
      <c r="BG190"/>
      <c r="BH190"/>
    </row>
    <row r="191" spans="1:60" s="279" customFormat="1" hidden="1" outlineLevel="1">
      <c r="A191" s="296"/>
      <c r="B191" s="3" t="s">
        <v>34</v>
      </c>
      <c r="E191" s="283"/>
      <c r="F191" s="284"/>
      <c r="G191" s="284">
        <f t="shared" si="452"/>
        <v>0.74143680451091876</v>
      </c>
      <c r="H191" s="284">
        <f t="shared" si="452"/>
        <v>0.77785977084801616</v>
      </c>
      <c r="I191" s="284">
        <f t="shared" si="452"/>
        <v>0.25083307607686334</v>
      </c>
      <c r="J191" s="284">
        <f t="shared" si="452"/>
        <v>3.2966198839591954E-2</v>
      </c>
      <c r="K191" s="284">
        <f t="shared" ca="1" si="452"/>
        <v>0.10067737067332283</v>
      </c>
      <c r="L191" s="284">
        <f t="shared" ca="1" si="452"/>
        <v>0.16246322140873337</v>
      </c>
      <c r="M191" s="284">
        <f t="shared" ca="1" si="452"/>
        <v>0.15340510986693845</v>
      </c>
      <c r="N191" s="284">
        <f t="shared" ca="1" si="452"/>
        <v>0.1885189444184634</v>
      </c>
      <c r="O191" s="284"/>
      <c r="P191" s="284"/>
      <c r="Q191" s="284"/>
      <c r="R191" s="284">
        <f t="shared" ref="R191:AZ191" si="454">R117/Q117-1</f>
        <v>0.3239571750182475</v>
      </c>
      <c r="S191" s="284">
        <f t="shared" si="454"/>
        <v>0.1873526483982364</v>
      </c>
      <c r="T191" s="285">
        <f t="shared" si="454"/>
        <v>6.2235491284125199E-2</v>
      </c>
      <c r="U191" s="284">
        <f t="shared" si="454"/>
        <v>-1.7680471627885774E-2</v>
      </c>
      <c r="V191" s="284">
        <f t="shared" si="454"/>
        <v>0.36345701701390776</v>
      </c>
      <c r="W191" s="284">
        <f t="shared" si="454"/>
        <v>0.22420199406840569</v>
      </c>
      <c r="X191" s="285">
        <f t="shared" si="454"/>
        <v>0.12682837755190191</v>
      </c>
      <c r="Y191" s="284">
        <f t="shared" si="454"/>
        <v>7.2792400023497184E-2</v>
      </c>
      <c r="Z191" s="284">
        <f t="shared" si="454"/>
        <v>0.34263783912980195</v>
      </c>
      <c r="AA191" s="284">
        <f t="shared" si="454"/>
        <v>6.0639055434717593E-2</v>
      </c>
      <c r="AB191" s="285">
        <f t="shared" si="454"/>
        <v>1.2489204042335667E-2</v>
      </c>
      <c r="AC191" s="284">
        <f t="shared" si="454"/>
        <v>-0.11637128057408774</v>
      </c>
      <c r="AD191" s="284">
        <f t="shared" si="454"/>
        <v>0.27842019307361054</v>
      </c>
      <c r="AE191" s="284">
        <f t="shared" si="454"/>
        <v>9.1031831529858165E-2</v>
      </c>
      <c r="AF191" s="285">
        <f t="shared" si="454"/>
        <v>3.0894698766685602E-2</v>
      </c>
      <c r="AG191" s="284">
        <f t="shared" si="454"/>
        <v>-0.17819084993725498</v>
      </c>
      <c r="AH191" s="284">
        <f t="shared" si="454"/>
        <v>0.15945948821835287</v>
      </c>
      <c r="AI191" s="284">
        <f t="shared" si="454"/>
        <v>-1.0885324389780848E-2</v>
      </c>
      <c r="AJ191" s="285">
        <f t="shared" si="454"/>
        <v>1.3191677290868675E-2</v>
      </c>
      <c r="AK191" s="284">
        <f t="shared" ca="1" si="454"/>
        <v>-0.13057485510826217</v>
      </c>
      <c r="AL191" s="284">
        <f t="shared" ca="1" si="454"/>
        <v>0.18447948892328481</v>
      </c>
      <c r="AM191" s="284">
        <f t="shared" ca="1" si="454"/>
        <v>0.14138494681905489</v>
      </c>
      <c r="AN191" s="285">
        <f t="shared" ca="1" si="454"/>
        <v>-1.3035241120916474E-2</v>
      </c>
      <c r="AO191" s="284">
        <f t="shared" ca="1" si="454"/>
        <v>-9.8620291818428463E-2</v>
      </c>
      <c r="AP191" s="284">
        <f t="shared" ca="1" si="454"/>
        <v>0.17175998467109554</v>
      </c>
      <c r="AQ191" s="284">
        <f t="shared" ca="1" si="454"/>
        <v>8.0169314017985771E-2</v>
      </c>
      <c r="AR191" s="285">
        <f t="shared" ca="1" si="454"/>
        <v>3.5645456056905278E-3</v>
      </c>
      <c r="AS191" s="284">
        <f t="shared" ca="1" si="454"/>
        <v>-6.5799822853827683E-2</v>
      </c>
      <c r="AT191" s="284">
        <f t="shared" ca="1" si="454"/>
        <v>0.13673258214127659</v>
      </c>
      <c r="AU191" s="284">
        <f t="shared" ca="1" si="454"/>
        <v>8.4283175863533621E-2</v>
      </c>
      <c r="AV191" s="285">
        <f t="shared" ca="1" si="454"/>
        <v>-2.1061335440513473E-2</v>
      </c>
      <c r="AW191" s="284">
        <f t="shared" ca="1" si="454"/>
        <v>-8.0178225348294108E-3</v>
      </c>
      <c r="AX191" s="284">
        <f t="shared" ca="1" si="454"/>
        <v>0.12020508431028354</v>
      </c>
      <c r="AY191" s="284">
        <f t="shared" ca="1" si="454"/>
        <v>8.0273774692592781E-2</v>
      </c>
      <c r="AZ191" s="284">
        <f t="shared" ca="1" si="454"/>
        <v>2.7471858671042071E-3</v>
      </c>
      <c r="BC191"/>
      <c r="BD191"/>
      <c r="BE191"/>
      <c r="BF191"/>
      <c r="BG191"/>
      <c r="BH191"/>
    </row>
    <row r="192" spans="1:60" s="202" customFormat="1" hidden="1" outlineLevel="1">
      <c r="A192" s="296"/>
      <c r="B192" s="3" t="s">
        <v>33</v>
      </c>
      <c r="E192" s="205"/>
      <c r="F192" s="284"/>
      <c r="G192" s="284">
        <f t="shared" si="452"/>
        <v>0.75268979705933781</v>
      </c>
      <c r="H192" s="284">
        <f t="shared" si="452"/>
        <v>0.71363486683321042</v>
      </c>
      <c r="I192" s="284">
        <f t="shared" si="452"/>
        <v>0.43931772210804798</v>
      </c>
      <c r="J192" s="284">
        <f t="shared" si="452"/>
        <v>-4.3089919823479983E-2</v>
      </c>
      <c r="K192" s="284">
        <f t="shared" ca="1" si="452"/>
        <v>0.21487068818189736</v>
      </c>
      <c r="L192" s="284">
        <f t="shared" ca="1" si="452"/>
        <v>0.18260332909864108</v>
      </c>
      <c r="M192" s="284">
        <f t="shared" ca="1" si="452"/>
        <v>0.20791678506374223</v>
      </c>
      <c r="N192" s="284">
        <f t="shared" ca="1" si="452"/>
        <v>0.16766027478811441</v>
      </c>
      <c r="O192" s="284"/>
      <c r="P192" s="284"/>
      <c r="Q192" s="284"/>
      <c r="R192" s="284">
        <f t="shared" ref="R192:AZ192" si="455">R118/Q118-1</f>
        <v>0.21080214359027716</v>
      </c>
      <c r="S192" s="284">
        <f t="shared" si="455"/>
        <v>0.12996652199899228</v>
      </c>
      <c r="T192" s="285">
        <f t="shared" si="455"/>
        <v>0.11283832136597294</v>
      </c>
      <c r="U192" s="284">
        <f t="shared" si="455"/>
        <v>0.13961388450085988</v>
      </c>
      <c r="V192" s="284">
        <f t="shared" si="455"/>
        <v>0.20578317522625666</v>
      </c>
      <c r="W192" s="284">
        <f t="shared" si="455"/>
        <v>0.13368993024430886</v>
      </c>
      <c r="X192" s="285">
        <f t="shared" si="455"/>
        <v>0.15612969612006444</v>
      </c>
      <c r="Y192" s="284">
        <f t="shared" si="455"/>
        <v>2.718030626571788E-2</v>
      </c>
      <c r="Z192" s="284">
        <f t="shared" si="455"/>
        <v>0.36197516103681493</v>
      </c>
      <c r="AA192" s="284">
        <f t="shared" si="455"/>
        <v>5.3198952505184582E-2</v>
      </c>
      <c r="AB192" s="285">
        <f t="shared" si="455"/>
        <v>0.145624140669951</v>
      </c>
      <c r="AC192" s="284">
        <f t="shared" si="455"/>
        <v>8.4087071368173172E-2</v>
      </c>
      <c r="AD192" s="284">
        <f t="shared" si="455"/>
        <v>0.17874479692943424</v>
      </c>
      <c r="AE192" s="284">
        <f t="shared" si="455"/>
        <v>-2.4580492737363624E-2</v>
      </c>
      <c r="AF192" s="285">
        <f t="shared" si="455"/>
        <v>-7.2536974132351384E-2</v>
      </c>
      <c r="AG192" s="284">
        <f t="shared" si="455"/>
        <v>-0.15625357711249077</v>
      </c>
      <c r="AH192" s="284">
        <f t="shared" si="455"/>
        <v>0.140947943064331</v>
      </c>
      <c r="AI192" s="284">
        <f t="shared" si="455"/>
        <v>7.4530825191236882E-2</v>
      </c>
      <c r="AJ192" s="285">
        <f t="shared" si="455"/>
        <v>6.6228218589993615E-2</v>
      </c>
      <c r="AK192" s="284">
        <f t="shared" si="455"/>
        <v>-2.7175313369427245E-2</v>
      </c>
      <c r="AL192" s="284">
        <f t="shared" si="455"/>
        <v>8.579243075807752E-2</v>
      </c>
      <c r="AM192" s="284">
        <f t="shared" si="455"/>
        <v>2.6555386949924209E-2</v>
      </c>
      <c r="AN192" s="285">
        <f t="shared" si="455"/>
        <v>0.13488543976348844</v>
      </c>
      <c r="AO192" s="284">
        <f t="shared" ca="1" si="455"/>
        <v>-4.1327895233118306E-2</v>
      </c>
      <c r="AP192" s="284">
        <f t="shared" ca="1" si="455"/>
        <v>1.691367360016649E-2</v>
      </c>
      <c r="AQ192" s="284">
        <f t="shared" ca="1" si="455"/>
        <v>0.1093179755340481</v>
      </c>
      <c r="AR192" s="285">
        <f t="shared" ca="1" si="455"/>
        <v>7.2260402293763626E-2</v>
      </c>
      <c r="AS192" s="284">
        <f t="shared" ca="1" si="455"/>
        <v>2.0746244407237491E-2</v>
      </c>
      <c r="AT192" s="284">
        <f t="shared" ca="1" si="455"/>
        <v>5.3662714361858654E-2</v>
      </c>
      <c r="AU192" s="284">
        <f t="shared" ca="1" si="455"/>
        <v>2.8068921766353228E-2</v>
      </c>
      <c r="AV192" s="285">
        <f t="shared" ca="1" si="455"/>
        <v>3.6948239989866183E-2</v>
      </c>
      <c r="AW192" s="284">
        <f t="shared" ca="1" si="455"/>
        <v>4.9241832079349512E-2</v>
      </c>
      <c r="AX192" s="284">
        <f t="shared" ca="1" si="455"/>
        <v>3.3440677957178977E-2</v>
      </c>
      <c r="AY192" s="284">
        <f t="shared" ca="1" si="455"/>
        <v>2.3705619767819819E-2</v>
      </c>
      <c r="AZ192" s="284">
        <f t="shared" ca="1" si="455"/>
        <v>6.7487063436949324E-2</v>
      </c>
      <c r="BC192"/>
      <c r="BD192"/>
      <c r="BE192"/>
      <c r="BF192"/>
      <c r="BG192"/>
      <c r="BH192"/>
    </row>
    <row r="193" spans="1:60" s="202" customFormat="1" hidden="1" outlineLevel="1">
      <c r="A193" s="296"/>
      <c r="B193" s="3" t="s">
        <v>99</v>
      </c>
      <c r="E193" s="205"/>
      <c r="F193" s="284"/>
      <c r="G193" s="284">
        <f t="shared" ca="1" si="452"/>
        <v>1.4270213597226551</v>
      </c>
      <c r="H193" s="284">
        <f t="shared" ca="1" si="452"/>
        <v>0.89124016048872012</v>
      </c>
      <c r="I193" s="284">
        <f t="shared" ca="1" si="452"/>
        <v>0.44090901254999326</v>
      </c>
      <c r="J193" s="284">
        <f t="shared" ca="1" si="452"/>
        <v>0.23874563688733219</v>
      </c>
      <c r="K193" s="290">
        <f t="shared" ca="1" si="452"/>
        <v>0.84800022213717696</v>
      </c>
      <c r="L193" s="290">
        <f t="shared" ca="1" si="452"/>
        <v>0.32556821479598352</v>
      </c>
      <c r="M193" s="290">
        <f t="shared" ca="1" si="452"/>
        <v>0.15748349025582997</v>
      </c>
      <c r="N193" s="290">
        <f t="shared" ca="1" si="452"/>
        <v>0.13757362570788767</v>
      </c>
      <c r="O193" s="284"/>
      <c r="P193" s="284"/>
      <c r="Q193" s="284"/>
      <c r="R193" s="284">
        <f t="shared" ref="R193:AZ193" si="456">R119/Q119-1</f>
        <v>0.49708573759981345</v>
      </c>
      <c r="S193" s="284">
        <f t="shared" si="456"/>
        <v>5.7347530707987149E-2</v>
      </c>
      <c r="T193" s="285">
        <f t="shared" si="456"/>
        <v>0.14514792790470743</v>
      </c>
      <c r="U193" s="284">
        <f t="shared" si="456"/>
        <v>0.71286635263098663</v>
      </c>
      <c r="V193" s="284">
        <f t="shared" si="456"/>
        <v>-0.2562369769668299</v>
      </c>
      <c r="W193" s="284">
        <f t="shared" si="456"/>
        <v>0.72619318038413971</v>
      </c>
      <c r="X193" s="285">
        <f t="shared" si="456"/>
        <v>0.22950280362899989</v>
      </c>
      <c r="Y193" s="284">
        <f t="shared" si="456"/>
        <v>-3.3386847425377675E-2</v>
      </c>
      <c r="Z193" s="284">
        <f t="shared" si="456"/>
        <v>0.3046473718205025</v>
      </c>
      <c r="AA193" s="284">
        <f t="shared" si="456"/>
        <v>6.4722523457023007E-2</v>
      </c>
      <c r="AB193" s="285">
        <f t="shared" si="456"/>
        <v>0.4509802184955074</v>
      </c>
      <c r="AC193" s="284">
        <f t="shared" si="456"/>
        <v>-0.13823033913616734</v>
      </c>
      <c r="AD193" s="284">
        <f t="shared" si="456"/>
        <v>0.21123797651258669</v>
      </c>
      <c r="AE193" s="284">
        <f t="shared" si="456"/>
        <v>0.13590830677465582</v>
      </c>
      <c r="AF193" s="285">
        <f t="shared" si="456"/>
        <v>-0.16476529761230618</v>
      </c>
      <c r="AG193" s="284">
        <f t="shared" si="456"/>
        <v>-8.5801369567495289E-2</v>
      </c>
      <c r="AH193" s="284">
        <f t="shared" si="456"/>
        <v>0.28306269194076372</v>
      </c>
      <c r="AI193" s="284">
        <f t="shared" si="456"/>
        <v>2.3861758392470955E-2</v>
      </c>
      <c r="AJ193" s="285">
        <f t="shared" si="456"/>
        <v>0.51323227890816048</v>
      </c>
      <c r="AK193" s="284">
        <f t="shared" si="456"/>
        <v>8.0838673682748219E-3</v>
      </c>
      <c r="AL193" s="284">
        <f t="shared" si="456"/>
        <v>0.25828482992968405</v>
      </c>
      <c r="AM193" s="284">
        <f t="shared" si="456"/>
        <v>5.3475935828876997E-2</v>
      </c>
      <c r="AN193" s="285">
        <f t="shared" si="456"/>
        <v>0.18147208121827418</v>
      </c>
      <c r="AO193" s="284">
        <f t="shared" ca="1" si="456"/>
        <v>-0.10632119460504619</v>
      </c>
      <c r="AP193" s="284">
        <f t="shared" ca="1" si="456"/>
        <v>0.19711169705746356</v>
      </c>
      <c r="AQ193" s="284">
        <f t="shared" ca="1" si="456"/>
        <v>9.210712541349575E-2</v>
      </c>
      <c r="AR193" s="285">
        <f t="shared" ca="1" si="456"/>
        <v>5.022677310376733E-2</v>
      </c>
      <c r="AS193" s="284">
        <f t="shared" ca="1" si="456"/>
        <v>-0.12586547132023618</v>
      </c>
      <c r="AT193" s="284">
        <f t="shared" ca="1" si="456"/>
        <v>0.15324919516894142</v>
      </c>
      <c r="AU193" s="284">
        <f t="shared" ca="1" si="456"/>
        <v>9.4589451565412874E-2</v>
      </c>
      <c r="AV193" s="285">
        <f t="shared" ca="1" si="456"/>
        <v>2.0539433816210373E-2</v>
      </c>
      <c r="AW193" s="284">
        <f t="shared" ca="1" si="456"/>
        <v>-0.10979446584928898</v>
      </c>
      <c r="AX193" s="284">
        <f t="shared" ca="1" si="456"/>
        <v>0.13407980081745929</v>
      </c>
      <c r="AY193" s="284">
        <f t="shared" ca="1" si="456"/>
        <v>8.7854308467786968E-2</v>
      </c>
      <c r="AZ193" s="284">
        <f t="shared" ca="1" si="456"/>
        <v>5.2217528242506805E-2</v>
      </c>
      <c r="BC193"/>
      <c r="BD193"/>
      <c r="BE193"/>
      <c r="BF193"/>
      <c r="BG193"/>
      <c r="BH193"/>
    </row>
    <row r="194" spans="1:60" s="202" customFormat="1" hidden="1" outlineLevel="1">
      <c r="A194" s="296"/>
      <c r="B194" s="3" t="s">
        <v>87</v>
      </c>
      <c r="E194" s="205"/>
      <c r="F194" s="284"/>
      <c r="G194" s="284">
        <f t="shared" ca="1" si="452"/>
        <v>0.93093094467705084</v>
      </c>
      <c r="H194" s="284">
        <f t="shared" ca="1" si="452"/>
        <v>0.87095044214316997</v>
      </c>
      <c r="I194" s="284">
        <f t="shared" ca="1" si="452"/>
        <v>0.56954347388251958</v>
      </c>
      <c r="J194" s="284">
        <f t="shared" ca="1" si="452"/>
        <v>-7.4519125008324916E-2</v>
      </c>
      <c r="K194" s="284">
        <f t="shared" ca="1" si="452"/>
        <v>3.3168104199384318E-2</v>
      </c>
      <c r="L194" s="284">
        <f t="shared" ca="1" si="452"/>
        <v>0.28496134014651653</v>
      </c>
      <c r="M194" s="284">
        <f t="shared" ca="1" si="452"/>
        <v>0.22115904498836936</v>
      </c>
      <c r="N194" s="284">
        <f t="shared" ca="1" si="452"/>
        <v>0.14858424966201933</v>
      </c>
      <c r="O194" s="284"/>
      <c r="P194" s="284"/>
      <c r="Q194" s="284"/>
      <c r="R194" s="284">
        <f t="shared" ref="R194:AZ194" si="457">R120/Q120-1</f>
        <v>0.22942549237233822</v>
      </c>
      <c r="S194" s="284">
        <f t="shared" si="457"/>
        <v>0.10956295364793611</v>
      </c>
      <c r="T194" s="285">
        <f t="shared" si="457"/>
        <v>0.18819179387415685</v>
      </c>
      <c r="U194" s="284">
        <f t="shared" si="457"/>
        <v>0.11033583498220811</v>
      </c>
      <c r="V194" s="284">
        <f t="shared" si="457"/>
        <v>0.21765823639485316</v>
      </c>
      <c r="W194" s="284">
        <f t="shared" si="457"/>
        <v>0.22532369028711297</v>
      </c>
      <c r="X194" s="285">
        <f t="shared" si="457"/>
        <v>0.26338048314550444</v>
      </c>
      <c r="Y194" s="284">
        <f t="shared" si="457"/>
        <v>5.0767221834712384E-2</v>
      </c>
      <c r="Z194" s="284">
        <f t="shared" si="457"/>
        <v>0.18278578255020483</v>
      </c>
      <c r="AA194" s="284">
        <f t="shared" si="457"/>
        <v>0.16610732124062988</v>
      </c>
      <c r="AB194" s="285">
        <f t="shared" si="457"/>
        <v>0.24898038175495696</v>
      </c>
      <c r="AC194" s="284">
        <f t="shared" si="457"/>
        <v>-7.3619444380151666E-2</v>
      </c>
      <c r="AD194" s="284">
        <f t="shared" si="457"/>
        <v>0.25925484436985036</v>
      </c>
      <c r="AE194" s="284">
        <f t="shared" si="457"/>
        <v>0.271002987493421</v>
      </c>
      <c r="AF194" s="285">
        <f t="shared" si="457"/>
        <v>-0.16411654717940505</v>
      </c>
      <c r="AG194" s="284">
        <f t="shared" si="457"/>
        <v>-0.13798951357249489</v>
      </c>
      <c r="AH194" s="284">
        <f t="shared" si="457"/>
        <v>0.10134370248919589</v>
      </c>
      <c r="AI194" s="284">
        <f t="shared" si="457"/>
        <v>-6.7555670213160335E-2</v>
      </c>
      <c r="AJ194" s="285">
        <f t="shared" si="457"/>
        <v>1.5481134083939585E-2</v>
      </c>
      <c r="AK194" s="284">
        <f t="shared" ca="1" si="457"/>
        <v>-0.10368510086685223</v>
      </c>
      <c r="AL194" s="284">
        <f t="shared" ca="1" si="457"/>
        <v>7.6101539964645415E-2</v>
      </c>
      <c r="AM194" s="284">
        <f t="shared" ca="1" si="457"/>
        <v>0.14896415652745798</v>
      </c>
      <c r="AN194" s="285">
        <f t="shared" ca="1" si="457"/>
        <v>4.9799656554092797E-2</v>
      </c>
      <c r="AO194" s="284">
        <f t="shared" ca="1" si="457"/>
        <v>2.2240590470513188E-2</v>
      </c>
      <c r="AP194" s="284">
        <f t="shared" ca="1" si="457"/>
        <v>5.8003774213266412E-2</v>
      </c>
      <c r="AQ194" s="284">
        <f t="shared" ca="1" si="457"/>
        <v>0.10148472482223614</v>
      </c>
      <c r="AR194" s="285">
        <f t="shared" ca="1" si="457"/>
        <v>6.538474401130201E-2</v>
      </c>
      <c r="AS194" s="284">
        <f t="shared" ca="1" si="457"/>
        <v>-3.4221314665551117E-2</v>
      </c>
      <c r="AT194" s="284">
        <f t="shared" ca="1" si="457"/>
        <v>9.5960285252283617E-2</v>
      </c>
      <c r="AU194" s="284">
        <f t="shared" ca="1" si="457"/>
        <v>0.11442378403846076</v>
      </c>
      <c r="AV194" s="285">
        <f t="shared" ca="1" si="457"/>
        <v>6.9269817012815871E-3</v>
      </c>
      <c r="AW194" s="284">
        <f t="shared" ca="1" si="457"/>
        <v>-4.8692747248886503E-2</v>
      </c>
      <c r="AX194" s="284">
        <f t="shared" ca="1" si="457"/>
        <v>5.6776826178511763E-2</v>
      </c>
      <c r="AY194" s="284">
        <f t="shared" ca="1" si="457"/>
        <v>0.13335109547832147</v>
      </c>
      <c r="AZ194" s="284">
        <f t="shared" ca="1" si="457"/>
        <v>9.9921366021449298E-3</v>
      </c>
      <c r="BC194"/>
      <c r="BD194"/>
      <c r="BE194"/>
      <c r="BF194"/>
      <c r="BG194"/>
      <c r="BH194"/>
    </row>
    <row r="195" spans="1:60" s="203" customFormat="1" hidden="1" outlineLevel="1">
      <c r="A195" s="296"/>
      <c r="B195" s="9" t="s">
        <v>685</v>
      </c>
      <c r="E195" s="81"/>
      <c r="F195" s="85"/>
      <c r="G195" s="85">
        <f t="shared" ref="G195:N195" ca="1" si="458">G122/F122-1</f>
        <v>1.2704364727471162E-2</v>
      </c>
      <c r="H195" s="85">
        <f t="shared" ca="1" si="458"/>
        <v>0.1440390753163947</v>
      </c>
      <c r="I195" s="85">
        <f t="shared" ca="1" si="458"/>
        <v>-8.8427974115425356E-2</v>
      </c>
      <c r="J195" s="85">
        <f t="shared" ca="1" si="458"/>
        <v>-0.13901096632033816</v>
      </c>
      <c r="K195" s="85">
        <f t="shared" ca="1" si="458"/>
        <v>0.56129237701361689</v>
      </c>
      <c r="L195" s="85">
        <f t="shared" ca="1" si="458"/>
        <v>3.1275747531444908E-2</v>
      </c>
      <c r="M195" s="85">
        <f t="shared" ca="1" si="458"/>
        <v>0.45601744135858691</v>
      </c>
      <c r="N195" s="288">
        <f t="shared" ca="1" si="458"/>
        <v>0.44856622147563852</v>
      </c>
      <c r="O195" s="288"/>
      <c r="P195" s="288"/>
      <c r="Q195" s="288"/>
      <c r="R195" s="288">
        <f t="shared" ref="R195:AZ195" si="459">R122/Q122-1</f>
        <v>0.34589278525206701</v>
      </c>
      <c r="S195" s="288">
        <f t="shared" si="459"/>
        <v>0.17122877669421444</v>
      </c>
      <c r="T195" s="289">
        <f t="shared" si="459"/>
        <v>-0.13612692488866018</v>
      </c>
      <c r="U195" s="288">
        <f t="shared" si="459"/>
        <v>-0.22386796742372472</v>
      </c>
      <c r="V195" s="288">
        <f t="shared" si="459"/>
        <v>0.3136747960859354</v>
      </c>
      <c r="W195" s="288">
        <f t="shared" si="459"/>
        <v>0.14941328195353387</v>
      </c>
      <c r="X195" s="289">
        <f t="shared" si="459"/>
        <v>-0.17919844589499323</v>
      </c>
      <c r="Y195" s="288">
        <f t="shared" si="459"/>
        <v>-0.13357713816828054</v>
      </c>
      <c r="Z195" s="288">
        <f t="shared" si="459"/>
        <v>0.49905715701242737</v>
      </c>
      <c r="AA195" s="288">
        <f t="shared" si="459"/>
        <v>0.10160864689863236</v>
      </c>
      <c r="AB195" s="289">
        <f t="shared" si="459"/>
        <v>-0.24690413159172298</v>
      </c>
      <c r="AC195" s="288">
        <f t="shared" si="459"/>
        <v>-0.26988066738459759</v>
      </c>
      <c r="AD195" s="288">
        <f t="shared" si="459"/>
        <v>0.60983253940378845</v>
      </c>
      <c r="AE195" s="288">
        <f t="shared" si="459"/>
        <v>-0.2761111717953143</v>
      </c>
      <c r="AF195" s="289">
        <f t="shared" si="459"/>
        <v>0.40737962600212207</v>
      </c>
      <c r="AG195" s="288">
        <f t="shared" si="459"/>
        <v>-0.37459277213684472</v>
      </c>
      <c r="AH195" s="288">
        <f t="shared" si="459"/>
        <v>0.29657485263964167</v>
      </c>
      <c r="AI195" s="288">
        <f t="shared" ca="1" si="459"/>
        <v>-2.775446154146699E-2</v>
      </c>
      <c r="AJ195" s="289">
        <f t="shared" ca="1" si="459"/>
        <v>-0.21591011439158025</v>
      </c>
      <c r="AK195" s="288">
        <f t="shared" ca="1" si="459"/>
        <v>-8.2137139917790258E-2</v>
      </c>
      <c r="AL195" s="288">
        <f t="shared" ca="1" si="459"/>
        <v>1.0990743132137988</v>
      </c>
      <c r="AM195" s="288">
        <f t="shared" ca="1" si="459"/>
        <v>0.11638954869358664</v>
      </c>
      <c r="AN195" s="289">
        <f t="shared" ca="1" si="459"/>
        <v>1.574468085106373E-2</v>
      </c>
      <c r="AO195" s="288">
        <f t="shared" ca="1" si="459"/>
        <v>-0.4246123177915555</v>
      </c>
      <c r="AP195" s="288">
        <f t="shared" ca="1" si="459"/>
        <v>0.48376326842795048</v>
      </c>
      <c r="AQ195" s="288">
        <f t="shared" ca="1" si="459"/>
        <v>0.22748092651628449</v>
      </c>
      <c r="AR195" s="289">
        <f t="shared" ca="1" si="459"/>
        <v>-0.12956646243881698</v>
      </c>
      <c r="AS195" s="288">
        <f t="shared" ca="1" si="459"/>
        <v>-8.1899971701592023E-2</v>
      </c>
      <c r="AT195" s="288">
        <f t="shared" ca="1" si="459"/>
        <v>0.4682698003302872</v>
      </c>
      <c r="AU195" s="288">
        <f t="shared" ca="1" si="459"/>
        <v>0.22616967550910871</v>
      </c>
      <c r="AV195" s="289">
        <f t="shared" ca="1" si="459"/>
        <v>-9.7984542316732814E-2</v>
      </c>
      <c r="AW195" s="288">
        <f t="shared" ca="1" si="459"/>
        <v>-7.4472409059197053E-2</v>
      </c>
      <c r="AX195" s="288">
        <f t="shared" ca="1" si="459"/>
        <v>0.37042210315071666</v>
      </c>
      <c r="AY195" s="288">
        <f t="shared" ca="1" si="459"/>
        <v>0.19868244055262241</v>
      </c>
      <c r="AZ195" s="288">
        <f t="shared" ca="1" si="459"/>
        <v>1.419339515593987E-2</v>
      </c>
      <c r="BC195"/>
      <c r="BD195"/>
      <c r="BE195"/>
      <c r="BF195"/>
      <c r="BG195"/>
      <c r="BH195"/>
    </row>
    <row r="196" spans="1:60" s="202" customFormat="1" hidden="1" outlineLevel="1">
      <c r="A196" s="296"/>
      <c r="B196" s="3" t="s">
        <v>125</v>
      </c>
      <c r="E196" s="205"/>
      <c r="F196" s="38"/>
      <c r="G196" s="38">
        <f t="shared" ref="G196:N199" si="460">G126/F126-1</f>
        <v>0.51020756753013674</v>
      </c>
      <c r="H196" s="38">
        <f t="shared" si="460"/>
        <v>0.52293010082977864</v>
      </c>
      <c r="I196" s="38">
        <f t="shared" si="460"/>
        <v>0.18557339405806261</v>
      </c>
      <c r="J196" s="38">
        <f t="shared" si="460"/>
        <v>-8.888815524381366E-3</v>
      </c>
      <c r="K196" s="38">
        <f t="shared" si="460"/>
        <v>0.34692443002334716</v>
      </c>
      <c r="L196" s="38">
        <f t="shared" ca="1" si="460"/>
        <v>0.39454248897374611</v>
      </c>
      <c r="M196" s="38">
        <f t="shared" ca="1" si="460"/>
        <v>0.17065822200383418</v>
      </c>
      <c r="N196" s="38">
        <f t="shared" ca="1" si="460"/>
        <v>0.24234151031419082</v>
      </c>
      <c r="O196" s="38"/>
      <c r="P196" s="38"/>
      <c r="Q196" s="38"/>
      <c r="R196" s="38">
        <f t="shared" ref="R196:AZ196" si="461">R126/Q126-1</f>
        <v>0.11563659109365054</v>
      </c>
      <c r="S196" s="38">
        <f t="shared" si="461"/>
        <v>0.12247758536741293</v>
      </c>
      <c r="T196" s="218">
        <f t="shared" si="461"/>
        <v>0.10658546203391328</v>
      </c>
      <c r="U196" s="38">
        <f t="shared" si="461"/>
        <v>8.485642788134129E-2</v>
      </c>
      <c r="V196" s="38">
        <f t="shared" si="461"/>
        <v>0.15994919466981994</v>
      </c>
      <c r="W196" s="38">
        <f t="shared" si="461"/>
        <v>9.757686171970148E-2</v>
      </c>
      <c r="X196" s="218">
        <f t="shared" si="461"/>
        <v>5.4755720682755138E-2</v>
      </c>
      <c r="Y196" s="38">
        <f t="shared" si="461"/>
        <v>0.14017373247590514</v>
      </c>
      <c r="Z196" s="38">
        <f t="shared" si="461"/>
        <v>0.10561985244162631</v>
      </c>
      <c r="AA196" s="38">
        <f t="shared" si="461"/>
        <v>0.15645685012138788</v>
      </c>
      <c r="AB196" s="218">
        <f t="shared" si="461"/>
        <v>6.8585502090919181E-2</v>
      </c>
      <c r="AC196" s="38">
        <f t="shared" si="461"/>
        <v>-2.0833842213436538E-2</v>
      </c>
      <c r="AD196" s="38">
        <f t="shared" si="461"/>
        <v>9.1426962668363032E-2</v>
      </c>
      <c r="AE196" s="38">
        <f t="shared" si="461"/>
        <v>5.9556947249328474E-3</v>
      </c>
      <c r="AF196" s="218">
        <f t="shared" si="461"/>
        <v>-7.0509647484221172E-2</v>
      </c>
      <c r="AG196" s="38">
        <f t="shared" si="461"/>
        <v>4.0848574795931736E-2</v>
      </c>
      <c r="AH196" s="38">
        <f t="shared" si="461"/>
        <v>-0.18329027712541091</v>
      </c>
      <c r="AI196" s="38">
        <f t="shared" si="461"/>
        <v>0.28848511986065706</v>
      </c>
      <c r="AJ196" s="218">
        <f t="shared" si="461"/>
        <v>6.4370293380604515E-3</v>
      </c>
      <c r="AK196" s="38">
        <f t="shared" si="461"/>
        <v>2.7602930881006627E-2</v>
      </c>
      <c r="AL196" s="38">
        <f t="shared" si="461"/>
        <v>9.7456275153250838E-2</v>
      </c>
      <c r="AM196" s="38">
        <f t="shared" si="461"/>
        <v>0.2303370786516854</v>
      </c>
      <c r="AN196" s="218">
        <f t="shared" si="461"/>
        <v>4.6803652968036458E-2</v>
      </c>
      <c r="AO196" s="38">
        <f t="shared" ca="1" si="461"/>
        <v>8.1031045120359302E-2</v>
      </c>
      <c r="AP196" s="38">
        <f t="shared" ca="1" si="461"/>
        <v>8.8742643468404658E-2</v>
      </c>
      <c r="AQ196" s="38">
        <f t="shared" ca="1" si="461"/>
        <v>8.3015195781874551E-2</v>
      </c>
      <c r="AR196" s="218">
        <f t="shared" ca="1" si="461"/>
        <v>-8.5045795093230403E-3</v>
      </c>
      <c r="AS196" s="38">
        <f t="shared" ca="1" si="461"/>
        <v>5.9120175231347716E-2</v>
      </c>
      <c r="AT196" s="38">
        <f t="shared" ca="1" si="461"/>
        <v>-2.6642388119140104E-2</v>
      </c>
      <c r="AU196" s="38">
        <f t="shared" ca="1" si="461"/>
        <v>0.1172389559614293</v>
      </c>
      <c r="AV196" s="218">
        <f t="shared" ca="1" si="461"/>
        <v>4.2836761500617548E-2</v>
      </c>
      <c r="AW196" s="38">
        <f t="shared" ca="1" si="461"/>
        <v>7.5599929059995796E-2</v>
      </c>
      <c r="AX196" s="38">
        <f t="shared" ca="1" si="461"/>
        <v>5.8258741216792309E-3</v>
      </c>
      <c r="AY196" s="38">
        <f t="shared" ca="1" si="461"/>
        <v>0.1046869147230014</v>
      </c>
      <c r="AZ196" s="38">
        <f t="shared" ca="1" si="461"/>
        <v>3.9929233851651702E-2</v>
      </c>
      <c r="BC196"/>
      <c r="BD196"/>
      <c r="BE196"/>
      <c r="BF196"/>
      <c r="BG196"/>
      <c r="BH196"/>
    </row>
    <row r="197" spans="1:60" s="202" customFormat="1" hidden="1" outlineLevel="1">
      <c r="A197" s="296"/>
      <c r="B197" s="3" t="s">
        <v>124</v>
      </c>
      <c r="E197" s="205"/>
      <c r="F197" s="38"/>
      <c r="G197" s="38">
        <f t="shared" si="460"/>
        <v>3.1451551591459062</v>
      </c>
      <c r="H197" s="38">
        <f t="shared" si="460"/>
        <v>0.40593490261337917</v>
      </c>
      <c r="I197" s="38">
        <f t="shared" si="460"/>
        <v>0.65676431143021219</v>
      </c>
      <c r="J197" s="38">
        <f t="shared" si="460"/>
        <v>0.11155047945350161</v>
      </c>
      <c r="K197" s="38">
        <f t="shared" si="460"/>
        <v>0.39517364944599098</v>
      </c>
      <c r="L197" s="38">
        <f t="shared" ca="1" si="460"/>
        <v>-2.7492581881412348E-2</v>
      </c>
      <c r="M197" s="38">
        <f t="shared" ca="1" si="460"/>
        <v>-0.12088691343549274</v>
      </c>
      <c r="N197" s="38">
        <f t="shared" ca="1" si="460"/>
        <v>-0.1337270584026109</v>
      </c>
      <c r="O197" s="38"/>
      <c r="P197" s="38"/>
      <c r="Q197" s="38"/>
      <c r="R197" s="38">
        <f t="shared" ref="R197:AZ197" si="462">R127/Q127-1</f>
        <v>8.334650023700485E-3</v>
      </c>
      <c r="S197" s="38">
        <f t="shared" si="462"/>
        <v>-5.9740666745015214E-2</v>
      </c>
      <c r="T197" s="218">
        <f t="shared" si="462"/>
        <v>0.37538538455128756</v>
      </c>
      <c r="U197" s="38">
        <f t="shared" si="462"/>
        <v>1.7034411729068215</v>
      </c>
      <c r="V197" s="38">
        <f t="shared" si="462"/>
        <v>2.2443582905676385E-2</v>
      </c>
      <c r="W197" s="38">
        <f t="shared" si="462"/>
        <v>0.29734024482460097</v>
      </c>
      <c r="X197" s="218">
        <f t="shared" si="462"/>
        <v>0.25194921482332466</v>
      </c>
      <c r="Y197" s="38">
        <f t="shared" si="462"/>
        <v>-0.17828442651156817</v>
      </c>
      <c r="Z197" s="38">
        <f t="shared" si="462"/>
        <v>0.19921336136109824</v>
      </c>
      <c r="AA197" s="38">
        <f t="shared" si="462"/>
        <v>0.21310554965935169</v>
      </c>
      <c r="AB197" s="218">
        <f t="shared" si="462"/>
        <v>3.6163415515217068E-2</v>
      </c>
      <c r="AC197" s="38">
        <f t="shared" si="462"/>
        <v>8.4722865313904494E-2</v>
      </c>
      <c r="AD197" s="38">
        <f t="shared" si="462"/>
        <v>7.228516331204049E-2</v>
      </c>
      <c r="AE197" s="38">
        <f t="shared" si="462"/>
        <v>0.54256704227199082</v>
      </c>
      <c r="AF197" s="218">
        <f t="shared" si="462"/>
        <v>-9.1082423521125055E-2</v>
      </c>
      <c r="AG197" s="38">
        <f t="shared" si="462"/>
        <v>-0.10349331266785133</v>
      </c>
      <c r="AH197" s="38">
        <f t="shared" si="462"/>
        <v>2.4933957800058915E-2</v>
      </c>
      <c r="AI197" s="38">
        <f t="shared" si="462"/>
        <v>0.16292655617799845</v>
      </c>
      <c r="AJ197" s="218">
        <f t="shared" si="462"/>
        <v>-8.0356612555838036E-2</v>
      </c>
      <c r="AK197" s="38">
        <f t="shared" si="462"/>
        <v>9.9162794492051232E-2</v>
      </c>
      <c r="AL197" s="38">
        <f t="shared" si="462"/>
        <v>3.2885337357668964E-2</v>
      </c>
      <c r="AM197" s="38">
        <f t="shared" si="462"/>
        <v>0.66766467065868262</v>
      </c>
      <c r="AN197" s="218">
        <f t="shared" si="462"/>
        <v>-0.28186714542190305</v>
      </c>
      <c r="AO197" s="38">
        <f t="shared" si="462"/>
        <v>-0.15529060896637603</v>
      </c>
      <c r="AP197" s="38">
        <f t="shared" si="462"/>
        <v>0.300748381242675</v>
      </c>
      <c r="AQ197" s="38">
        <f t="shared" si="462"/>
        <v>-6.1157288121369779E-2</v>
      </c>
      <c r="AR197" s="218">
        <f t="shared" si="462"/>
        <v>-7.7630312548804703E-2</v>
      </c>
      <c r="AS197" s="38">
        <f t="shared" ca="1" si="462"/>
        <v>-4.0666937398723513E-2</v>
      </c>
      <c r="AT197" s="38">
        <f t="shared" ca="1" si="462"/>
        <v>-1.6946631219928787E-2</v>
      </c>
      <c r="AU197" s="38">
        <f t="shared" ca="1" si="462"/>
        <v>-8.5194540079851833E-2</v>
      </c>
      <c r="AV197" s="218">
        <f t="shared" ca="1" si="462"/>
        <v>0</v>
      </c>
      <c r="AW197" s="38">
        <f t="shared" ca="1" si="462"/>
        <v>-1.0869565217391242E-2</v>
      </c>
      <c r="AX197" s="38">
        <f t="shared" ca="1" si="462"/>
        <v>0</v>
      </c>
      <c r="AY197" s="38">
        <f t="shared" si="462"/>
        <v>-0.1020716891884097</v>
      </c>
      <c r="AZ197" s="38">
        <f t="shared" si="462"/>
        <v>-0.12591283604281367</v>
      </c>
      <c r="BC197"/>
      <c r="BD197"/>
      <c r="BE197"/>
      <c r="BF197"/>
      <c r="BG197"/>
      <c r="BH197"/>
    </row>
    <row r="198" spans="1:60" s="202" customFormat="1" hidden="1" outlineLevel="1">
      <c r="A198" s="296"/>
      <c r="B198" s="3" t="s">
        <v>123</v>
      </c>
      <c r="E198" s="205"/>
      <c r="F198" s="38"/>
      <c r="G198" s="38">
        <f t="shared" si="460"/>
        <v>-0.68659308308392886</v>
      </c>
      <c r="H198" s="38">
        <f t="shared" si="460"/>
        <v>1.3862051351178781</v>
      </c>
      <c r="I198" s="38">
        <f t="shared" si="460"/>
        <v>73.062294477579101</v>
      </c>
      <c r="J198" s="38">
        <f t="shared" si="460"/>
        <v>-0.82730665528059377</v>
      </c>
      <c r="K198" s="38">
        <f t="shared" si="460"/>
        <v>-1.014645083378179</v>
      </c>
      <c r="L198" s="38">
        <f t="shared" ca="1" si="460"/>
        <v>-1</v>
      </c>
      <c r="M198" s="38" t="e">
        <f t="shared" ca="1" si="460"/>
        <v>#DIV/0!</v>
      </c>
      <c r="N198" s="38" t="e">
        <f t="shared" ca="1" si="460"/>
        <v>#DIV/0!</v>
      </c>
      <c r="O198" s="38"/>
      <c r="P198" s="38"/>
      <c r="Q198" s="38"/>
      <c r="R198" s="38">
        <f t="shared" ref="R198:AZ198" si="463">R128/Q128-1</f>
        <v>-14.762784090909093</v>
      </c>
      <c r="S198" s="38">
        <f t="shared" si="463"/>
        <v>-0.43653627825368979</v>
      </c>
      <c r="T198" s="218">
        <f t="shared" si="463"/>
        <v>12.829981316628203</v>
      </c>
      <c r="U198" s="38">
        <f t="shared" si="463"/>
        <v>-0.98408813377940596</v>
      </c>
      <c r="V198" s="38">
        <f t="shared" si="463"/>
        <v>2.4890960546029639</v>
      </c>
      <c r="W198" s="38">
        <f t="shared" si="463"/>
        <v>0.7242711961448538</v>
      </c>
      <c r="X198" s="218">
        <f t="shared" si="463"/>
        <v>1.0625363181050949</v>
      </c>
      <c r="Y198" s="38">
        <f t="shared" si="463"/>
        <v>1.3454882073573207</v>
      </c>
      <c r="Z198" s="38">
        <f t="shared" si="463"/>
        <v>-0.6169435101928753</v>
      </c>
      <c r="AA198" s="38">
        <f t="shared" si="463"/>
        <v>-1.3641236990249219</v>
      </c>
      <c r="AB198" s="218">
        <f t="shared" si="463"/>
        <v>-5.7600164035267589</v>
      </c>
      <c r="AC198" s="38">
        <f t="shared" si="463"/>
        <v>-0.13961903285001687</v>
      </c>
      <c r="AD198" s="38">
        <f t="shared" si="463"/>
        <v>0.47974806492635191</v>
      </c>
      <c r="AE198" s="38">
        <f t="shared" si="463"/>
        <v>0.77314620579517923</v>
      </c>
      <c r="AF198" s="218">
        <f t="shared" si="463"/>
        <v>92.119493039018138</v>
      </c>
      <c r="AG198" s="38">
        <f t="shared" si="463"/>
        <v>-0.99049384132244023</v>
      </c>
      <c r="AH198" s="38">
        <f t="shared" si="463"/>
        <v>1.8956254068712193</v>
      </c>
      <c r="AI198" s="38">
        <f t="shared" si="463"/>
        <v>0.92406003731115516</v>
      </c>
      <c r="AJ198" s="218">
        <f t="shared" si="463"/>
        <v>0.62957626482539153</v>
      </c>
      <c r="AK198" s="38">
        <f t="shared" si="463"/>
        <v>-1.0377788013618945</v>
      </c>
      <c r="AL198" s="38">
        <f t="shared" si="463"/>
        <v>-7.3350008798612336</v>
      </c>
      <c r="AM198" s="38">
        <f t="shared" si="463"/>
        <v>7.1329365079365079</v>
      </c>
      <c r="AN198" s="218">
        <f t="shared" si="463"/>
        <v>-1.0992925103683826</v>
      </c>
      <c r="AO198" s="38">
        <f t="shared" si="463"/>
        <v>-1</v>
      </c>
      <c r="AP198" s="38" t="e">
        <f t="shared" si="463"/>
        <v>#DIV/0!</v>
      </c>
      <c r="AQ198" s="38" t="e">
        <f t="shared" si="463"/>
        <v>#DIV/0!</v>
      </c>
      <c r="AR198" s="218" t="e">
        <f t="shared" si="463"/>
        <v>#DIV/0!</v>
      </c>
      <c r="AS198" s="38" t="e">
        <f t="shared" si="463"/>
        <v>#DIV/0!</v>
      </c>
      <c r="AT198" s="38" t="e">
        <f t="shared" si="463"/>
        <v>#DIV/0!</v>
      </c>
      <c r="AU198" s="38" t="e">
        <f t="shared" si="463"/>
        <v>#DIV/0!</v>
      </c>
      <c r="AV198" s="218" t="e">
        <f t="shared" si="463"/>
        <v>#DIV/0!</v>
      </c>
      <c r="AW198" s="38" t="e">
        <f t="shared" si="463"/>
        <v>#DIV/0!</v>
      </c>
      <c r="AX198" s="38" t="e">
        <f t="shared" si="463"/>
        <v>#DIV/0!</v>
      </c>
      <c r="AY198" s="38" t="e">
        <f t="shared" si="463"/>
        <v>#DIV/0!</v>
      </c>
      <c r="AZ198" s="38" t="e">
        <f t="shared" si="463"/>
        <v>#DIV/0!</v>
      </c>
      <c r="BC198"/>
      <c r="BD198"/>
      <c r="BE198"/>
      <c r="BF198"/>
      <c r="BG198"/>
      <c r="BH198"/>
    </row>
    <row r="199" spans="1:60" s="202" customFormat="1" hidden="1" outlineLevel="1">
      <c r="A199" s="296"/>
      <c r="B199" s="3" t="s">
        <v>122</v>
      </c>
      <c r="E199" s="205"/>
      <c r="F199" s="38"/>
      <c r="G199" s="38">
        <f t="shared" si="460"/>
        <v>-1.0767361476944828</v>
      </c>
      <c r="H199" s="38">
        <f t="shared" si="460"/>
        <v>-1.8832934715209497</v>
      </c>
      <c r="I199" s="38">
        <f t="shared" si="460"/>
        <v>-1.193902622474051</v>
      </c>
      <c r="J199" s="38">
        <f t="shared" si="460"/>
        <v>-266.25135764158267</v>
      </c>
      <c r="K199" s="38">
        <f t="shared" si="460"/>
        <v>-5.0127636300887071</v>
      </c>
      <c r="L199" s="38">
        <f t="shared" ca="1" si="460"/>
        <v>-0.80174927113702621</v>
      </c>
      <c r="M199" s="38">
        <f t="shared" ca="1" si="460"/>
        <v>0</v>
      </c>
      <c r="N199" s="38">
        <f t="shared" ca="1" si="460"/>
        <v>0</v>
      </c>
      <c r="O199" s="38"/>
      <c r="P199" s="38"/>
      <c r="Q199" s="38"/>
      <c r="R199" s="38">
        <f t="shared" ref="R199:AZ199" si="464">R129/Q129-1</f>
        <v>0.24991279323275495</v>
      </c>
      <c r="S199" s="38">
        <f t="shared" si="464"/>
        <v>0.20897943520957241</v>
      </c>
      <c r="T199" s="218">
        <f t="shared" si="464"/>
        <v>0.75610283933518008</v>
      </c>
      <c r="U199" s="38">
        <f t="shared" si="464"/>
        <v>-0.95520009201521539</v>
      </c>
      <c r="V199" s="38">
        <f t="shared" si="464"/>
        <v>-1.0154043645699615</v>
      </c>
      <c r="W199" s="38">
        <f t="shared" si="464"/>
        <v>1.5595238095238093</v>
      </c>
      <c r="X199" s="218">
        <f t="shared" si="464"/>
        <v>-4.0279069767441857</v>
      </c>
      <c r="Y199" s="38">
        <f t="shared" si="464"/>
        <v>7.6067588325652835</v>
      </c>
      <c r="Z199" s="38">
        <f t="shared" si="464"/>
        <v>-1.8204533285739677E-2</v>
      </c>
      <c r="AA199" s="38">
        <f t="shared" si="464"/>
        <v>0.81457916742410452</v>
      </c>
      <c r="AB199" s="218">
        <f t="shared" si="464"/>
        <v>-0.41224203566419548</v>
      </c>
      <c r="AC199" s="38">
        <f t="shared" si="464"/>
        <v>0.35997954661666953</v>
      </c>
      <c r="AD199" s="38">
        <f t="shared" si="464"/>
        <v>-0.69707983456573508</v>
      </c>
      <c r="AE199" s="38">
        <f t="shared" si="464"/>
        <v>2.6640463384360782</v>
      </c>
      <c r="AF199" s="218">
        <f t="shared" si="464"/>
        <v>-3.6105465221318882</v>
      </c>
      <c r="AG199" s="38">
        <f t="shared" si="464"/>
        <v>-6.0647519356373545</v>
      </c>
      <c r="AH199" s="38">
        <f t="shared" si="464"/>
        <v>3.735874355207871</v>
      </c>
      <c r="AI199" s="38">
        <f t="shared" si="464"/>
        <v>-0.5519473142265654</v>
      </c>
      <c r="AJ199" s="218">
        <f t="shared" si="464"/>
        <v>-0.57481284713837244</v>
      </c>
      <c r="AK199" s="38">
        <f t="shared" si="464"/>
        <v>-0.27937752030442431</v>
      </c>
      <c r="AL199" s="38">
        <f t="shared" si="464"/>
        <v>0.55002101723413199</v>
      </c>
      <c r="AM199" s="38">
        <f t="shared" si="464"/>
        <v>-0.38135593220338981</v>
      </c>
      <c r="AN199" s="218">
        <f t="shared" si="464"/>
        <v>-3.7945205479452055</v>
      </c>
      <c r="AO199" s="38">
        <f t="shared" si="464"/>
        <v>0</v>
      </c>
      <c r="AP199" s="38">
        <f t="shared" si="464"/>
        <v>0</v>
      </c>
      <c r="AQ199" s="38">
        <f t="shared" si="464"/>
        <v>0</v>
      </c>
      <c r="AR199" s="218">
        <f t="shared" si="464"/>
        <v>0</v>
      </c>
      <c r="AS199" s="38">
        <f t="shared" si="464"/>
        <v>0</v>
      </c>
      <c r="AT199" s="38">
        <f t="shared" si="464"/>
        <v>0</v>
      </c>
      <c r="AU199" s="38">
        <f t="shared" si="464"/>
        <v>0</v>
      </c>
      <c r="AV199" s="218">
        <f t="shared" si="464"/>
        <v>0</v>
      </c>
      <c r="AW199" s="38">
        <f t="shared" si="464"/>
        <v>0</v>
      </c>
      <c r="AX199" s="38">
        <f t="shared" si="464"/>
        <v>0</v>
      </c>
      <c r="AY199" s="38">
        <f t="shared" si="464"/>
        <v>0</v>
      </c>
      <c r="AZ199" s="38">
        <f t="shared" si="464"/>
        <v>0</v>
      </c>
      <c r="BC199"/>
      <c r="BD199"/>
      <c r="BE199"/>
      <c r="BF199"/>
      <c r="BG199"/>
      <c r="BH199"/>
    </row>
    <row r="200" spans="1:60" s="203" customFormat="1" hidden="1" outlineLevel="1">
      <c r="A200" s="296"/>
      <c r="B200" s="9" t="s">
        <v>121</v>
      </c>
      <c r="E200" s="81"/>
      <c r="F200" s="85"/>
      <c r="G200" s="85">
        <f t="shared" ref="G200:N201" ca="1" si="465">G131/F131-1</f>
        <v>2.0999650911203371E-2</v>
      </c>
      <c r="H200" s="85">
        <f t="shared" ca="1" si="465"/>
        <v>0.1856228523774861</v>
      </c>
      <c r="I200" s="85">
        <f t="shared" ca="1" si="465"/>
        <v>1.6170641987621592</v>
      </c>
      <c r="J200" s="85">
        <f t="shared" ca="1" si="465"/>
        <v>-0.61723820663212337</v>
      </c>
      <c r="K200" s="85">
        <f t="shared" ca="1" si="465"/>
        <v>0.4667618981519801</v>
      </c>
      <c r="L200" s="85">
        <f t="shared" ca="1" si="465"/>
        <v>-6.8487016492258079E-2</v>
      </c>
      <c r="M200" s="85">
        <f t="shared" ca="1" si="465"/>
        <v>0.41964015583286884</v>
      </c>
      <c r="N200" s="85">
        <f t="shared" ca="1" si="465"/>
        <v>0.42639764957942394</v>
      </c>
      <c r="O200" s="85"/>
      <c r="P200" s="85"/>
      <c r="Q200" s="85"/>
      <c r="R200" s="85">
        <f t="shared" ref="R200:AZ200" si="466">R131/Q131-1</f>
        <v>0.35688222084988985</v>
      </c>
      <c r="S200" s="85">
        <f t="shared" si="466"/>
        <v>0.15928967160365493</v>
      </c>
      <c r="T200" s="223">
        <f t="shared" si="466"/>
        <v>-3.9219829943812234E-2</v>
      </c>
      <c r="U200" s="85">
        <f t="shared" si="466"/>
        <v>-0.27912212303745476</v>
      </c>
      <c r="V200" s="85">
        <f t="shared" si="466"/>
        <v>0.31542271113643316</v>
      </c>
      <c r="W200" s="85">
        <f t="shared" si="466"/>
        <v>0.14376338661005783</v>
      </c>
      <c r="X200" s="223">
        <f t="shared" si="466"/>
        <v>-0.15849779278109599</v>
      </c>
      <c r="Y200" s="85">
        <f t="shared" si="466"/>
        <v>-6.3502377832174939E-2</v>
      </c>
      <c r="Z200" s="85">
        <f t="shared" si="466"/>
        <v>0.38614514920749432</v>
      </c>
      <c r="AA200" s="85">
        <f t="shared" si="466"/>
        <v>7.8008480010767434E-2</v>
      </c>
      <c r="AB200" s="223">
        <f t="shared" si="466"/>
        <v>-0.18679194742185046</v>
      </c>
      <c r="AC200" s="85">
        <f t="shared" si="466"/>
        <v>-0.24407654472206541</v>
      </c>
      <c r="AD200" s="85">
        <f t="shared" si="466"/>
        <v>0.5383729495348526</v>
      </c>
      <c r="AE200" s="85">
        <f t="shared" si="466"/>
        <v>-0.23975954489911067</v>
      </c>
      <c r="AF200" s="223">
        <f t="shared" si="466"/>
        <v>8.2512780803284294</v>
      </c>
      <c r="AG200" s="85">
        <f t="shared" si="466"/>
        <v>-0.90601575147879321</v>
      </c>
      <c r="AH200" s="85">
        <f t="shared" si="466"/>
        <v>0.20425246925654639</v>
      </c>
      <c r="AI200" s="85">
        <f t="shared" ca="1" si="466"/>
        <v>0.29505883369146613</v>
      </c>
      <c r="AJ200" s="223">
        <f t="shared" ca="1" si="466"/>
        <v>9.2906529198493182E-2</v>
      </c>
      <c r="AK200" s="85">
        <f t="shared" ca="1" si="466"/>
        <v>-0.51899303199295466</v>
      </c>
      <c r="AL200" s="85">
        <f t="shared" ca="1" si="466"/>
        <v>1.2865107358896237</v>
      </c>
      <c r="AM200" s="85">
        <f t="shared" ca="1" si="466"/>
        <v>0.81845597104945722</v>
      </c>
      <c r="AN200" s="223">
        <f t="shared" ca="1" si="466"/>
        <v>-0.43747927031509126</v>
      </c>
      <c r="AO200" s="85">
        <f t="shared" ca="1" si="466"/>
        <v>-0.29160328089130616</v>
      </c>
      <c r="AP200" s="85">
        <f t="shared" ca="1" si="466"/>
        <v>0.36489597671647411</v>
      </c>
      <c r="AQ200" s="85">
        <f t="shared" ca="1" si="466"/>
        <v>0.21214050689825581</v>
      </c>
      <c r="AR200" s="223">
        <f t="shared" ca="1" si="466"/>
        <v>-0.10499768316917846</v>
      </c>
      <c r="AS200" s="85">
        <f t="shared" ca="1" si="466"/>
        <v>-5.1087479557462179E-2</v>
      </c>
      <c r="AT200" s="85">
        <f t="shared" ca="1" si="466"/>
        <v>0.36443737022098777</v>
      </c>
      <c r="AU200" s="85">
        <f t="shared" ca="1" si="466"/>
        <v>0.21683159340669711</v>
      </c>
      <c r="AV200" s="223">
        <f t="shared" ca="1" si="466"/>
        <v>-7.7078345285145566E-2</v>
      </c>
      <c r="AW200" s="85">
        <f t="shared" ca="1" si="466"/>
        <v>-4.8286550471161593E-2</v>
      </c>
      <c r="AX200" s="85">
        <f t="shared" ca="1" si="466"/>
        <v>0.30256700988363883</v>
      </c>
      <c r="AY200" s="85">
        <f t="shared" ca="1" si="466"/>
        <v>0.18990859782139169</v>
      </c>
      <c r="AZ200" s="85">
        <f t="shared" ca="1" si="466"/>
        <v>2.1250011016353376E-2</v>
      </c>
      <c r="BC200"/>
      <c r="BD200"/>
      <c r="BE200"/>
      <c r="BF200"/>
      <c r="BG200"/>
      <c r="BH200"/>
    </row>
    <row r="201" spans="1:60" s="202" customFormat="1" hidden="1" outlineLevel="1">
      <c r="A201" s="296"/>
      <c r="B201" s="3" t="s">
        <v>120</v>
      </c>
      <c r="E201" s="205"/>
      <c r="F201" s="38"/>
      <c r="G201" s="38">
        <f t="shared" si="465"/>
        <v>0.16184578559090923</v>
      </c>
      <c r="H201" s="38">
        <f t="shared" si="465"/>
        <v>0.21993296626989545</v>
      </c>
      <c r="I201" s="38">
        <f t="shared" si="465"/>
        <v>1.4535880694092613</v>
      </c>
      <c r="J201" s="38">
        <f t="shared" si="465"/>
        <v>-0.46777615060124655</v>
      </c>
      <c r="K201" s="38">
        <f t="shared" si="465"/>
        <v>2.7940063028685458E-2</v>
      </c>
      <c r="L201" s="38">
        <f t="shared" ca="1" si="465"/>
        <v>0.19142823355429939</v>
      </c>
      <c r="M201" s="38">
        <f t="shared" ca="1" si="465"/>
        <v>0.4196401558328704</v>
      </c>
      <c r="N201" s="38">
        <f t="shared" ca="1" si="465"/>
        <v>0.42639764957942217</v>
      </c>
      <c r="O201" s="38"/>
      <c r="P201" s="38"/>
      <c r="Q201" s="38"/>
      <c r="R201" s="38">
        <f t="shared" ref="R201:AZ201" si="467">R132/Q132-1</f>
        <v>-0.28937849490935885</v>
      </c>
      <c r="S201" s="38">
        <f t="shared" si="467"/>
        <v>0.98720656030252196</v>
      </c>
      <c r="T201" s="218">
        <f t="shared" si="467"/>
        <v>0.15439417232023156</v>
      </c>
      <c r="U201" s="38">
        <f t="shared" si="467"/>
        <v>-0.27976566421378424</v>
      </c>
      <c r="V201" s="38">
        <f t="shared" si="467"/>
        <v>0.31967463952414876</v>
      </c>
      <c r="W201" s="38">
        <f t="shared" si="467"/>
        <v>0.14594968528947527</v>
      </c>
      <c r="X201" s="218">
        <f t="shared" si="467"/>
        <v>-0.42382075511803929</v>
      </c>
      <c r="Y201" s="38">
        <f t="shared" si="467"/>
        <v>0.26993908485621199</v>
      </c>
      <c r="Z201" s="38">
        <f t="shared" si="467"/>
        <v>0.4074358116273451</v>
      </c>
      <c r="AA201" s="38">
        <f t="shared" si="467"/>
        <v>8.4466343248339681E-2</v>
      </c>
      <c r="AB201" s="218">
        <f t="shared" si="467"/>
        <v>-0.18008642321184953</v>
      </c>
      <c r="AC201" s="38">
        <f t="shared" si="467"/>
        <v>4.6555851236691481E-3</v>
      </c>
      <c r="AD201" s="38">
        <f t="shared" si="467"/>
        <v>0.41026062846580413</v>
      </c>
      <c r="AE201" s="38">
        <f t="shared" si="467"/>
        <v>-0.2260092718929525</v>
      </c>
      <c r="AF201" s="218">
        <f t="shared" si="467"/>
        <v>5.0623301276677894</v>
      </c>
      <c r="AG201" s="38">
        <f t="shared" si="467"/>
        <v>-0.81151755533450709</v>
      </c>
      <c r="AH201" s="38">
        <f t="shared" si="467"/>
        <v>0.17483957021118934</v>
      </c>
      <c r="AI201" s="38">
        <f t="shared" si="467"/>
        <v>0.31847316149525118</v>
      </c>
      <c r="AJ201" s="218">
        <f t="shared" si="467"/>
        <v>-0.61639577337578833</v>
      </c>
      <c r="AK201" s="38">
        <f t="shared" si="467"/>
        <v>1.0265952007422641E-2</v>
      </c>
      <c r="AL201" s="38">
        <f t="shared" si="467"/>
        <v>0.39241037592611328</v>
      </c>
      <c r="AM201" s="38">
        <f t="shared" si="467"/>
        <v>0.94503546099290769</v>
      </c>
      <c r="AN201" s="218">
        <f t="shared" si="467"/>
        <v>-0.15314494074749319</v>
      </c>
      <c r="AO201" s="38">
        <f t="shared" ca="1" si="467"/>
        <v>-0.30163826563131746</v>
      </c>
      <c r="AP201" s="38">
        <f t="shared" ca="1" si="467"/>
        <v>0.36489597671647411</v>
      </c>
      <c r="AQ201" s="38">
        <f t="shared" ca="1" si="467"/>
        <v>0.21214050689825603</v>
      </c>
      <c r="AR201" s="218">
        <f t="shared" ca="1" si="467"/>
        <v>-0.10499768316917857</v>
      </c>
      <c r="AS201" s="38">
        <f t="shared" ca="1" si="467"/>
        <v>-5.1087479557462179E-2</v>
      </c>
      <c r="AT201" s="38">
        <f t="shared" ca="1" si="467"/>
        <v>0.36443737022098754</v>
      </c>
      <c r="AU201" s="38">
        <f t="shared" ca="1" si="467"/>
        <v>0.21683159340669711</v>
      </c>
      <c r="AV201" s="218">
        <f t="shared" ca="1" si="467"/>
        <v>-7.7078345285145566E-2</v>
      </c>
      <c r="AW201" s="38">
        <f t="shared" ca="1" si="467"/>
        <v>-4.8286550471161593E-2</v>
      </c>
      <c r="AX201" s="38">
        <f t="shared" ca="1" si="467"/>
        <v>0.30256700988363883</v>
      </c>
      <c r="AY201" s="38">
        <f t="shared" ca="1" si="467"/>
        <v>0.18990859782139169</v>
      </c>
      <c r="AZ201" s="38">
        <f t="shared" ca="1" si="467"/>
        <v>2.1250011016353154E-2</v>
      </c>
      <c r="BC201"/>
      <c r="BD201"/>
      <c r="BE201"/>
      <c r="BF201"/>
      <c r="BG201"/>
      <c r="BH201"/>
    </row>
    <row r="202" spans="1:60" s="203" customFormat="1" hidden="1" outlineLevel="1">
      <c r="A202" s="296"/>
      <c r="B202" s="9" t="s">
        <v>686</v>
      </c>
      <c r="E202" s="81"/>
      <c r="F202" s="85"/>
      <c r="G202" s="85">
        <f t="shared" ref="G202:N202" ca="1" si="468">G134/F134-1</f>
        <v>-3.3691717226735918E-4</v>
      </c>
      <c r="H202" s="85">
        <f t="shared" ca="1" si="468"/>
        <v>0.1795820222170732</v>
      </c>
      <c r="I202" s="85">
        <f t="shared" ca="1" si="468"/>
        <v>1.6468313061815927</v>
      </c>
      <c r="J202" s="85">
        <f t="shared" ca="1" si="468"/>
        <v>-0.64246654394518354</v>
      </c>
      <c r="K202" s="85">
        <f t="shared" ca="1" si="468"/>
        <v>0.57702331045370325</v>
      </c>
      <c r="L202" s="85">
        <f t="shared" ca="1" si="468"/>
        <v>-0.11105634141963849</v>
      </c>
      <c r="M202" s="85">
        <f t="shared" ca="1" si="468"/>
        <v>0.41964015583286862</v>
      </c>
      <c r="N202" s="85">
        <f t="shared" ca="1" si="468"/>
        <v>0.42639764957942417</v>
      </c>
      <c r="O202" s="85"/>
      <c r="P202" s="85"/>
      <c r="Q202" s="85"/>
      <c r="R202" s="85">
        <f t="shared" ref="R202:AZ202" si="469">R134/Q134-1</f>
        <v>0.47147527221602936</v>
      </c>
      <c r="S202" s="85">
        <f t="shared" si="469"/>
        <v>8.8393522453399376E-2</v>
      </c>
      <c r="T202" s="223">
        <f t="shared" si="469"/>
        <v>-6.9491036450242905E-2</v>
      </c>
      <c r="U202" s="85">
        <f t="shared" si="469"/>
        <v>-0.27899729766432224</v>
      </c>
      <c r="V202" s="85">
        <f t="shared" si="469"/>
        <v>0.31459885875100357</v>
      </c>
      <c r="W202" s="85">
        <f t="shared" si="469"/>
        <v>0.14333813440472998</v>
      </c>
      <c r="X202" s="223">
        <f t="shared" si="469"/>
        <v>-0.1067725211165772</v>
      </c>
      <c r="Y202" s="85">
        <f t="shared" si="469"/>
        <v>-0.10543413674248669</v>
      </c>
      <c r="Z202" s="85">
        <f t="shared" si="469"/>
        <v>0.38234427742134702</v>
      </c>
      <c r="AA202" s="85">
        <f t="shared" si="469"/>
        <v>7.6834676868710927E-2</v>
      </c>
      <c r="AB202" s="223">
        <f t="shared" si="469"/>
        <v>-0.18801940418937602</v>
      </c>
      <c r="AC202" s="85">
        <f t="shared" si="469"/>
        <v>-0.29005218493299489</v>
      </c>
      <c r="AD202" s="85">
        <f t="shared" si="469"/>
        <v>0.57188319216974715</v>
      </c>
      <c r="AE202" s="85">
        <f t="shared" si="469"/>
        <v>-0.24298638247192339</v>
      </c>
      <c r="AF202" s="223">
        <f t="shared" si="469"/>
        <v>9.016425788154228</v>
      </c>
      <c r="AG202" s="85">
        <f t="shared" si="469"/>
        <v>-0.9197387233656581</v>
      </c>
      <c r="AH202" s="85">
        <f t="shared" si="469"/>
        <v>0.21428307891673914</v>
      </c>
      <c r="AI202" s="85">
        <f t="shared" ca="1" si="469"/>
        <v>0.28733327644944651</v>
      </c>
      <c r="AJ202" s="223">
        <f t="shared" ca="1" si="469"/>
        <v>0.33260197827985305</v>
      </c>
      <c r="AK202" s="85">
        <f t="shared" ca="1" si="469"/>
        <v>-0.57047789809272664</v>
      </c>
      <c r="AL202" s="85">
        <f t="shared" ca="1" si="469"/>
        <v>1.4910835027006524</v>
      </c>
      <c r="AM202" s="85">
        <f t="shared" ca="1" si="469"/>
        <v>0.8022675736961451</v>
      </c>
      <c r="AN202" s="223">
        <f t="shared" ca="1" si="469"/>
        <v>-0.47672370407649722</v>
      </c>
      <c r="AO202" s="85">
        <f t="shared" ca="1" si="469"/>
        <v>-0.28936175628840399</v>
      </c>
      <c r="AP202" s="85">
        <f t="shared" ca="1" si="469"/>
        <v>0.36489597671647434</v>
      </c>
      <c r="AQ202" s="85">
        <f t="shared" ca="1" si="469"/>
        <v>0.21214050689825581</v>
      </c>
      <c r="AR202" s="223">
        <f t="shared" ca="1" si="469"/>
        <v>-0.10499768316917846</v>
      </c>
      <c r="AS202" s="85">
        <f t="shared" ca="1" si="469"/>
        <v>-5.1087479557462179E-2</v>
      </c>
      <c r="AT202" s="85">
        <f t="shared" ca="1" si="469"/>
        <v>0.36443737022098754</v>
      </c>
      <c r="AU202" s="85">
        <f t="shared" ca="1" si="469"/>
        <v>0.21683159340669711</v>
      </c>
      <c r="AV202" s="223">
        <f t="shared" ca="1" si="469"/>
        <v>-7.7078345285145566E-2</v>
      </c>
      <c r="AW202" s="85">
        <f t="shared" ca="1" si="469"/>
        <v>-4.8286550471161704E-2</v>
      </c>
      <c r="AX202" s="85">
        <f t="shared" ca="1" si="469"/>
        <v>0.30256700988363883</v>
      </c>
      <c r="AY202" s="85">
        <f t="shared" ca="1" si="469"/>
        <v>0.18990859782139147</v>
      </c>
      <c r="AZ202" s="85">
        <f t="shared" ca="1" si="469"/>
        <v>2.1250011016353376E-2</v>
      </c>
      <c r="BC202"/>
      <c r="BD202"/>
      <c r="BE202"/>
      <c r="BF202"/>
      <c r="BG202"/>
      <c r="BH202"/>
    </row>
    <row r="203" spans="1:60" s="202" customFormat="1" hidden="1" outlineLevel="1">
      <c r="A203" s="296"/>
      <c r="B203" s="3" t="s">
        <v>118</v>
      </c>
      <c r="E203" s="205"/>
      <c r="F203" s="38"/>
      <c r="G203" s="38">
        <f t="shared" ref="G203:N204" si="470">G137/F137-1</f>
        <v>1.5155212355212355</v>
      </c>
      <c r="H203" s="38">
        <f t="shared" si="470"/>
        <v>4.7938236738703344</v>
      </c>
      <c r="I203" s="38">
        <f t="shared" si="470"/>
        <v>0.30542504063800058</v>
      </c>
      <c r="J203" s="38">
        <f t="shared" si="470"/>
        <v>-0.97024499016581345</v>
      </c>
      <c r="K203" s="38">
        <f t="shared" si="470"/>
        <v>-0.6453513749454387</v>
      </c>
      <c r="L203" s="38">
        <f t="shared" ca="1" si="470"/>
        <v>190.06651209836372</v>
      </c>
      <c r="M203" s="38">
        <f t="shared" ca="1" si="470"/>
        <v>5.8884279463458977E-2</v>
      </c>
      <c r="N203" s="38">
        <f t="shared" ca="1" si="470"/>
        <v>-0.47709933179880137</v>
      </c>
      <c r="O203" s="38"/>
      <c r="P203" s="38"/>
      <c r="Q203" s="38"/>
      <c r="R203" s="38">
        <f t="shared" ref="R203:AZ203" si="471">R137/Q137-1</f>
        <v>0.41334037078577568</v>
      </c>
      <c r="S203" s="38">
        <f t="shared" si="471"/>
        <v>-0.24339464102324726</v>
      </c>
      <c r="T203" s="218">
        <f t="shared" si="471"/>
        <v>-0.26184600197433361</v>
      </c>
      <c r="U203" s="38">
        <f t="shared" si="471"/>
        <v>2.0013373453694419</v>
      </c>
      <c r="V203" s="38">
        <f t="shared" si="471"/>
        <v>-0.8443522334855742</v>
      </c>
      <c r="W203" s="38">
        <f t="shared" si="471"/>
        <v>4.6382179280729998</v>
      </c>
      <c r="X203" s="218">
        <f t="shared" si="471"/>
        <v>1.851929423711602</v>
      </c>
      <c r="Y203" s="38">
        <f t="shared" si="471"/>
        <v>0.38956270168020457</v>
      </c>
      <c r="Z203" s="38">
        <f t="shared" si="471"/>
        <v>0.72017136450992947</v>
      </c>
      <c r="AA203" s="38">
        <f t="shared" si="471"/>
        <v>0.34174522263342877</v>
      </c>
      <c r="AB203" s="218">
        <f t="shared" si="471"/>
        <v>9.5580913654862432E-2</v>
      </c>
      <c r="AC203" s="38">
        <f t="shared" si="471"/>
        <v>0.20653247871909208</v>
      </c>
      <c r="AD203" s="38">
        <f t="shared" si="471"/>
        <v>7.8518296876066263E-2</v>
      </c>
      <c r="AE203" s="38">
        <f t="shared" si="471"/>
        <v>-7.5369485701213601E-2</v>
      </c>
      <c r="AF203" s="218">
        <f t="shared" si="471"/>
        <v>-0.84185619270461842</v>
      </c>
      <c r="AG203" s="38">
        <f t="shared" si="471"/>
        <v>-0.86266122992427396</v>
      </c>
      <c r="AH203" s="38">
        <f t="shared" si="471"/>
        <v>0.36548715462918069</v>
      </c>
      <c r="AI203" s="38">
        <f t="shared" si="471"/>
        <v>-0.16214057507987223</v>
      </c>
      <c r="AJ203" s="218">
        <f t="shared" si="471"/>
        <v>-0.18493803622497618</v>
      </c>
      <c r="AK203" s="38">
        <f t="shared" si="471"/>
        <v>-0.17387914230019497</v>
      </c>
      <c r="AL203" s="38">
        <f t="shared" si="471"/>
        <v>-0.21346547113418279</v>
      </c>
      <c r="AM203" s="38">
        <f t="shared" si="471"/>
        <v>-0.8</v>
      </c>
      <c r="AN203" s="218">
        <f t="shared" si="471"/>
        <v>-1</v>
      </c>
      <c r="AO203" s="38" t="e">
        <f t="shared" si="471"/>
        <v>#DIV/0!</v>
      </c>
      <c r="AP203" s="38" t="e">
        <f t="shared" ca="1" si="471"/>
        <v>#DIV/0!</v>
      </c>
      <c r="AQ203" s="38">
        <f t="shared" ca="1" si="471"/>
        <v>-0.25232102025111114</v>
      </c>
      <c r="AR203" s="218">
        <f t="shared" ca="1" si="471"/>
        <v>0.28159529484053114</v>
      </c>
      <c r="AS203" s="38">
        <f t="shared" ca="1" si="471"/>
        <v>-9.4159631045147685E-2</v>
      </c>
      <c r="AT203" s="38">
        <f t="shared" ca="1" si="471"/>
        <v>0.10498447006589129</v>
      </c>
      <c r="AU203" s="38">
        <f t="shared" ca="1" si="471"/>
        <v>-0.49270305846725226</v>
      </c>
      <c r="AV203" s="218">
        <f t="shared" ca="1" si="471"/>
        <v>0.13358729991451934</v>
      </c>
      <c r="AW203" s="38">
        <f t="shared" ca="1" si="471"/>
        <v>0.16528438135288726</v>
      </c>
      <c r="AX203" s="38">
        <f t="shared" ca="1" si="471"/>
        <v>0.17953015200651135</v>
      </c>
      <c r="AY203" s="38">
        <f t="shared" ca="1" si="471"/>
        <v>-0.91820822220325982</v>
      </c>
      <c r="AZ203" s="38">
        <f t="shared" ca="1" si="471"/>
        <v>-0.42917942460673286</v>
      </c>
      <c r="BC203"/>
      <c r="BD203"/>
      <c r="BE203"/>
      <c r="BF203"/>
      <c r="BG203"/>
      <c r="BH203"/>
    </row>
    <row r="204" spans="1:60" s="202" customFormat="1" hidden="1" outlineLevel="1">
      <c r="A204" s="296"/>
      <c r="B204" s="9" t="s">
        <v>117</v>
      </c>
      <c r="E204" s="205"/>
      <c r="F204" s="38"/>
      <c r="G204" s="38">
        <f t="shared" ca="1" si="470"/>
        <v>9.0501861701206554E-3</v>
      </c>
      <c r="H204" s="38">
        <f t="shared" ca="1" si="470"/>
        <v>0.25081622879030219</v>
      </c>
      <c r="I204" s="38">
        <f t="shared" ca="1" si="470"/>
        <v>1.5509088361667072</v>
      </c>
      <c r="J204" s="38">
        <f t="shared" ca="1" si="470"/>
        <v>-0.65446146560618024</v>
      </c>
      <c r="K204" s="38">
        <f t="shared" ca="1" si="470"/>
        <v>0.57205374119185137</v>
      </c>
      <c r="L204" s="38">
        <f t="shared" ca="1" si="470"/>
        <v>2.4773784307657198E-2</v>
      </c>
      <c r="M204" s="38">
        <f t="shared" ca="1" si="470"/>
        <v>0.37182324560889812</v>
      </c>
      <c r="N204" s="38">
        <f t="shared" ca="1" si="470"/>
        <v>0.33396079802882461</v>
      </c>
      <c r="O204" s="38"/>
      <c r="P204" s="38"/>
      <c r="Q204" s="38"/>
      <c r="R204" s="38">
        <f t="shared" ref="R204:AZ204" si="472">R138/Q138-1</f>
        <v>0.47100731555118869</v>
      </c>
      <c r="S204" s="38">
        <f t="shared" si="472"/>
        <v>8.5827493709091263E-2</v>
      </c>
      <c r="T204" s="218">
        <f t="shared" si="472"/>
        <v>-7.052763980328558E-2</v>
      </c>
      <c r="U204" s="38">
        <f t="shared" si="472"/>
        <v>-0.26923800618283322</v>
      </c>
      <c r="V204" s="38">
        <f t="shared" si="472"/>
        <v>0.29422732755312198</v>
      </c>
      <c r="W204" s="38">
        <f t="shared" si="472"/>
        <v>0.15284000198192871</v>
      </c>
      <c r="X204" s="218">
        <f t="shared" si="472"/>
        <v>-8.6522192887685589E-2</v>
      </c>
      <c r="Y204" s="38">
        <f t="shared" si="472"/>
        <v>-8.9456707214799258E-2</v>
      </c>
      <c r="Z204" s="38">
        <f t="shared" si="472"/>
        <v>0.39898516562059272</v>
      </c>
      <c r="AA204" s="38">
        <f t="shared" si="472"/>
        <v>9.2879682949989828E-2</v>
      </c>
      <c r="AB204" s="218">
        <f t="shared" si="472"/>
        <v>-0.16693093491622524</v>
      </c>
      <c r="AC204" s="38">
        <f t="shared" si="472"/>
        <v>-0.24149034907584788</v>
      </c>
      <c r="AD204" s="38">
        <f t="shared" si="472"/>
        <v>0.49513857133524852</v>
      </c>
      <c r="AE204" s="38">
        <f t="shared" si="472"/>
        <v>-0.22417834125657121</v>
      </c>
      <c r="AF204" s="218">
        <f t="shared" si="472"/>
        <v>7.6980678751554485</v>
      </c>
      <c r="AG204" s="38">
        <f t="shared" si="472"/>
        <v>-0.91959994352498087</v>
      </c>
      <c r="AH204" s="38">
        <f t="shared" si="472"/>
        <v>0.21491108201955944</v>
      </c>
      <c r="AI204" s="38">
        <f t="shared" ca="1" si="472"/>
        <v>0.28523508144549115</v>
      </c>
      <c r="AJ204" s="218">
        <f t="shared" ca="1" si="472"/>
        <v>0.33102700228537785</v>
      </c>
      <c r="AK204" s="38">
        <f t="shared" ca="1" si="472"/>
        <v>-0.56973882887715455</v>
      </c>
      <c r="AL204" s="38">
        <f t="shared" ca="1" si="472"/>
        <v>1.4849845581990153</v>
      </c>
      <c r="AM204" s="38">
        <f t="shared" ca="1" si="472"/>
        <v>0.80045300113250284</v>
      </c>
      <c r="AN204" s="218">
        <f t="shared" ca="1" si="472"/>
        <v>-0.4767895332746257</v>
      </c>
      <c r="AO204" s="38">
        <f t="shared" ca="1" si="472"/>
        <v>-0.28936175628840399</v>
      </c>
      <c r="AP204" s="38">
        <f t="shared" ca="1" si="472"/>
        <v>0.67547960132970619</v>
      </c>
      <c r="AQ204" s="38">
        <f t="shared" ca="1" si="472"/>
        <v>0.12604328167333323</v>
      </c>
      <c r="AR204" s="218">
        <f t="shared" ca="1" si="472"/>
        <v>-5.741450370082013E-2</v>
      </c>
      <c r="AS204" s="38">
        <f t="shared" ca="1" si="472"/>
        <v>-5.8295669356940416E-2</v>
      </c>
      <c r="AT204" s="38">
        <f t="shared" ca="1" si="472"/>
        <v>0.32267113970852357</v>
      </c>
      <c r="AU204" s="38">
        <f t="shared" ca="1" si="472"/>
        <v>0.12141044073395446</v>
      </c>
      <c r="AV204" s="218">
        <f t="shared" ca="1" si="472"/>
        <v>-6.4262052657879876E-2</v>
      </c>
      <c r="AW204" s="38">
        <f t="shared" ca="1" si="472"/>
        <v>-3.2546302522183268E-2</v>
      </c>
      <c r="AX204" s="38">
        <f t="shared" ca="1" si="472"/>
        <v>0.29164490368181251</v>
      </c>
      <c r="AY204" s="38">
        <f t="shared" ca="1" si="472"/>
        <v>0.10007834479223532</v>
      </c>
      <c r="AZ204" s="38">
        <f t="shared" ca="1" si="472"/>
        <v>1.8535135804250258E-2</v>
      </c>
      <c r="BC204"/>
      <c r="BD204"/>
      <c r="BE204"/>
      <c r="BF204"/>
      <c r="BG204"/>
      <c r="BH204"/>
    </row>
    <row r="205" spans="1:60" s="202" customFormat="1" hidden="1" outlineLevel="1">
      <c r="A205" s="296"/>
      <c r="B205" s="3"/>
      <c r="E205" s="205"/>
      <c r="F205" s="38"/>
      <c r="G205" s="38"/>
      <c r="H205" s="38"/>
      <c r="I205" s="38"/>
      <c r="J205" s="38"/>
      <c r="K205" s="38"/>
      <c r="L205" s="38"/>
      <c r="M205" s="38"/>
      <c r="N205" s="38"/>
      <c r="Q205" s="38"/>
      <c r="R205" s="38"/>
      <c r="S205" s="38"/>
      <c r="T205" s="218"/>
      <c r="U205" s="38"/>
      <c r="V205" s="38"/>
      <c r="W205" s="38"/>
      <c r="X205" s="218"/>
      <c r="Y205" s="38"/>
      <c r="Z205" s="38"/>
      <c r="AA205" s="38"/>
      <c r="AB205" s="218"/>
      <c r="AC205" s="38"/>
      <c r="AD205" s="38"/>
      <c r="AE205" s="38"/>
      <c r="AF205" s="218"/>
      <c r="AG205" s="38"/>
      <c r="AH205" s="38"/>
      <c r="AI205" s="38"/>
      <c r="AJ205" s="218"/>
      <c r="AK205" s="38"/>
      <c r="AL205" s="38"/>
      <c r="AM205" s="38"/>
      <c r="AN205" s="218"/>
      <c r="AO205" s="38"/>
      <c r="AP205" s="38"/>
      <c r="AQ205" s="38"/>
      <c r="AR205" s="218"/>
      <c r="AS205" s="38"/>
      <c r="AT205" s="38"/>
      <c r="AU205" s="38"/>
      <c r="AV205" s="218"/>
      <c r="AW205" s="38"/>
      <c r="AX205" s="38"/>
      <c r="AY205" s="38"/>
      <c r="AZ205" s="38"/>
      <c r="BC205"/>
      <c r="BD205"/>
      <c r="BE205"/>
      <c r="BF205"/>
      <c r="BG205"/>
      <c r="BH205"/>
    </row>
    <row r="206" spans="1:60" collapsed="1">
      <c r="B206" s="79" t="s">
        <v>116</v>
      </c>
      <c r="C206" s="56"/>
      <c r="D206" s="56"/>
      <c r="E206" s="88"/>
      <c r="F206" s="87"/>
      <c r="G206" s="87"/>
      <c r="H206" s="87"/>
      <c r="I206" s="87"/>
      <c r="J206" s="87"/>
      <c r="K206" s="87"/>
      <c r="L206" s="87"/>
      <c r="M206" s="87"/>
      <c r="N206" s="87"/>
      <c r="O206" s="56"/>
      <c r="P206" s="56"/>
      <c r="Q206" s="87"/>
      <c r="R206" s="87"/>
      <c r="S206" s="87"/>
      <c r="T206" s="222"/>
      <c r="U206" s="87"/>
      <c r="V206" s="87"/>
      <c r="W206" s="87"/>
      <c r="X206" s="222"/>
      <c r="Y206" s="87"/>
      <c r="Z206" s="87"/>
      <c r="AA206" s="87"/>
      <c r="AB206" s="222"/>
      <c r="AC206" s="87"/>
      <c r="AD206" s="87"/>
      <c r="AE206" s="87"/>
      <c r="AF206" s="222"/>
      <c r="AG206" s="87"/>
      <c r="AH206" s="87"/>
      <c r="AI206" s="87"/>
      <c r="AJ206" s="222"/>
      <c r="AK206" s="87"/>
      <c r="AL206" s="87"/>
      <c r="AM206" s="87"/>
      <c r="AN206" s="222"/>
      <c r="AO206" s="87"/>
      <c r="AP206" s="87"/>
      <c r="AQ206" s="87"/>
      <c r="AR206" s="222"/>
      <c r="AS206" s="87"/>
      <c r="AT206" s="87"/>
      <c r="AU206" s="87"/>
      <c r="AV206" s="222"/>
      <c r="AW206" s="87"/>
      <c r="AX206" s="87"/>
      <c r="AY206" s="87"/>
      <c r="AZ206" s="87"/>
    </row>
    <row r="207" spans="1:60" s="8" customFormat="1">
      <c r="A207" s="296" t="s">
        <v>710</v>
      </c>
      <c r="B207" s="3" t="s">
        <v>115</v>
      </c>
      <c r="C207" s="1"/>
      <c r="D207" s="1"/>
      <c r="E207" s="10"/>
      <c r="F207" s="58">
        <f t="shared" ref="F207:N207" ca="1" si="473">SUM(OFFSET($P207,0,F$1,1,4))</f>
        <v>15867.587</v>
      </c>
      <c r="G207" s="58">
        <f t="shared" ca="1" si="473"/>
        <v>20496.059999999998</v>
      </c>
      <c r="H207" s="58">
        <f t="shared" ca="1" si="473"/>
        <v>30201.479999999996</v>
      </c>
      <c r="I207" s="58">
        <f t="shared" ca="1" si="473"/>
        <v>38973.468999999997</v>
      </c>
      <c r="J207" s="58">
        <f t="shared" ca="1" si="473"/>
        <v>35373.773000000001</v>
      </c>
      <c r="K207" s="58">
        <f t="shared" ca="1" si="473"/>
        <v>41930.879999999997</v>
      </c>
      <c r="L207" s="58">
        <f t="shared" ca="1" si="473"/>
        <v>49869.238117512134</v>
      </c>
      <c r="M207" s="58">
        <f t="shared" ca="1" si="473"/>
        <v>64698.382712178049</v>
      </c>
      <c r="N207" s="58">
        <f t="shared" ca="1" si="473"/>
        <v>81392.458038754616</v>
      </c>
      <c r="O207" s="58"/>
      <c r="P207" s="58"/>
      <c r="Q207" s="58">
        <f t="shared" ref="Q207:AZ207" si="474">+Q111+Q108</f>
        <v>3014.0219999999995</v>
      </c>
      <c r="R207" s="58">
        <f t="shared" si="474"/>
        <v>3950.5569999999998</v>
      </c>
      <c r="S207" s="58">
        <f t="shared" si="474"/>
        <v>4556.6110000000008</v>
      </c>
      <c r="T207" s="212">
        <f t="shared" si="474"/>
        <v>4346.396999999999</v>
      </c>
      <c r="U207" s="58">
        <f t="shared" si="474"/>
        <v>3873.6800000000003</v>
      </c>
      <c r="V207" s="58">
        <f t="shared" si="474"/>
        <v>4927.7390000000005</v>
      </c>
      <c r="W207" s="58">
        <f t="shared" si="474"/>
        <v>5819.0459999999985</v>
      </c>
      <c r="X207" s="212">
        <f t="shared" si="474"/>
        <v>5875.5949999999984</v>
      </c>
      <c r="Y207" s="58">
        <f t="shared" si="474"/>
        <v>5665.6139999999996</v>
      </c>
      <c r="Z207" s="58">
        <f t="shared" si="474"/>
        <v>7452.8220000000019</v>
      </c>
      <c r="AA207" s="58">
        <f t="shared" si="474"/>
        <v>8459.7949999999983</v>
      </c>
      <c r="AB207" s="212">
        <f t="shared" si="474"/>
        <v>8623.248999999998</v>
      </c>
      <c r="AC207" s="58">
        <f t="shared" si="474"/>
        <v>7407.2250000000004</v>
      </c>
      <c r="AD207" s="58">
        <f t="shared" si="474"/>
        <v>10084.932999999997</v>
      </c>
      <c r="AE207" s="58">
        <f t="shared" si="474"/>
        <v>10915.305999999999</v>
      </c>
      <c r="AF207" s="212">
        <f t="shared" si="474"/>
        <v>10566.005000000001</v>
      </c>
      <c r="AG207" s="58">
        <f t="shared" si="474"/>
        <v>8269.8089999999993</v>
      </c>
      <c r="AH207" s="58">
        <f t="shared" si="474"/>
        <v>9546.1490000000013</v>
      </c>
      <c r="AI207" s="58">
        <f t="shared" ca="1" si="474"/>
        <v>9024.760000000002</v>
      </c>
      <c r="AJ207" s="212">
        <f t="shared" ca="1" si="474"/>
        <v>8533.0550000000003</v>
      </c>
      <c r="AK207" s="58">
        <f t="shared" ca="1" si="474"/>
        <v>7693.8799999999983</v>
      </c>
      <c r="AL207" s="58">
        <f t="shared" ca="1" si="474"/>
        <v>10340</v>
      </c>
      <c r="AM207" s="58">
        <f t="shared" ca="1" si="474"/>
        <v>11741</v>
      </c>
      <c r="AN207" s="212">
        <f t="shared" ca="1" si="474"/>
        <v>12156</v>
      </c>
      <c r="AO207" s="58">
        <f t="shared" ca="1" si="474"/>
        <v>10288.814432104133</v>
      </c>
      <c r="AP207" s="58">
        <f t="shared" ca="1" si="474"/>
        <v>12061.071385357243</v>
      </c>
      <c r="AQ207" s="58">
        <f t="shared" ca="1" si="474"/>
        <v>13798.134990416069</v>
      </c>
      <c r="AR207" s="212">
        <f t="shared" ca="1" si="474"/>
        <v>13721.217309634689</v>
      </c>
      <c r="AS207" s="58">
        <f t="shared" ca="1" si="474"/>
        <v>13044.338834232913</v>
      </c>
      <c r="AT207" s="58">
        <f t="shared" ca="1" si="474"/>
        <v>15787.691720735744</v>
      </c>
      <c r="AU207" s="58">
        <f t="shared" ca="1" si="474"/>
        <v>18248.912237759232</v>
      </c>
      <c r="AV207" s="212">
        <f t="shared" ca="1" si="474"/>
        <v>17617.439919450157</v>
      </c>
      <c r="AW207" s="58">
        <f t="shared" ca="1" si="474"/>
        <v>16595.105726223992</v>
      </c>
      <c r="AX207" s="58">
        <f t="shared" ca="1" si="474"/>
        <v>19427.126329054503</v>
      </c>
      <c r="AY207" s="58">
        <f t="shared" ca="1" si="474"/>
        <v>22552.362855191099</v>
      </c>
      <c r="AZ207" s="58">
        <f t="shared" ca="1" si="474"/>
        <v>22817.863128285033</v>
      </c>
      <c r="BC207"/>
      <c r="BD207"/>
      <c r="BE207"/>
      <c r="BF207"/>
      <c r="BG207"/>
      <c r="BH207"/>
    </row>
    <row r="208" spans="1:60">
      <c r="B208" s="52" t="s">
        <v>111</v>
      </c>
      <c r="E208" s="10"/>
      <c r="F208" s="4">
        <f t="shared" ref="F208:M208" ca="1" si="475">F207/F$94</f>
        <v>0.75355800866986811</v>
      </c>
      <c r="G208" s="4">
        <f t="shared" ca="1" si="475"/>
        <v>0.67968881863423214</v>
      </c>
      <c r="H208" s="4">
        <f t="shared" ca="1" si="475"/>
        <v>0.6522238810475578</v>
      </c>
      <c r="I208" s="4">
        <f t="shared" ca="1" si="475"/>
        <v>0.62194002884668065</v>
      </c>
      <c r="J208" s="4">
        <f t="shared" ca="1" si="475"/>
        <v>0.53114890108742785</v>
      </c>
      <c r="K208" s="4">
        <f t="shared" ca="1" si="475"/>
        <v>0.52374262320062548</v>
      </c>
      <c r="L208" s="4">
        <f t="shared" ca="1" si="475"/>
        <v>0.50173232075677876</v>
      </c>
      <c r="M208" s="4">
        <f t="shared" ca="1" si="475"/>
        <v>0.53294979094317907</v>
      </c>
      <c r="N208" s="4">
        <f t="shared" ref="N208" ca="1" si="476">N207/N$94</f>
        <v>0.5572284611975199</v>
      </c>
      <c r="O208" s="58"/>
      <c r="P208" s="58"/>
      <c r="Q208" s="4">
        <f t="shared" ref="Q208:AV208" si="477">Q207/Q$94</f>
        <v>0.74883310194443431</v>
      </c>
      <c r="R208" s="4">
        <f t="shared" si="477"/>
        <v>0.76699672526226637</v>
      </c>
      <c r="S208" s="4">
        <f t="shared" si="477"/>
        <v>0.77221798964013588</v>
      </c>
      <c r="T208" s="215">
        <f t="shared" si="477"/>
        <v>0.72675337861096945</v>
      </c>
      <c r="U208" s="4">
        <f t="shared" si="477"/>
        <v>0.68751754219729966</v>
      </c>
      <c r="V208" s="4">
        <f t="shared" si="477"/>
        <v>0.69041002854850975</v>
      </c>
      <c r="W208" s="4">
        <f t="shared" si="477"/>
        <v>0.69326144168700543</v>
      </c>
      <c r="X208" s="215">
        <f t="shared" si="477"/>
        <v>0.65359698715747072</v>
      </c>
      <c r="Y208" s="4">
        <f t="shared" si="477"/>
        <v>0.63198829909663123</v>
      </c>
      <c r="Z208" s="4">
        <f t="shared" si="477"/>
        <v>0.65869198683256835</v>
      </c>
      <c r="AA208" s="4">
        <f t="shared" si="477"/>
        <v>0.66285569397574273</v>
      </c>
      <c r="AB208" s="215">
        <f t="shared" si="477"/>
        <v>0.65015293839634392</v>
      </c>
      <c r="AC208" s="4">
        <f t="shared" si="477"/>
        <v>0.6166501725900706</v>
      </c>
      <c r="AD208" s="4">
        <f t="shared" si="477"/>
        <v>0.6445271999888107</v>
      </c>
      <c r="AE208" s="4">
        <f t="shared" si="477"/>
        <v>0.62899272176096999</v>
      </c>
      <c r="AF208" s="215">
        <f t="shared" si="477"/>
        <v>0.59858416038914919</v>
      </c>
      <c r="AG208" s="4">
        <f t="shared" si="477"/>
        <v>0.55373414373579588</v>
      </c>
      <c r="AH208" s="4">
        <f t="shared" si="477"/>
        <v>0.55369255772867887</v>
      </c>
      <c r="AI208" s="4">
        <f t="shared" ca="1" si="477"/>
        <v>0.52376340029713153</v>
      </c>
      <c r="AJ208" s="215">
        <f t="shared" ca="1" si="477"/>
        <v>0.49632451641924447</v>
      </c>
      <c r="AK208" s="4">
        <f t="shared" ca="1" si="477"/>
        <v>0.48252917849404214</v>
      </c>
      <c r="AL208" s="4">
        <f t="shared" ca="1" si="477"/>
        <v>0.52473842246375746</v>
      </c>
      <c r="AM208" s="4">
        <f t="shared" ca="1" si="477"/>
        <v>0.52950317169739025</v>
      </c>
      <c r="AN208" s="215">
        <f t="shared" ca="1" si="477"/>
        <v>0.54665981677992004</v>
      </c>
      <c r="AO208" s="4">
        <f t="shared" ca="1" si="477"/>
        <v>0.49779213672154704</v>
      </c>
      <c r="AP208" s="4">
        <f t="shared" ca="1" si="477"/>
        <v>0.48745429973721921</v>
      </c>
      <c r="AQ208" s="4">
        <f t="shared" ca="1" si="477"/>
        <v>0.51062625668293038</v>
      </c>
      <c r="AR208" s="215">
        <f t="shared" ca="1" si="477"/>
        <v>0.50894249955109161</v>
      </c>
      <c r="AS208" s="4">
        <f t="shared" ca="1" si="477"/>
        <v>0.49815254688329513</v>
      </c>
      <c r="AT208" s="4">
        <f t="shared" ca="1" si="477"/>
        <v>0.52280021254625864</v>
      </c>
      <c r="AU208" s="4">
        <f t="shared" ca="1" si="477"/>
        <v>0.55208103886065585</v>
      </c>
      <c r="AV208" s="215">
        <f t="shared" ca="1" si="477"/>
        <v>0.55126438098921204</v>
      </c>
      <c r="AW208" s="4">
        <f t="shared" ref="AW208:AZ208" ca="1" si="478">AW207/AW$94</f>
        <v>0.5219178755131495</v>
      </c>
      <c r="AX208" s="4">
        <f t="shared" ca="1" si="478"/>
        <v>0.53874976654979168</v>
      </c>
      <c r="AY208" s="4">
        <f t="shared" ca="1" si="478"/>
        <v>0.57490997181545245</v>
      </c>
      <c r="AZ208" s="4">
        <f t="shared" ca="1" si="478"/>
        <v>0.58533002394322187</v>
      </c>
    </row>
    <row r="209" spans="1:60">
      <c r="B209" s="52" t="s">
        <v>110</v>
      </c>
      <c r="E209" s="10"/>
      <c r="F209" s="4">
        <f t="shared" ref="F209:M209" ca="1" si="479">F207/F$89</f>
        <v>0.71135876018435551</v>
      </c>
      <c r="G209" s="4">
        <f t="shared" ca="1" si="479"/>
        <v>0.64162624479071506</v>
      </c>
      <c r="H209" s="4">
        <f t="shared" ca="1" si="479"/>
        <v>0.61569934370889456</v>
      </c>
      <c r="I209" s="4">
        <f t="shared" ca="1" si="479"/>
        <v>0.58711138723126655</v>
      </c>
      <c r="J209" s="4">
        <f t="shared" ca="1" si="479"/>
        <v>0.50140456262653199</v>
      </c>
      <c r="K209" s="4">
        <f t="shared" ca="1" si="479"/>
        <v>0.49441291526113806</v>
      </c>
      <c r="L209" s="4">
        <f t="shared" ca="1" si="479"/>
        <v>0.47363288878589443</v>
      </c>
      <c r="M209" s="4">
        <f t="shared" ca="1" si="479"/>
        <v>0.50310208093814746</v>
      </c>
      <c r="N209" s="4">
        <f t="shared" ref="N209" ca="1" si="480">N207/N$89</f>
        <v>0.5260210840496069</v>
      </c>
      <c r="O209" s="58"/>
      <c r="P209" s="58"/>
      <c r="Q209" s="4">
        <f t="shared" ref="Q209:AV209" si="481">Q207/Q$89</f>
        <v>0.70689844823554593</v>
      </c>
      <c r="R209" s="4">
        <f t="shared" si="481"/>
        <v>0.72404490864757942</v>
      </c>
      <c r="S209" s="4">
        <f t="shared" si="481"/>
        <v>0.7289737822202883</v>
      </c>
      <c r="T209" s="215">
        <f t="shared" si="481"/>
        <v>0.68605518940875521</v>
      </c>
      <c r="U209" s="4">
        <f t="shared" si="481"/>
        <v>0.64901655983425088</v>
      </c>
      <c r="V209" s="4">
        <f t="shared" si="481"/>
        <v>0.65174706694979323</v>
      </c>
      <c r="W209" s="4">
        <f t="shared" si="481"/>
        <v>0.65443880095253315</v>
      </c>
      <c r="X209" s="215">
        <f t="shared" si="481"/>
        <v>0.61699555587665234</v>
      </c>
      <c r="Y209" s="4">
        <f t="shared" si="481"/>
        <v>0.59659695434721993</v>
      </c>
      <c r="Z209" s="4">
        <f t="shared" si="481"/>
        <v>0.6218052355699446</v>
      </c>
      <c r="AA209" s="4">
        <f t="shared" si="481"/>
        <v>0.62573577511310108</v>
      </c>
      <c r="AB209" s="215">
        <f t="shared" si="481"/>
        <v>0.61374437384614855</v>
      </c>
      <c r="AC209" s="4">
        <f t="shared" si="481"/>
        <v>0.58211776292502659</v>
      </c>
      <c r="AD209" s="4">
        <f t="shared" si="481"/>
        <v>0.60843367678943727</v>
      </c>
      <c r="AE209" s="4">
        <f t="shared" si="481"/>
        <v>0.59376912934235559</v>
      </c>
      <c r="AF209" s="215">
        <f t="shared" si="481"/>
        <v>0.56506344740735681</v>
      </c>
      <c r="AG209" s="4">
        <f t="shared" si="481"/>
        <v>0.52272503168659135</v>
      </c>
      <c r="AH209" s="4">
        <f t="shared" si="481"/>
        <v>0.52268577449587295</v>
      </c>
      <c r="AI209" s="4">
        <f t="shared" ca="1" si="481"/>
        <v>0.49443264988049213</v>
      </c>
      <c r="AJ209" s="215">
        <f t="shared" ca="1" si="481"/>
        <v>0.46853034349976674</v>
      </c>
      <c r="AK209" s="4">
        <f t="shared" ca="1" si="481"/>
        <v>0.45550754449837577</v>
      </c>
      <c r="AL209" s="4">
        <f t="shared" ca="1" si="481"/>
        <v>0.49535307080578711</v>
      </c>
      <c r="AM209" s="4">
        <f t="shared" ca="1" si="481"/>
        <v>0.49985099408233641</v>
      </c>
      <c r="AN209" s="215">
        <f t="shared" ca="1" si="481"/>
        <v>0.51604686704024449</v>
      </c>
      <c r="AO209" s="4">
        <f t="shared" ca="1" si="481"/>
        <v>0.46991335918282628</v>
      </c>
      <c r="AP209" s="4">
        <f t="shared" ca="1" si="481"/>
        <v>0.46015449728900487</v>
      </c>
      <c r="AQ209" s="4">
        <f t="shared" ca="1" si="481"/>
        <v>0.48202873872794916</v>
      </c>
      <c r="AR209" s="215">
        <f t="shared" ca="1" si="481"/>
        <v>0.48043926531279618</v>
      </c>
      <c r="AS209" s="4">
        <f t="shared" ca="1" si="481"/>
        <v>0.47025363040724161</v>
      </c>
      <c r="AT209" s="4">
        <f t="shared" ca="1" si="481"/>
        <v>0.49352091569353507</v>
      </c>
      <c r="AU209" s="4">
        <f t="shared" ca="1" si="481"/>
        <v>0.52116188895755533</v>
      </c>
      <c r="AV209" s="215">
        <f t="shared" ca="1" si="481"/>
        <v>0.52039099320123272</v>
      </c>
      <c r="AW209" s="4">
        <f t="shared" ref="AW209:AZ209" ca="1" si="482">AW207/AW$89</f>
        <v>0.49268804735561034</v>
      </c>
      <c r="AX209" s="4">
        <f t="shared" ca="1" si="482"/>
        <v>0.50857727653508689</v>
      </c>
      <c r="AY209" s="4">
        <f t="shared" ca="1" si="482"/>
        <v>0.54271234670309543</v>
      </c>
      <c r="AZ209" s="4">
        <f t="shared" ca="1" si="482"/>
        <v>0.55254884276460881</v>
      </c>
    </row>
    <row r="210" spans="1:60" s="8" customFormat="1">
      <c r="A210" s="296" t="s">
        <v>711</v>
      </c>
      <c r="B210" s="3" t="s">
        <v>114</v>
      </c>
      <c r="C210" s="1"/>
      <c r="D210" s="1"/>
      <c r="E210" s="10"/>
      <c r="F210" s="58">
        <f t="shared" ref="F210:N210" ca="1" si="483">SUM(OFFSET($P210,0,F$1,1,4))</f>
        <v>12727.605999999998</v>
      </c>
      <c r="G210" s="58">
        <f t="shared" ca="1" si="483"/>
        <v>13818.546000000002</v>
      </c>
      <c r="H210" s="58">
        <f t="shared" ca="1" si="483"/>
        <v>16755.048999999999</v>
      </c>
      <c r="I210" s="58">
        <f t="shared" ca="1" si="483"/>
        <v>16660.033999999996</v>
      </c>
      <c r="J210" s="58">
        <f t="shared" ca="1" si="483"/>
        <v>15792.040000000005</v>
      </c>
      <c r="K210" s="58">
        <f t="shared" ca="1" si="483"/>
        <v>23333.348999999998</v>
      </c>
      <c r="L210" s="58">
        <f t="shared" ca="1" si="483"/>
        <v>25495.546356641265</v>
      </c>
      <c r="M210" s="58">
        <f t="shared" ca="1" si="483"/>
        <v>34263.297006854365</v>
      </c>
      <c r="N210" s="58">
        <f t="shared" ca="1" si="483"/>
        <v>46243.945462607851</v>
      </c>
      <c r="O210" s="58"/>
      <c r="P210" s="58"/>
      <c r="Q210" s="58">
        <f t="shared" ref="Q210:AZ210" ca="1" si="484">+Q122+Q268+Q276</f>
        <v>2442.3539999999998</v>
      </c>
      <c r="R210" s="58">
        <f t="shared" ca="1" si="484"/>
        <v>3236.8799999999997</v>
      </c>
      <c r="S210" s="58">
        <f t="shared" ca="1" si="484"/>
        <v>3724.0359999999996</v>
      </c>
      <c r="T210" s="212">
        <f t="shared" ca="1" si="484"/>
        <v>3324.3359999999993</v>
      </c>
      <c r="U210" s="58">
        <f t="shared" ca="1" si="484"/>
        <v>2781.0590000000002</v>
      </c>
      <c r="V210" s="58">
        <f t="shared" ca="1" si="484"/>
        <v>3476.9320000000002</v>
      </c>
      <c r="W210" s="58">
        <f t="shared" ca="1" si="484"/>
        <v>3997.6020000000035</v>
      </c>
      <c r="X210" s="212">
        <f t="shared" ca="1" si="484"/>
        <v>3562.9529999999986</v>
      </c>
      <c r="Y210" s="58">
        <f t="shared" ca="1" si="484"/>
        <v>3219.411000000001</v>
      </c>
      <c r="Z210" s="58">
        <f t="shared" ca="1" si="484"/>
        <v>4494.3509999999987</v>
      </c>
      <c r="AA210" s="58">
        <f t="shared" ca="1" si="484"/>
        <v>4916.4419999999973</v>
      </c>
      <c r="AB210" s="212">
        <f t="shared" ca="1" si="484"/>
        <v>4124.8449999999993</v>
      </c>
      <c r="AC210" s="58">
        <f t="shared" si="484"/>
        <v>3296.2240000000002</v>
      </c>
      <c r="AD210" s="58">
        <f t="shared" si="484"/>
        <v>4706.5159999999978</v>
      </c>
      <c r="AE210" s="58">
        <f t="shared" si="484"/>
        <v>3842.0819999999985</v>
      </c>
      <c r="AF210" s="212">
        <f t="shared" si="484"/>
        <v>4815.2120000000004</v>
      </c>
      <c r="AG210" s="58">
        <f t="shared" si="484"/>
        <v>3457.262999999999</v>
      </c>
      <c r="AH210" s="58">
        <f t="shared" si="484"/>
        <v>4250.2260000000024</v>
      </c>
      <c r="AI210" s="58">
        <f t="shared" ca="1" si="484"/>
        <v>4229.622000000003</v>
      </c>
      <c r="AJ210" s="212">
        <f t="shared" ca="1" si="484"/>
        <v>3854.9290000000001</v>
      </c>
      <c r="AK210" s="58">
        <f t="shared" ca="1" si="484"/>
        <v>3626.3489999999993</v>
      </c>
      <c r="AL210" s="58">
        <f t="shared" ca="1" si="484"/>
        <v>6008</v>
      </c>
      <c r="AM210" s="58">
        <f t="shared" ca="1" si="484"/>
        <v>6845</v>
      </c>
      <c r="AN210" s="212">
        <f t="shared" ca="1" si="484"/>
        <v>6854</v>
      </c>
      <c r="AO210" s="58">
        <f t="shared" ca="1" si="484"/>
        <v>4819.4946895880294</v>
      </c>
      <c r="AP210" s="58">
        <f t="shared" ca="1" si="484"/>
        <v>6361.7652615594925</v>
      </c>
      <c r="AQ210" s="58">
        <f t="shared" ca="1" si="484"/>
        <v>7426.4252312427416</v>
      </c>
      <c r="AR210" s="212">
        <f t="shared" ca="1" si="484"/>
        <v>6887.8611742510029</v>
      </c>
      <c r="AS210" s="58">
        <f t="shared" ca="1" si="484"/>
        <v>6425.5227436497689</v>
      </c>
      <c r="AT210" s="58">
        <f t="shared" ca="1" si="484"/>
        <v>8493.3329110419672</v>
      </c>
      <c r="AU210" s="58">
        <f t="shared" ca="1" si="484"/>
        <v>9981.8900271106886</v>
      </c>
      <c r="AV210" s="212">
        <f t="shared" ca="1" si="484"/>
        <v>9362.5513250519434</v>
      </c>
      <c r="AW210" s="58">
        <f t="shared" ca="1" si="484"/>
        <v>8778.9258164783278</v>
      </c>
      <c r="AX210" s="58">
        <f t="shared" ca="1" si="484"/>
        <v>11197.912052232572</v>
      </c>
      <c r="AY210" s="58">
        <f t="shared" ca="1" si="484"/>
        <v>12994.179568843025</v>
      </c>
      <c r="AZ210" s="58">
        <f t="shared" ca="1" si="484"/>
        <v>13272.92802505393</v>
      </c>
      <c r="BC210"/>
      <c r="BD210"/>
      <c r="BE210"/>
      <c r="BF210"/>
      <c r="BG210"/>
      <c r="BH210"/>
    </row>
    <row r="211" spans="1:60">
      <c r="A211" s="296" t="s">
        <v>715</v>
      </c>
      <c r="B211" s="52" t="s">
        <v>111</v>
      </c>
      <c r="E211" s="10"/>
      <c r="F211" s="4">
        <f t="shared" ref="F211:M211" ca="1" si="485">F210/F$94</f>
        <v>0.60443906389135693</v>
      </c>
      <c r="G211" s="4">
        <f t="shared" ca="1" si="485"/>
        <v>0.4582495955799698</v>
      </c>
      <c r="H211" s="4">
        <f t="shared" ca="1" si="485"/>
        <v>0.36183799886369822</v>
      </c>
      <c r="I211" s="4">
        <f t="shared" ca="1" si="485"/>
        <v>0.26586142553917069</v>
      </c>
      <c r="J211" s="4">
        <f t="shared" ca="1" si="485"/>
        <v>0.23712270364624963</v>
      </c>
      <c r="K211" s="4">
        <f t="shared" ca="1" si="485"/>
        <v>0.29144795943504381</v>
      </c>
      <c r="L211" s="4">
        <f t="shared" ca="1" si="485"/>
        <v>0.25650962648229481</v>
      </c>
      <c r="M211" s="4">
        <f t="shared" ca="1" si="485"/>
        <v>0.28224224797183267</v>
      </c>
      <c r="N211" s="4">
        <f t="shared" ref="N211" ca="1" si="486">N210/N$94</f>
        <v>0.31659496703689044</v>
      </c>
      <c r="O211" s="58"/>
      <c r="P211" s="58"/>
      <c r="Q211" s="4">
        <f t="shared" ref="Q211:AV211" ca="1" si="487">Q210/Q$94</f>
        <v>0.60680231327654444</v>
      </c>
      <c r="R211" s="4">
        <f t="shared" ca="1" si="487"/>
        <v>0.6284370431984464</v>
      </c>
      <c r="S211" s="4">
        <f t="shared" ca="1" si="487"/>
        <v>0.63111983736761657</v>
      </c>
      <c r="T211" s="215">
        <f t="shared" ca="1" si="487"/>
        <v>0.55585636094403612</v>
      </c>
      <c r="U211" s="4">
        <f t="shared" ca="1" si="487"/>
        <v>0.49359442400654674</v>
      </c>
      <c r="V211" s="4">
        <f t="shared" ca="1" si="487"/>
        <v>0.4871420181509668</v>
      </c>
      <c r="W211" s="4">
        <f t="shared" ca="1" si="487"/>
        <v>0.47626076951631929</v>
      </c>
      <c r="X211" s="215">
        <f t="shared" ca="1" si="487"/>
        <v>0.39634034445595234</v>
      </c>
      <c r="Y211" s="4">
        <f t="shared" ca="1" si="487"/>
        <v>0.35911907905886026</v>
      </c>
      <c r="Z211" s="4">
        <f t="shared" ca="1" si="487"/>
        <v>0.39721772366399455</v>
      </c>
      <c r="AA211" s="4">
        <f t="shared" ca="1" si="487"/>
        <v>0.38522110450684527</v>
      </c>
      <c r="AB211" s="215">
        <f t="shared" ca="1" si="487"/>
        <v>0.31099416208200265</v>
      </c>
      <c r="AC211" s="4">
        <f t="shared" si="487"/>
        <v>0.27441006564476345</v>
      </c>
      <c r="AD211" s="4">
        <f t="shared" si="487"/>
        <v>0.30079303245569766</v>
      </c>
      <c r="AE211" s="4">
        <f t="shared" si="487"/>
        <v>0.22139934642316306</v>
      </c>
      <c r="AF211" s="215">
        <f t="shared" si="487"/>
        <v>0.27279086391836421</v>
      </c>
      <c r="AG211" s="4">
        <f t="shared" si="487"/>
        <v>0.2314932021978317</v>
      </c>
      <c r="AH211" s="4">
        <f t="shared" si="487"/>
        <v>0.24652019415001097</v>
      </c>
      <c r="AI211" s="4">
        <f t="shared" ca="1" si="487"/>
        <v>0.2454714807586634</v>
      </c>
      <c r="AJ211" s="215">
        <f t="shared" ca="1" si="487"/>
        <v>0.22422166173258248</v>
      </c>
      <c r="AK211" s="4">
        <f t="shared" ca="1" si="487"/>
        <v>0.22743000981334402</v>
      </c>
      <c r="AL211" s="4">
        <f t="shared" ca="1" si="487"/>
        <v>0.30489636771395118</v>
      </c>
      <c r="AM211" s="4">
        <f t="shared" ca="1" si="487"/>
        <v>0.30870021380364843</v>
      </c>
      <c r="AN211" s="215">
        <f t="shared" ca="1" si="487"/>
        <v>0.30822691544994829</v>
      </c>
      <c r="AO211" s="4">
        <f t="shared" ca="1" si="487"/>
        <v>0.23317619102568851</v>
      </c>
      <c r="AP211" s="4">
        <f t="shared" ca="1" si="487"/>
        <v>0.25711396040909823</v>
      </c>
      <c r="AQ211" s="4">
        <f t="shared" ca="1" si="487"/>
        <v>0.27482900544161143</v>
      </c>
      <c r="AR211" s="215">
        <f t="shared" ca="1" si="487"/>
        <v>0.25548209050830589</v>
      </c>
      <c r="AS211" s="4">
        <f t="shared" ca="1" si="487"/>
        <v>0.24538541665334646</v>
      </c>
      <c r="AT211" s="4">
        <f t="shared" ca="1" si="487"/>
        <v>0.28125177066175605</v>
      </c>
      <c r="AU211" s="4">
        <f t="shared" ca="1" si="487"/>
        <v>0.30198031225979288</v>
      </c>
      <c r="AV211" s="215">
        <f t="shared" ca="1" si="487"/>
        <v>0.2929620355898776</v>
      </c>
      <c r="AW211" s="4">
        <f t="shared" ref="AW211:AZ211" ca="1" si="488">AW210/AW$94</f>
        <v>0.27609816936468889</v>
      </c>
      <c r="AX211" s="4">
        <f t="shared" ca="1" si="488"/>
        <v>0.31053859442725984</v>
      </c>
      <c r="AY211" s="4">
        <f t="shared" ca="1" si="488"/>
        <v>0.33125058592115181</v>
      </c>
      <c r="AZ211" s="4">
        <f t="shared" ca="1" si="488"/>
        <v>0.34048075558271573</v>
      </c>
    </row>
    <row r="212" spans="1:60">
      <c r="B212" s="52" t="s">
        <v>110</v>
      </c>
      <c r="E212" s="10"/>
      <c r="F212" s="4">
        <f t="shared" ref="F212:M212" ca="1" si="489">F210/F$89</f>
        <v>0.57059047631344095</v>
      </c>
      <c r="G212" s="4">
        <f t="shared" ca="1" si="489"/>
        <v>0.43258761822749148</v>
      </c>
      <c r="H212" s="4">
        <f t="shared" ca="1" si="489"/>
        <v>0.34157507092733108</v>
      </c>
      <c r="I212" s="4">
        <f t="shared" ca="1" si="489"/>
        <v>0.25097318570897714</v>
      </c>
      <c r="J212" s="4">
        <f t="shared" ca="1" si="489"/>
        <v>0.22384383224205967</v>
      </c>
      <c r="K212" s="4">
        <f t="shared" ca="1" si="489"/>
        <v>0.27512680635120373</v>
      </c>
      <c r="L212" s="4">
        <f t="shared" ca="1" si="489"/>
        <v>0.24214384915237422</v>
      </c>
      <c r="M212" s="4">
        <f t="shared" ca="1" si="489"/>
        <v>0.26643534662429152</v>
      </c>
      <c r="N212" s="4">
        <f t="shared" ref="N212" ca="1" si="490">N210/N$89</f>
        <v>0.29886418114304297</v>
      </c>
      <c r="O212" s="58"/>
      <c r="P212" s="58"/>
      <c r="Q212" s="4">
        <f t="shared" ref="Q212:AV212" ca="1" si="491">Q210/Q$89</f>
        <v>0.57282138373305791</v>
      </c>
      <c r="R212" s="4">
        <f t="shared" ca="1" si="491"/>
        <v>0.5932445687793334</v>
      </c>
      <c r="S212" s="4">
        <f t="shared" ca="1" si="491"/>
        <v>0.59577712647503001</v>
      </c>
      <c r="T212" s="215">
        <f t="shared" ca="1" si="491"/>
        <v>0.52472840473117011</v>
      </c>
      <c r="U212" s="4">
        <f t="shared" ca="1" si="491"/>
        <v>0.4659531362621801</v>
      </c>
      <c r="V212" s="4">
        <f t="shared" ca="1" si="491"/>
        <v>0.45986206513451267</v>
      </c>
      <c r="W212" s="4">
        <f t="shared" ca="1" si="491"/>
        <v>0.44959016642340538</v>
      </c>
      <c r="X212" s="215">
        <f t="shared" ca="1" si="491"/>
        <v>0.37414528516641904</v>
      </c>
      <c r="Y212" s="4">
        <f t="shared" ca="1" si="491"/>
        <v>0.33900841063156406</v>
      </c>
      <c r="Z212" s="4">
        <f t="shared" ca="1" si="491"/>
        <v>0.37497353113881082</v>
      </c>
      <c r="AA212" s="4">
        <f t="shared" ca="1" si="491"/>
        <v>0.36364872265446191</v>
      </c>
      <c r="AB212" s="215">
        <f t="shared" ca="1" si="491"/>
        <v>0.2935784890054105</v>
      </c>
      <c r="AC212" s="4">
        <f t="shared" si="491"/>
        <v>0.25904310196865665</v>
      </c>
      <c r="AD212" s="4">
        <f t="shared" si="491"/>
        <v>0.2839486226381786</v>
      </c>
      <c r="AE212" s="4">
        <f t="shared" si="491"/>
        <v>0.20900098302346592</v>
      </c>
      <c r="AF212" s="215">
        <f t="shared" si="491"/>
        <v>0.25751457553893581</v>
      </c>
      <c r="AG212" s="4">
        <f t="shared" si="491"/>
        <v>0.21852958287475313</v>
      </c>
      <c r="AH212" s="4">
        <f t="shared" si="491"/>
        <v>0.23271506327761038</v>
      </c>
      <c r="AI212" s="4">
        <f t="shared" ca="1" si="491"/>
        <v>0.23172507783617821</v>
      </c>
      <c r="AJ212" s="215">
        <f t="shared" ca="1" si="491"/>
        <v>0.21166524867555786</v>
      </c>
      <c r="AK212" s="4">
        <f t="shared" ca="1" si="491"/>
        <v>0.21469392926379677</v>
      </c>
      <c r="AL212" s="4">
        <f t="shared" ca="1" si="491"/>
        <v>0.28782217112196989</v>
      </c>
      <c r="AM212" s="4">
        <f t="shared" ca="1" si="491"/>
        <v>0.29141300183064411</v>
      </c>
      <c r="AN212" s="215">
        <f t="shared" ca="1" si="491"/>
        <v>0.29096620818475122</v>
      </c>
      <c r="AO212" s="4">
        <f t="shared" ca="1" si="491"/>
        <v>0.22011719174188155</v>
      </c>
      <c r="AP212" s="4">
        <f t="shared" ca="1" si="491"/>
        <v>0.24271433293708633</v>
      </c>
      <c r="AQ212" s="4">
        <f t="shared" ca="1" si="491"/>
        <v>0.25943726380121557</v>
      </c>
      <c r="AR212" s="215">
        <f t="shared" ca="1" si="491"/>
        <v>0.24117386143356614</v>
      </c>
      <c r="AS212" s="4">
        <f t="shared" ca="1" si="491"/>
        <v>0.23164266398353595</v>
      </c>
      <c r="AT212" s="4">
        <f t="shared" ca="1" si="491"/>
        <v>0.26550033467160511</v>
      </c>
      <c r="AU212" s="4">
        <f t="shared" ca="1" si="491"/>
        <v>0.28506798619654938</v>
      </c>
      <c r="AV212" s="215">
        <f t="shared" ca="1" si="491"/>
        <v>0.27655478918717724</v>
      </c>
      <c r="AW212" s="4">
        <f t="shared" ref="AW212:AZ212" ca="1" si="492">AW210/AW$89</f>
        <v>0.26063538791232671</v>
      </c>
      <c r="AX212" s="4">
        <f t="shared" ca="1" si="492"/>
        <v>0.29314699034445596</v>
      </c>
      <c r="AY212" s="4">
        <f t="shared" ca="1" si="492"/>
        <v>0.31269901662055616</v>
      </c>
      <c r="AZ212" s="4">
        <f t="shared" ca="1" si="492"/>
        <v>0.32141226280082019</v>
      </c>
    </row>
    <row r="213" spans="1:60" s="8" customFormat="1">
      <c r="A213" s="296" t="s">
        <v>712</v>
      </c>
      <c r="B213" s="3" t="s">
        <v>113</v>
      </c>
      <c r="C213" s="1"/>
      <c r="D213" s="1"/>
      <c r="E213" s="10"/>
      <c r="F213" s="58">
        <f t="shared" ref="F213:N213" ca="1" si="493">SUM(OFFSET($P213,0,F$1,1,4))</f>
        <v>11263.626999999999</v>
      </c>
      <c r="G213" s="58">
        <f t="shared" ca="1" si="493"/>
        <v>11706.445999999996</v>
      </c>
      <c r="H213" s="58">
        <f t="shared" ca="1" si="493"/>
        <v>13766.502999999997</v>
      </c>
      <c r="I213" s="58">
        <f t="shared" ca="1" si="493"/>
        <v>13058.671999999997</v>
      </c>
      <c r="J213" s="58">
        <f t="shared" ca="1" si="493"/>
        <v>11809.068000000007</v>
      </c>
      <c r="K213" s="58">
        <f t="shared" ca="1" si="493"/>
        <v>18934.456999999999</v>
      </c>
      <c r="L213" s="58">
        <f t="shared" ca="1" si="493"/>
        <v>20444.039923320321</v>
      </c>
      <c r="M213" s="58">
        <f t="shared" ca="1" si="493"/>
        <v>28507.129301856177</v>
      </c>
      <c r="N213" s="58">
        <f t="shared" ca="1" si="493"/>
        <v>39772.03452824369</v>
      </c>
      <c r="O213" s="58"/>
      <c r="P213" s="58"/>
      <c r="Q213" s="58">
        <f t="shared" ref="Q213:AZ213" ca="1" si="494">+Q210-Q276</f>
        <v>2126.625</v>
      </c>
      <c r="R213" s="58">
        <f t="shared" ca="1" si="494"/>
        <v>2868.7529999999997</v>
      </c>
      <c r="S213" s="58">
        <f t="shared" ca="1" si="494"/>
        <v>3353.5990000000002</v>
      </c>
      <c r="T213" s="212">
        <f t="shared" ca="1" si="494"/>
        <v>2914.6499999999992</v>
      </c>
      <c r="U213" s="58">
        <f t="shared" ca="1" si="494"/>
        <v>2321.4380000000001</v>
      </c>
      <c r="V213" s="58">
        <f t="shared" ca="1" si="494"/>
        <v>2987.1489999999999</v>
      </c>
      <c r="W213" s="58">
        <f t="shared" ca="1" si="494"/>
        <v>3480.8849999999984</v>
      </c>
      <c r="X213" s="212">
        <f t="shared" ca="1" si="494"/>
        <v>2916.9739999999983</v>
      </c>
      <c r="Y213" s="58">
        <f t="shared" ca="1" si="494"/>
        <v>2542.6389999999992</v>
      </c>
      <c r="Z213" s="58">
        <f t="shared" ca="1" si="494"/>
        <v>3778.8220000000015</v>
      </c>
      <c r="AA213" s="58">
        <f t="shared" ca="1" si="494"/>
        <v>4154.0139999999983</v>
      </c>
      <c r="AB213" s="212">
        <f t="shared" ca="1" si="494"/>
        <v>3291.0279999999993</v>
      </c>
      <c r="AC213" s="58">
        <f t="shared" si="494"/>
        <v>2446.3890000000001</v>
      </c>
      <c r="AD213" s="58">
        <f t="shared" si="494"/>
        <v>3824.4179999999978</v>
      </c>
      <c r="AE213" s="58">
        <f t="shared" si="494"/>
        <v>2911.9689999999987</v>
      </c>
      <c r="AF213" s="212">
        <f t="shared" si="494"/>
        <v>3875.8960000000006</v>
      </c>
      <c r="AG213" s="58">
        <f t="shared" si="494"/>
        <v>2519.7989999999991</v>
      </c>
      <c r="AH213" s="58">
        <f t="shared" si="494"/>
        <v>3267.3170000000023</v>
      </c>
      <c r="AI213" s="58">
        <f t="shared" ca="1" si="494"/>
        <v>3204.8930000000028</v>
      </c>
      <c r="AJ213" s="212">
        <f t="shared" ca="1" si="494"/>
        <v>2817.0590000000002</v>
      </c>
      <c r="AK213" s="58">
        <f t="shared" ca="1" si="494"/>
        <v>2636.4569999999994</v>
      </c>
      <c r="AL213" s="58">
        <f t="shared" ca="1" si="494"/>
        <v>5006</v>
      </c>
      <c r="AM213" s="58">
        <f t="shared" ca="1" si="494"/>
        <v>5541</v>
      </c>
      <c r="AN213" s="212">
        <f t="shared" ca="1" si="494"/>
        <v>5751</v>
      </c>
      <c r="AO213" s="58">
        <f t="shared" ca="1" si="494"/>
        <v>3621.6724282351506</v>
      </c>
      <c r="AP213" s="58">
        <f t="shared" ca="1" si="494"/>
        <v>5122.9498559971562</v>
      </c>
      <c r="AQ213" s="58">
        <f t="shared" ca="1" si="494"/>
        <v>6146.5598785961774</v>
      </c>
      <c r="AR213" s="212">
        <f t="shared" ca="1" si="494"/>
        <v>5552.8577604918337</v>
      </c>
      <c r="AS213" s="58">
        <f t="shared" ca="1" si="494"/>
        <v>5050.8179804259771</v>
      </c>
      <c r="AT213" s="58">
        <f t="shared" ca="1" si="494"/>
        <v>7084.3191434795726</v>
      </c>
      <c r="AU213" s="58">
        <f t="shared" ca="1" si="494"/>
        <v>8526.8248869726758</v>
      </c>
      <c r="AV213" s="212">
        <f t="shared" ca="1" si="494"/>
        <v>7845.1672909779527</v>
      </c>
      <c r="AW213" s="58">
        <f t="shared" ca="1" si="494"/>
        <v>7220.0669209512098</v>
      </c>
      <c r="AX213" s="58">
        <f t="shared" ca="1" si="494"/>
        <v>9608.3310780824286</v>
      </c>
      <c r="AY213" s="58">
        <f t="shared" ca="1" si="494"/>
        <v>11365.130873027616</v>
      </c>
      <c r="AZ213" s="58">
        <f t="shared" ca="1" si="494"/>
        <v>11578.505656182439</v>
      </c>
      <c r="BC213"/>
      <c r="BD213"/>
      <c r="BE213"/>
      <c r="BF213"/>
      <c r="BG213"/>
      <c r="BH213"/>
    </row>
    <row r="214" spans="1:60">
      <c r="A214" s="296" t="s">
        <v>714</v>
      </c>
      <c r="B214" s="52" t="s">
        <v>111</v>
      </c>
      <c r="E214" s="10"/>
      <c r="F214" s="4">
        <f t="shared" ref="F214:M214" ca="1" si="495">F213/F$94</f>
        <v>0.53491411974108982</v>
      </c>
      <c r="G214" s="4">
        <f t="shared" ca="1" si="495"/>
        <v>0.38820829233254733</v>
      </c>
      <c r="H214" s="4">
        <f t="shared" ca="1" si="495"/>
        <v>0.29729807993226981</v>
      </c>
      <c r="I214" s="4">
        <f t="shared" ca="1" si="495"/>
        <v>0.20839076040111643</v>
      </c>
      <c r="J214" s="4">
        <f t="shared" ca="1" si="495"/>
        <v>0.17731706174138431</v>
      </c>
      <c r="K214" s="4">
        <f t="shared" ca="1" si="495"/>
        <v>0.23650307787624408</v>
      </c>
      <c r="L214" s="4">
        <f t="shared" ca="1" si="495"/>
        <v>0.20568663134979256</v>
      </c>
      <c r="M214" s="4">
        <f t="shared" ca="1" si="495"/>
        <v>0.23482609556721887</v>
      </c>
      <c r="N214" s="4">
        <f t="shared" ref="N214" ca="1" si="496">N213/N$94</f>
        <v>0.27228701691642587</v>
      </c>
      <c r="O214" s="58"/>
      <c r="P214" s="58"/>
      <c r="Q214" s="4">
        <f t="shared" ref="Q214:AV214" ca="1" si="497">Q213/Q$94</f>
        <v>0.52835951277813598</v>
      </c>
      <c r="R214" s="4">
        <f t="shared" ca="1" si="497"/>
        <v>0.55696555108211387</v>
      </c>
      <c r="S214" s="4">
        <f t="shared" ca="1" si="497"/>
        <v>0.56834113727047797</v>
      </c>
      <c r="T214" s="215">
        <f t="shared" ca="1" si="497"/>
        <v>0.48735348726047395</v>
      </c>
      <c r="U214" s="4">
        <f t="shared" ca="1" si="497"/>
        <v>0.41201889369370076</v>
      </c>
      <c r="V214" s="4">
        <f t="shared" ca="1" si="497"/>
        <v>0.41852006089783816</v>
      </c>
      <c r="W214" s="4">
        <f t="shared" ca="1" si="497"/>
        <v>0.41470085533722739</v>
      </c>
      <c r="X214" s="215">
        <f t="shared" ca="1" si="497"/>
        <v>0.32448210232609215</v>
      </c>
      <c r="Y214" s="4">
        <f t="shared" ca="1" si="497"/>
        <v>0.28362646958065957</v>
      </c>
      <c r="Z214" s="4">
        <f t="shared" ca="1" si="497"/>
        <v>0.33397815902038452</v>
      </c>
      <c r="AA214" s="4">
        <f t="shared" ca="1" si="497"/>
        <v>0.32548209888714208</v>
      </c>
      <c r="AB214" s="215">
        <f t="shared" ca="1" si="497"/>
        <v>0.24812823154528449</v>
      </c>
      <c r="AC214" s="4">
        <f t="shared" si="497"/>
        <v>0.20366145203803721</v>
      </c>
      <c r="AD214" s="4">
        <f t="shared" si="497"/>
        <v>0.24441822520058454</v>
      </c>
      <c r="AE214" s="4">
        <f t="shared" si="497"/>
        <v>0.16780173702812998</v>
      </c>
      <c r="AF214" s="215">
        <f t="shared" si="497"/>
        <v>0.21957683655418125</v>
      </c>
      <c r="AG214" s="4">
        <f t="shared" si="497"/>
        <v>0.16872200333179571</v>
      </c>
      <c r="AH214" s="4">
        <f t="shared" si="497"/>
        <v>0.18950983340406638</v>
      </c>
      <c r="AI214" s="4">
        <f t="shared" ca="1" si="497"/>
        <v>0.18600003271759868</v>
      </c>
      <c r="AJ214" s="215">
        <f t="shared" ca="1" si="497"/>
        <v>0.16385402952394898</v>
      </c>
      <c r="AK214" s="4">
        <f t="shared" ca="1" si="497"/>
        <v>0.16534796882000588</v>
      </c>
      <c r="AL214" s="4">
        <f t="shared" ca="1" si="497"/>
        <v>0.25404647416378823</v>
      </c>
      <c r="AM214" s="4">
        <f t="shared" ca="1" si="497"/>
        <v>0.24989158286136098</v>
      </c>
      <c r="AN214" s="215">
        <f t="shared" ca="1" si="497"/>
        <v>0.25862459742524846</v>
      </c>
      <c r="AO214" s="4">
        <f t="shared" ca="1" si="497"/>
        <v>0.17522330375901202</v>
      </c>
      <c r="AP214" s="4">
        <f t="shared" ca="1" si="497"/>
        <v>0.20704660928180185</v>
      </c>
      <c r="AQ214" s="4">
        <f t="shared" ca="1" si="497"/>
        <v>0.22746515122986286</v>
      </c>
      <c r="AR214" s="215">
        <f t="shared" ca="1" si="497"/>
        <v>0.20596461993878531</v>
      </c>
      <c r="AS214" s="4">
        <f t="shared" ca="1" si="497"/>
        <v>0.1928865749937492</v>
      </c>
      <c r="AT214" s="4">
        <f t="shared" ca="1" si="497"/>
        <v>0.23459310071859249</v>
      </c>
      <c r="AU214" s="4">
        <f t="shared" ca="1" si="497"/>
        <v>0.25796048994319665</v>
      </c>
      <c r="AV214" s="215">
        <f t="shared" ca="1" si="497"/>
        <v>0.24548182427136392</v>
      </c>
      <c r="AW214" s="4">
        <f t="shared" ref="AW214:AZ214" ca="1" si="498">AW213/AW$94</f>
        <v>0.22707188797784464</v>
      </c>
      <c r="AX214" s="4">
        <f t="shared" ca="1" si="498"/>
        <v>0.26645660493329126</v>
      </c>
      <c r="AY214" s="4">
        <f t="shared" ca="1" si="498"/>
        <v>0.28972250543526784</v>
      </c>
      <c r="AZ214" s="4">
        <f t="shared" ca="1" si="498"/>
        <v>0.29701497264916615</v>
      </c>
    </row>
    <row r="215" spans="1:60">
      <c r="B215" s="52" t="s">
        <v>110</v>
      </c>
      <c r="E215" s="10"/>
      <c r="F215" s="4">
        <f t="shared" ref="F215:M215" ca="1" si="499">F213/F$89</f>
        <v>0.50495892903558881</v>
      </c>
      <c r="G215" s="4">
        <f t="shared" ca="1" si="499"/>
        <v>0.3664686279619247</v>
      </c>
      <c r="H215" s="4">
        <f t="shared" ca="1" si="499"/>
        <v>0.28064938745606266</v>
      </c>
      <c r="I215" s="4">
        <f t="shared" ca="1" si="499"/>
        <v>0.19672087781865391</v>
      </c>
      <c r="J215" s="4">
        <f t="shared" ca="1" si="499"/>
        <v>0.1673873062838668</v>
      </c>
      <c r="K215" s="4">
        <f t="shared" ca="1" si="499"/>
        <v>0.22325885085780844</v>
      </c>
      <c r="L215" s="4">
        <f t="shared" ca="1" si="499"/>
        <v>0.19416718708473865</v>
      </c>
      <c r="M215" s="4">
        <f t="shared" ca="1" si="499"/>
        <v>0.22167472310922412</v>
      </c>
      <c r="N215" s="4">
        <f t="shared" ref="N215" ca="1" si="500">N213/N$89</f>
        <v>0.25703768164175295</v>
      </c>
      <c r="O215" s="58"/>
      <c r="P215" s="58"/>
      <c r="Q215" s="4">
        <f t="shared" ref="Q215:AV215" ca="1" si="501">Q213/Q$89</f>
        <v>0.49877138006256033</v>
      </c>
      <c r="R215" s="4">
        <f t="shared" ca="1" si="501"/>
        <v>0.52577548022151543</v>
      </c>
      <c r="S215" s="4">
        <f t="shared" ca="1" si="501"/>
        <v>0.53651403358333116</v>
      </c>
      <c r="T215" s="215">
        <f t="shared" ca="1" si="501"/>
        <v>0.46006169197388735</v>
      </c>
      <c r="U215" s="4">
        <f t="shared" ca="1" si="501"/>
        <v>0.38894583564685353</v>
      </c>
      <c r="V215" s="4">
        <f t="shared" ca="1" si="501"/>
        <v>0.39508293748755924</v>
      </c>
      <c r="W215" s="4">
        <f t="shared" ca="1" si="501"/>
        <v>0.39147760743834259</v>
      </c>
      <c r="X215" s="215">
        <f t="shared" ca="1" si="501"/>
        <v>0.306311104595831</v>
      </c>
      <c r="Y215" s="4">
        <f t="shared" ca="1" si="501"/>
        <v>0.26774338728414265</v>
      </c>
      <c r="Z215" s="4">
        <f t="shared" ca="1" si="501"/>
        <v>0.31527538211524297</v>
      </c>
      <c r="AA215" s="4">
        <f t="shared" ca="1" si="501"/>
        <v>0.3072551013494621</v>
      </c>
      <c r="AB215" s="215">
        <f t="shared" ca="1" si="501"/>
        <v>0.23423305057874855</v>
      </c>
      <c r="AC215" s="4">
        <f t="shared" si="501"/>
        <v>0.19225641072390712</v>
      </c>
      <c r="AD215" s="4">
        <f t="shared" si="501"/>
        <v>0.2307308045893518</v>
      </c>
      <c r="AE215" s="4">
        <f t="shared" si="501"/>
        <v>0.15840483975455469</v>
      </c>
      <c r="AF215" s="215">
        <f t="shared" si="501"/>
        <v>0.20728053370714711</v>
      </c>
      <c r="AG215" s="4">
        <f t="shared" si="501"/>
        <v>0.15927357114521518</v>
      </c>
      <c r="AH215" s="4">
        <f t="shared" si="501"/>
        <v>0.17889728273343869</v>
      </c>
      <c r="AI215" s="4">
        <f t="shared" ca="1" si="501"/>
        <v>0.17558403088541313</v>
      </c>
      <c r="AJ215" s="215">
        <f t="shared" ca="1" si="501"/>
        <v>0.15467820387060782</v>
      </c>
      <c r="AK215" s="4">
        <f t="shared" ca="1" si="501"/>
        <v>0.15608848256608557</v>
      </c>
      <c r="AL215" s="4">
        <f t="shared" ca="1" si="501"/>
        <v>0.23981987161061608</v>
      </c>
      <c r="AM215" s="4">
        <f t="shared" ca="1" si="501"/>
        <v>0.23589765422112477</v>
      </c>
      <c r="AN215" s="215">
        <f t="shared" ca="1" si="501"/>
        <v>0.24414161996943454</v>
      </c>
      <c r="AO215" s="4">
        <f t="shared" ca="1" si="501"/>
        <v>0.16540994765164196</v>
      </c>
      <c r="AP215" s="4">
        <f t="shared" ca="1" si="501"/>
        <v>0.19545099604377542</v>
      </c>
      <c r="AQ215" s="4">
        <f t="shared" ca="1" si="501"/>
        <v>0.21472601245410711</v>
      </c>
      <c r="AR215" s="215">
        <f t="shared" ca="1" si="501"/>
        <v>0.19442960800306591</v>
      </c>
      <c r="AS215" s="4">
        <f t="shared" ca="1" si="501"/>
        <v>0.18208400763005497</v>
      </c>
      <c r="AT215" s="4">
        <f t="shared" ca="1" si="501"/>
        <v>0.22145477202112132</v>
      </c>
      <c r="AU215" s="4">
        <f t="shared" ca="1" si="501"/>
        <v>0.24351348217402738</v>
      </c>
      <c r="AV215" s="215">
        <f t="shared" ca="1" si="501"/>
        <v>0.23173369212825212</v>
      </c>
      <c r="AW215" s="4">
        <f t="shared" ref="AW215:AZ215" ca="1" si="502">AW213/AW$89</f>
        <v>0.21435480627514453</v>
      </c>
      <c r="AX215" s="4">
        <f t="shared" ca="1" si="502"/>
        <v>0.25153379707169593</v>
      </c>
      <c r="AY215" s="4">
        <f t="shared" ca="1" si="502"/>
        <v>0.27349670126777287</v>
      </c>
      <c r="AZ215" s="4">
        <f t="shared" ca="1" si="502"/>
        <v>0.28038076419770019</v>
      </c>
    </row>
    <row r="216" spans="1:60" s="8" customFormat="1">
      <c r="A216" s="296"/>
      <c r="B216" s="3" t="s">
        <v>112</v>
      </c>
      <c r="C216" s="1"/>
      <c r="D216" s="1"/>
      <c r="E216" s="10"/>
      <c r="F216" s="58">
        <f t="shared" ref="F216:N216" ca="1" si="503">SUM(OFFSET($P216,0,F$1,1,4))</f>
        <v>10603.485000000001</v>
      </c>
      <c r="G216" s="58">
        <f t="shared" ca="1" si="503"/>
        <v>10870.812999999996</v>
      </c>
      <c r="H216" s="58">
        <f t="shared" ca="1" si="503"/>
        <v>13206.11</v>
      </c>
      <c r="I216" s="58">
        <f t="shared" ca="1" si="503"/>
        <v>33819.363999999994</v>
      </c>
      <c r="J216" s="58">
        <f t="shared" ca="1" si="503"/>
        <v>13182.643000000004</v>
      </c>
      <c r="K216" s="58">
        <f t="shared" ca="1" si="503"/>
        <v>22257.585999999999</v>
      </c>
      <c r="L216" s="58">
        <f t="shared" ca="1" si="503"/>
        <v>20519.49989378687</v>
      </c>
      <c r="M216" s="58">
        <f t="shared" ca="1" si="503"/>
        <v>28025.661569455122</v>
      </c>
      <c r="N216" s="58">
        <f t="shared" ca="1" si="503"/>
        <v>38563.006626535105</v>
      </c>
      <c r="O216" s="85">
        <f t="shared" ref="O216" ca="1" si="504">(N216/K216)^(1/3)-1</f>
        <v>0.20105881671793746</v>
      </c>
      <c r="P216" s="58"/>
      <c r="Q216" s="58">
        <f t="shared" ref="Q216:AZ216" si="505">+Q134+Q268+Q142</f>
        <v>1902.9770000000003</v>
      </c>
      <c r="R216" s="200">
        <f t="shared" si="505"/>
        <v>2802.3119999999999</v>
      </c>
      <c r="S216" s="200">
        <f t="shared" si="505"/>
        <v>3048.1130000000003</v>
      </c>
      <c r="T216" s="212">
        <f t="shared" si="505"/>
        <v>2850.0829999999992</v>
      </c>
      <c r="U216" s="200">
        <f t="shared" si="505"/>
        <v>2117.8720000000003</v>
      </c>
      <c r="V216" s="200">
        <f t="shared" si="505"/>
        <v>2721.5839999999998</v>
      </c>
      <c r="W216" s="200">
        <f t="shared" si="505"/>
        <v>3159.6129999999985</v>
      </c>
      <c r="X216" s="212">
        <f t="shared" si="505"/>
        <v>2871.7439999999983</v>
      </c>
      <c r="Y216" s="200">
        <f t="shared" si="505"/>
        <v>2579.2789999999995</v>
      </c>
      <c r="Z216" s="200">
        <f t="shared" si="505"/>
        <v>3552.4330000000014</v>
      </c>
      <c r="AA216" s="200">
        <f t="shared" si="505"/>
        <v>3822.0779999999986</v>
      </c>
      <c r="AB216" s="212">
        <f t="shared" si="505"/>
        <v>3252.3199999999993</v>
      </c>
      <c r="AC216" s="200">
        <f t="shared" si="505"/>
        <v>2359.3620000000001</v>
      </c>
      <c r="AD216" s="200">
        <f t="shared" si="505"/>
        <v>3605.8289999999974</v>
      </c>
      <c r="AE216" s="200">
        <f t="shared" si="505"/>
        <v>2861.4269999999983</v>
      </c>
      <c r="AF216" s="212">
        <f t="shared" si="505"/>
        <v>24992.745999999999</v>
      </c>
      <c r="AG216" s="200">
        <f t="shared" si="505"/>
        <v>2350.4989999999993</v>
      </c>
      <c r="AH216" s="200">
        <f t="shared" si="505"/>
        <v>2796.5930000000021</v>
      </c>
      <c r="AI216" s="200">
        <f t="shared" ca="1" si="505"/>
        <v>3437.5430000000028</v>
      </c>
      <c r="AJ216" s="212">
        <f t="shared" ca="1" si="505"/>
        <v>4598.0079999999998</v>
      </c>
      <c r="AK216" s="200">
        <f t="shared" ca="1" si="505"/>
        <v>2383.5859999999989</v>
      </c>
      <c r="AL216" s="200">
        <f t="shared" ca="1" si="505"/>
        <v>5566</v>
      </c>
      <c r="AM216" s="200">
        <f t="shared" ca="1" si="505"/>
        <v>9075</v>
      </c>
      <c r="AN216" s="212">
        <f t="shared" ca="1" si="505"/>
        <v>5233</v>
      </c>
      <c r="AO216" s="200">
        <f t="shared" ca="1" si="505"/>
        <v>3830.3160889685641</v>
      </c>
      <c r="AP216" s="200">
        <f t="shared" ca="1" si="505"/>
        <v>5081.2100910141107</v>
      </c>
      <c r="AQ216" s="200">
        <f t="shared" ca="1" si="505"/>
        <v>6033.4416957614339</v>
      </c>
      <c r="AR216" s="212">
        <f t="shared" ca="1" si="505"/>
        <v>5574.5320180427598</v>
      </c>
      <c r="AS216" s="200">
        <f t="shared" ca="1" si="505"/>
        <v>5205.5640271030234</v>
      </c>
      <c r="AT216" s="200">
        <f t="shared" ca="1" si="505"/>
        <v>6880.3334350547602</v>
      </c>
      <c r="AU216" s="200">
        <f t="shared" ca="1" si="505"/>
        <v>8223.7921056733467</v>
      </c>
      <c r="AV216" s="212">
        <f t="shared" ca="1" si="505"/>
        <v>7715.9720016239899</v>
      </c>
      <c r="AW216" s="200">
        <f t="shared" ca="1" si="505"/>
        <v>7267.1242262336809</v>
      </c>
      <c r="AX216" s="200">
        <f t="shared" ca="1" si="505"/>
        <v>9261.8799115019574</v>
      </c>
      <c r="AY216" s="200">
        <f t="shared" ca="1" si="505"/>
        <v>10880.633306079249</v>
      </c>
      <c r="AZ216" s="200">
        <f t="shared" ca="1" si="505"/>
        <v>11153.369182720216</v>
      </c>
      <c r="BC216"/>
      <c r="BD216"/>
      <c r="BE216"/>
      <c r="BF216"/>
      <c r="BG216"/>
      <c r="BH216"/>
    </row>
    <row r="217" spans="1:60">
      <c r="B217" s="52" t="s">
        <v>111</v>
      </c>
      <c r="E217" s="10"/>
      <c r="F217" s="4">
        <f t="shared" ref="F217:M217" ca="1" si="506">F216/F$94</f>
        <v>0.5035637139762219</v>
      </c>
      <c r="G217" s="4">
        <f t="shared" ca="1" si="506"/>
        <v>0.36049709288339571</v>
      </c>
      <c r="H217" s="4">
        <f t="shared" ca="1" si="506"/>
        <v>0.28519596780492101</v>
      </c>
      <c r="I217" s="4">
        <f t="shared" ca="1" si="506"/>
        <v>0.53969063471707868</v>
      </c>
      <c r="J217" s="4">
        <f t="shared" ca="1" si="506"/>
        <v>0.19794174466144382</v>
      </c>
      <c r="K217" s="4">
        <f t="shared" ca="1" si="506"/>
        <v>0.27801101426331898</v>
      </c>
      <c r="L217" s="4">
        <f t="shared" ca="1" si="506"/>
        <v>0.20644583095932348</v>
      </c>
      <c r="M217" s="4">
        <f t="shared" ca="1" si="506"/>
        <v>0.23086002846364767</v>
      </c>
      <c r="N217" s="4">
        <f t="shared" ref="N217" ca="1" si="507">N216/N$94</f>
        <v>0.26400977878592047</v>
      </c>
      <c r="O217" s="58"/>
      <c r="P217" s="58"/>
      <c r="Q217" s="4">
        <f t="shared" ref="Q217:AV217" si="508">Q216/Q$94</f>
        <v>0.472794216445306</v>
      </c>
      <c r="R217" s="4">
        <f t="shared" si="508"/>
        <v>0.54406609679676876</v>
      </c>
      <c r="S217" s="4">
        <f t="shared" si="508"/>
        <v>0.5165698131914187</v>
      </c>
      <c r="T217" s="215">
        <f t="shared" si="508"/>
        <v>0.47655735303785818</v>
      </c>
      <c r="U217" s="4">
        <f t="shared" si="508"/>
        <v>0.375889116325685</v>
      </c>
      <c r="V217" s="4">
        <f t="shared" si="508"/>
        <v>0.38131258314151117</v>
      </c>
      <c r="W217" s="4">
        <f t="shared" si="508"/>
        <v>0.37642559683374283</v>
      </c>
      <c r="X217" s="215">
        <f t="shared" si="508"/>
        <v>0.31945074946240215</v>
      </c>
      <c r="Y217" s="4">
        <f t="shared" si="508"/>
        <v>0.28771359081392761</v>
      </c>
      <c r="Z217" s="4">
        <f t="shared" si="508"/>
        <v>0.31396954748947203</v>
      </c>
      <c r="AA217" s="4">
        <f t="shared" si="508"/>
        <v>0.29947370652828093</v>
      </c>
      <c r="AB217" s="215">
        <f t="shared" si="508"/>
        <v>0.24520982805960923</v>
      </c>
      <c r="AC217" s="4">
        <f t="shared" si="508"/>
        <v>0.19641646966339676</v>
      </c>
      <c r="AD217" s="4">
        <f t="shared" si="508"/>
        <v>0.23044822102521179</v>
      </c>
      <c r="AE217" s="4">
        <f t="shared" si="508"/>
        <v>0.16488926255025063</v>
      </c>
      <c r="AF217" s="215">
        <f t="shared" si="508"/>
        <v>1.4158863146694767</v>
      </c>
      <c r="AG217" s="4">
        <f t="shared" si="508"/>
        <v>0.15738592646055599</v>
      </c>
      <c r="AH217" s="4">
        <f t="shared" si="508"/>
        <v>0.16220705659382861</v>
      </c>
      <c r="AI217" s="4">
        <f t="shared" ca="1" si="508"/>
        <v>0.1995021707333606</v>
      </c>
      <c r="AJ217" s="215">
        <f t="shared" ca="1" si="508"/>
        <v>0.26744279710980617</v>
      </c>
      <c r="AK217" s="4">
        <f t="shared" ca="1" si="508"/>
        <v>0.14948891774370013</v>
      </c>
      <c r="AL217" s="4">
        <f t="shared" ca="1" si="508"/>
        <v>0.28246557634751202</v>
      </c>
      <c r="AM217" s="4">
        <f t="shared" ca="1" si="508"/>
        <v>0.40927018849789765</v>
      </c>
      <c r="AN217" s="215">
        <f t="shared" ca="1" si="508"/>
        <v>0.23532994580530778</v>
      </c>
      <c r="AO217" s="4">
        <f t="shared" ca="1" si="508"/>
        <v>0.18531787533237173</v>
      </c>
      <c r="AP217" s="4">
        <f t="shared" ca="1" si="508"/>
        <v>0.20535967557077947</v>
      </c>
      <c r="AQ217" s="4">
        <f t="shared" ca="1" si="508"/>
        <v>0.22327899749939129</v>
      </c>
      <c r="AR217" s="215">
        <f t="shared" ca="1" si="508"/>
        <v>0.20676855377096337</v>
      </c>
      <c r="AS217" s="4">
        <f t="shared" ca="1" si="508"/>
        <v>0.19879619895031098</v>
      </c>
      <c r="AT217" s="4">
        <f t="shared" ca="1" si="508"/>
        <v>0.22783823283750612</v>
      </c>
      <c r="AU217" s="4">
        <f t="shared" ca="1" si="508"/>
        <v>0.24879289405973321</v>
      </c>
      <c r="AV217" s="215">
        <f t="shared" ca="1" si="508"/>
        <v>0.24143919597019942</v>
      </c>
      <c r="AW217" s="4">
        <f t="shared" ref="AW217:AZ217" ca="1" si="509">AW216/AW$94</f>
        <v>0.22855184533428322</v>
      </c>
      <c r="AX217" s="4">
        <f t="shared" ca="1" si="509"/>
        <v>0.25684888004620987</v>
      </c>
      <c r="AY217" s="4">
        <f t="shared" ca="1" si="509"/>
        <v>0.27737158307970516</v>
      </c>
      <c r="AZ217" s="4">
        <f t="shared" ca="1" si="509"/>
        <v>0.28610925633420103</v>
      </c>
    </row>
    <row r="218" spans="1:60">
      <c r="B218" s="52" t="s">
        <v>110</v>
      </c>
      <c r="E218" s="10"/>
      <c r="F218" s="4">
        <f t="shared" ref="F218:M218" ca="1" si="510">F216/F$89</f>
        <v>0.47536414599355348</v>
      </c>
      <c r="G218" s="4">
        <f t="shared" ca="1" si="510"/>
        <v>0.34030925568192549</v>
      </c>
      <c r="H218" s="4">
        <f t="shared" ca="1" si="510"/>
        <v>0.26922499360784541</v>
      </c>
      <c r="I218" s="4">
        <f t="shared" ca="1" si="510"/>
        <v>0.50946795917292231</v>
      </c>
      <c r="J218" s="4">
        <f t="shared" ca="1" si="510"/>
        <v>0.18685700696040297</v>
      </c>
      <c r="K218" s="4">
        <f t="shared" ca="1" si="510"/>
        <v>0.26244233321445898</v>
      </c>
      <c r="L218" s="4">
        <f t="shared" ca="1" si="510"/>
        <v>0.1948838678512575</v>
      </c>
      <c r="M218" s="4">
        <f t="shared" ca="1" si="510"/>
        <v>0.21793077452934798</v>
      </c>
      <c r="N218" s="4">
        <f t="shared" ref="N218" ca="1" si="511">N216/N$89</f>
        <v>0.24922400721997598</v>
      </c>
      <c r="O218" s="58"/>
      <c r="P218" s="58"/>
      <c r="Q218" s="4">
        <f t="shared" ref="Q218:AV218" si="512">Q216/Q$89</f>
        <v>0.44631774032436888</v>
      </c>
      <c r="R218" s="4">
        <f t="shared" si="512"/>
        <v>0.51359839537614971</v>
      </c>
      <c r="S218" s="4">
        <f t="shared" si="512"/>
        <v>0.48764190365269922</v>
      </c>
      <c r="T218" s="215">
        <f t="shared" si="512"/>
        <v>0.44987014126773806</v>
      </c>
      <c r="U218" s="4">
        <f t="shared" si="512"/>
        <v>0.35483932581144667</v>
      </c>
      <c r="V218" s="4">
        <f t="shared" si="512"/>
        <v>0.35995907848558656</v>
      </c>
      <c r="W218" s="4">
        <f t="shared" si="512"/>
        <v>0.35534576341105323</v>
      </c>
      <c r="X218" s="215">
        <f t="shared" si="512"/>
        <v>0.30156150749250765</v>
      </c>
      <c r="Y218" s="4">
        <f t="shared" si="512"/>
        <v>0.27160162972834767</v>
      </c>
      <c r="Z218" s="4">
        <f t="shared" si="512"/>
        <v>0.29638725283006156</v>
      </c>
      <c r="AA218" s="4">
        <f t="shared" si="512"/>
        <v>0.28270317896269714</v>
      </c>
      <c r="AB218" s="215">
        <f t="shared" si="512"/>
        <v>0.23147807768827108</v>
      </c>
      <c r="AC218" s="4">
        <f t="shared" si="512"/>
        <v>0.18541714736224654</v>
      </c>
      <c r="AD218" s="4">
        <f t="shared" si="512"/>
        <v>0.21754312064779993</v>
      </c>
      <c r="AE218" s="4">
        <f t="shared" si="512"/>
        <v>0.15565546384743659</v>
      </c>
      <c r="AF218" s="215">
        <f t="shared" si="512"/>
        <v>1.3365966810479861</v>
      </c>
      <c r="AG218" s="4">
        <f t="shared" si="512"/>
        <v>0.14857231457876488</v>
      </c>
      <c r="AH218" s="4">
        <f t="shared" si="512"/>
        <v>0.15312346142457423</v>
      </c>
      <c r="AI218" s="4">
        <f t="shared" ca="1" si="512"/>
        <v>0.1883300491722924</v>
      </c>
      <c r="AJ218" s="215">
        <f t="shared" ca="1" si="512"/>
        <v>0.25246600047165701</v>
      </c>
      <c r="AK218" s="4">
        <f t="shared" ca="1" si="512"/>
        <v>0.14111753835005295</v>
      </c>
      <c r="AL218" s="4">
        <f t="shared" ca="1" si="512"/>
        <v>0.26664750407205134</v>
      </c>
      <c r="AM218" s="4">
        <f t="shared" ca="1" si="512"/>
        <v>0.38635105794201541</v>
      </c>
      <c r="AN218" s="215">
        <f t="shared" ca="1" si="512"/>
        <v>0.22215146884021056</v>
      </c>
      <c r="AO218" s="4">
        <f t="shared" ca="1" si="512"/>
        <v>0.17493917418541174</v>
      </c>
      <c r="AP218" s="4">
        <f t="shared" ca="1" si="512"/>
        <v>0.19385853879358017</v>
      </c>
      <c r="AQ218" s="4">
        <f t="shared" ca="1" si="512"/>
        <v>0.21077430339799902</v>
      </c>
      <c r="AR218" s="215">
        <f t="shared" ca="1" si="512"/>
        <v>0.19518851766384765</v>
      </c>
      <c r="AS218" s="4">
        <f t="shared" ca="1" si="512"/>
        <v>0.18766266448386773</v>
      </c>
      <c r="AT218" s="4">
        <f t="shared" ca="1" si="512"/>
        <v>0.21507820884830581</v>
      </c>
      <c r="AU218" s="4">
        <f t="shared" ca="1" si="512"/>
        <v>0.23485931502913612</v>
      </c>
      <c r="AV218" s="215">
        <f t="shared" ca="1" si="512"/>
        <v>0.22791746995004544</v>
      </c>
      <c r="AW218" s="4">
        <f t="shared" ref="AW218:AZ218" ca="1" si="513">AW216/AW$89</f>
        <v>0.21575187913722341</v>
      </c>
      <c r="AX218" s="4">
        <f t="shared" ca="1" si="513"/>
        <v>0.24246414941678848</v>
      </c>
      <c r="AY218" s="4">
        <f t="shared" ca="1" si="513"/>
        <v>0.26183748785324751</v>
      </c>
      <c r="AZ218" s="4">
        <f t="shared" ca="1" si="513"/>
        <v>0.2700858182990466</v>
      </c>
    </row>
    <row r="219" spans="1:60">
      <c r="B219" s="3" t="s">
        <v>379</v>
      </c>
      <c r="E219" s="10"/>
      <c r="F219" s="58">
        <f t="shared" ref="F219:N219" ca="1" si="514">SUM(OFFSET($P219,0,F$1,1,4))</f>
        <v>10222.057573385509</v>
      </c>
      <c r="G219" s="58">
        <f t="shared" ca="1" si="514"/>
        <v>10751.780212293452</v>
      </c>
      <c r="H219" s="58">
        <f t="shared" ca="1" si="514"/>
        <v>12923.743106289454</v>
      </c>
      <c r="I219" s="58">
        <f t="shared" ca="1" si="514"/>
        <v>12102.974795815413</v>
      </c>
      <c r="J219" s="58">
        <f t="shared" ca="1" si="514"/>
        <v>9619.5733661795184</v>
      </c>
      <c r="K219" s="58">
        <f t="shared" ca="1" si="514"/>
        <v>18606.302858856965</v>
      </c>
      <c r="L219" s="58">
        <f t="shared" ca="1" si="514"/>
        <v>20519.49989378687</v>
      </c>
      <c r="M219" s="58">
        <f t="shared" ca="1" si="514"/>
        <v>28025.661569455122</v>
      </c>
      <c r="N219" s="58">
        <f t="shared" ca="1" si="514"/>
        <v>38563.006626535105</v>
      </c>
      <c r="O219" s="58"/>
      <c r="P219" s="58"/>
      <c r="Q219" s="58">
        <f t="shared" ref="Q219:AZ219" si="515">+Q134+Q268-Q128*(1-Q133)+Q142</f>
        <v>1905.9668487958697</v>
      </c>
      <c r="R219" s="200">
        <f t="shared" si="515"/>
        <v>2757.6882217679918</v>
      </c>
      <c r="S219" s="200">
        <f t="shared" si="515"/>
        <v>3024.5067892600141</v>
      </c>
      <c r="T219" s="212">
        <f t="shared" si="515"/>
        <v>2533.8957135616329</v>
      </c>
      <c r="U219" s="200">
        <f t="shared" si="515"/>
        <v>2112.8399990199459</v>
      </c>
      <c r="V219" s="200">
        <f t="shared" si="515"/>
        <v>2704.0378613091666</v>
      </c>
      <c r="W219" s="200">
        <f t="shared" si="515"/>
        <v>3129.3699470270221</v>
      </c>
      <c r="X219" s="212">
        <f t="shared" si="515"/>
        <v>2805.5324049373176</v>
      </c>
      <c r="Y219" s="200">
        <f t="shared" si="515"/>
        <v>2430.9339885320323</v>
      </c>
      <c r="Z219" s="200">
        <f t="shared" si="515"/>
        <v>3495.7642959917421</v>
      </c>
      <c r="AA219" s="200">
        <f t="shared" si="515"/>
        <v>3842.6899500757763</v>
      </c>
      <c r="AB219" s="212">
        <f t="shared" si="515"/>
        <v>3154.3548716899013</v>
      </c>
      <c r="AC219" s="200">
        <f t="shared" si="515"/>
        <v>2280.2010655673621</v>
      </c>
      <c r="AD219" s="200">
        <f t="shared" si="515"/>
        <v>3486.1391484877486</v>
      </c>
      <c r="AE219" s="200">
        <f t="shared" si="515"/>
        <v>2650.1001931445526</v>
      </c>
      <c r="AF219" s="212">
        <f t="shared" si="515"/>
        <v>3686.5343886157498</v>
      </c>
      <c r="AG219" s="200">
        <f t="shared" si="515"/>
        <v>2177.5323853106788</v>
      </c>
      <c r="AH219" s="200">
        <f t="shared" si="515"/>
        <v>2291.5747627151709</v>
      </c>
      <c r="AI219" s="200">
        <f t="shared" ca="1" si="515"/>
        <v>2471.6540936232905</v>
      </c>
      <c r="AJ219" s="212">
        <f t="shared" ca="1" si="515"/>
        <v>2678.8121245303787</v>
      </c>
      <c r="AK219" s="200">
        <f t="shared" ca="1" si="515"/>
        <v>2448.3303126663213</v>
      </c>
      <c r="AL219" s="200">
        <f t="shared" ca="1" si="515"/>
        <v>5119.1483715319664</v>
      </c>
      <c r="AM219" s="200">
        <f t="shared" ca="1" si="515"/>
        <v>5473.1368711995583</v>
      </c>
      <c r="AN219" s="212">
        <f t="shared" ca="1" si="515"/>
        <v>5565.6873034591199</v>
      </c>
      <c r="AO219" s="200">
        <f t="shared" ca="1" si="515"/>
        <v>3830.3160889685641</v>
      </c>
      <c r="AP219" s="200">
        <f t="shared" ca="1" si="515"/>
        <v>5081.2100910141107</v>
      </c>
      <c r="AQ219" s="200">
        <f t="shared" ca="1" si="515"/>
        <v>6033.4416957614339</v>
      </c>
      <c r="AR219" s="212">
        <f t="shared" ca="1" si="515"/>
        <v>5574.5320180427598</v>
      </c>
      <c r="AS219" s="200">
        <f t="shared" ca="1" si="515"/>
        <v>5205.5640271030234</v>
      </c>
      <c r="AT219" s="200">
        <f t="shared" ca="1" si="515"/>
        <v>6880.3334350547602</v>
      </c>
      <c r="AU219" s="200">
        <f t="shared" ca="1" si="515"/>
        <v>8223.7921056733467</v>
      </c>
      <c r="AV219" s="212">
        <f t="shared" ca="1" si="515"/>
        <v>7715.9720016239899</v>
      </c>
      <c r="AW219" s="200">
        <f t="shared" ca="1" si="515"/>
        <v>7267.1242262336809</v>
      </c>
      <c r="AX219" s="200">
        <f t="shared" ca="1" si="515"/>
        <v>9261.8799115019574</v>
      </c>
      <c r="AY219" s="200">
        <f t="shared" ca="1" si="515"/>
        <v>10880.633306079249</v>
      </c>
      <c r="AZ219" s="200">
        <f t="shared" ca="1" si="515"/>
        <v>11153.369182720216</v>
      </c>
    </row>
    <row r="220" spans="1:60">
      <c r="B220" s="52" t="s">
        <v>111</v>
      </c>
      <c r="E220" s="10"/>
      <c r="F220" s="4">
        <f t="shared" ref="F220:M220" ca="1" si="516">F219/F$94</f>
        <v>0.48544957399692396</v>
      </c>
      <c r="G220" s="4">
        <f t="shared" ca="1" si="516"/>
        <v>0.35654973642293447</v>
      </c>
      <c r="H220" s="4">
        <f t="shared" ca="1" si="516"/>
        <v>0.27909804044191638</v>
      </c>
      <c r="I220" s="4">
        <f t="shared" ca="1" si="516"/>
        <v>0.19313970982773143</v>
      </c>
      <c r="J220" s="4">
        <f t="shared" ca="1" si="516"/>
        <v>0.14444107566292522</v>
      </c>
      <c r="K220" s="4">
        <f t="shared" ca="1" si="516"/>
        <v>0.23240422970762942</v>
      </c>
      <c r="L220" s="4">
        <f t="shared" ca="1" si="516"/>
        <v>0.20644583095932348</v>
      </c>
      <c r="M220" s="4">
        <f t="shared" ca="1" si="516"/>
        <v>0.23086002846364767</v>
      </c>
      <c r="N220" s="4">
        <f t="shared" ref="N220" ca="1" si="517">N219/N$94</f>
        <v>0.26400977878592047</v>
      </c>
      <c r="O220" s="58"/>
      <c r="P220" s="58"/>
      <c r="Q220" s="4">
        <f t="shared" ref="Q220:AV220" si="518">Q219/Q$94</f>
        <v>0.47353704372000932</v>
      </c>
      <c r="R220" s="4">
        <f t="shared" si="518"/>
        <v>0.53540243448971181</v>
      </c>
      <c r="S220" s="4">
        <f t="shared" si="518"/>
        <v>0.51256922139179972</v>
      </c>
      <c r="T220" s="215">
        <f t="shared" si="518"/>
        <v>0.42368823438787817</v>
      </c>
      <c r="U220" s="4">
        <f t="shared" si="518"/>
        <v>0.37499601494763068</v>
      </c>
      <c r="V220" s="4">
        <f t="shared" si="518"/>
        <v>0.37885424877874269</v>
      </c>
      <c r="W220" s="4">
        <f t="shared" si="518"/>
        <v>0.37282254188194108</v>
      </c>
      <c r="X220" s="215">
        <f t="shared" si="518"/>
        <v>0.31208541896432346</v>
      </c>
      <c r="Y220" s="4">
        <f t="shared" si="518"/>
        <v>0.27116599129918645</v>
      </c>
      <c r="Z220" s="4">
        <f t="shared" si="518"/>
        <v>0.30896107939048523</v>
      </c>
      <c r="AA220" s="4">
        <f t="shared" si="518"/>
        <v>0.30108872775180617</v>
      </c>
      <c r="AB220" s="215">
        <f t="shared" si="518"/>
        <v>0.2378237122196068</v>
      </c>
      <c r="AC220" s="4">
        <f t="shared" si="518"/>
        <v>0.18982633585751432</v>
      </c>
      <c r="AD220" s="4">
        <f t="shared" si="518"/>
        <v>0.22279885291713747</v>
      </c>
      <c r="AE220" s="4">
        <f t="shared" si="518"/>
        <v>0.15271158989269421</v>
      </c>
      <c r="AF220" s="215">
        <f t="shared" si="518"/>
        <v>0.20884914324338136</v>
      </c>
      <c r="AG220" s="4">
        <f t="shared" si="518"/>
        <v>0.14580433850854038</v>
      </c>
      <c r="AH220" s="4">
        <f t="shared" si="518"/>
        <v>0.13291515684432051</v>
      </c>
      <c r="AI220" s="4">
        <f t="shared" ca="1" si="518"/>
        <v>0.14344558220212603</v>
      </c>
      <c r="AJ220" s="215">
        <f t="shared" ca="1" si="518"/>
        <v>0.15581291018111906</v>
      </c>
      <c r="AK220" s="4">
        <f t="shared" ca="1" si="518"/>
        <v>0.15354942037735728</v>
      </c>
      <c r="AL220" s="4">
        <f t="shared" ca="1" si="518"/>
        <v>0.25978857261466126</v>
      </c>
      <c r="AM220" s="4">
        <f t="shared" ca="1" si="518"/>
        <v>0.24683104781825202</v>
      </c>
      <c r="AN220" s="215">
        <f t="shared" ca="1" si="518"/>
        <v>0.25029101691043842</v>
      </c>
      <c r="AO220" s="4">
        <f t="shared" ca="1" si="518"/>
        <v>0.18531787533237173</v>
      </c>
      <c r="AP220" s="4">
        <f t="shared" ca="1" si="518"/>
        <v>0.20535967557077947</v>
      </c>
      <c r="AQ220" s="4">
        <f t="shared" ca="1" si="518"/>
        <v>0.22327899749939129</v>
      </c>
      <c r="AR220" s="215">
        <f t="shared" ca="1" si="518"/>
        <v>0.20676855377096337</v>
      </c>
      <c r="AS220" s="4">
        <f t="shared" ca="1" si="518"/>
        <v>0.19879619895031098</v>
      </c>
      <c r="AT220" s="4">
        <f t="shared" ca="1" si="518"/>
        <v>0.22783823283750612</v>
      </c>
      <c r="AU220" s="4">
        <f t="shared" ca="1" si="518"/>
        <v>0.24879289405973321</v>
      </c>
      <c r="AV220" s="215">
        <f t="shared" ca="1" si="518"/>
        <v>0.24143919597019942</v>
      </c>
      <c r="AW220" s="4">
        <f t="shared" ref="AW220:AZ220" ca="1" si="519">AW219/AW$94</f>
        <v>0.22855184533428322</v>
      </c>
      <c r="AX220" s="4">
        <f t="shared" ca="1" si="519"/>
        <v>0.25684888004620987</v>
      </c>
      <c r="AY220" s="4">
        <f t="shared" ca="1" si="519"/>
        <v>0.27737158307970516</v>
      </c>
      <c r="AZ220" s="4">
        <f t="shared" ca="1" si="519"/>
        <v>0.28610925633420103</v>
      </c>
    </row>
    <row r="221" spans="1:60">
      <c r="B221" s="52" t="s">
        <v>110</v>
      </c>
      <c r="E221" s="10"/>
      <c r="F221" s="4">
        <f t="shared" ref="F221:M221" ca="1" si="520">F219/F$89</f>
        <v>0.45826439785309625</v>
      </c>
      <c r="G221" s="4">
        <f t="shared" ca="1" si="520"/>
        <v>0.3365829511832501</v>
      </c>
      <c r="H221" s="4">
        <f t="shared" ca="1" si="520"/>
        <v>0.26346855017716908</v>
      </c>
      <c r="I221" s="4">
        <f t="shared" ca="1" si="520"/>
        <v>0.18232388607737848</v>
      </c>
      <c r="J221" s="4">
        <f t="shared" ca="1" si="520"/>
        <v>0.13635237542580139</v>
      </c>
      <c r="K221" s="4">
        <f t="shared" ca="1" si="520"/>
        <v>0.2193895391339061</v>
      </c>
      <c r="L221" s="4">
        <f t="shared" ca="1" si="520"/>
        <v>0.1948838678512575</v>
      </c>
      <c r="M221" s="4">
        <f t="shared" ca="1" si="520"/>
        <v>0.21793077452934798</v>
      </c>
      <c r="N221" s="4">
        <f t="shared" ref="N221" ca="1" si="521">N219/N$89</f>
        <v>0.24922400721997598</v>
      </c>
      <c r="O221" s="58"/>
      <c r="P221" s="58"/>
      <c r="Q221" s="4">
        <f t="shared" ref="Q221:AV221" si="522">Q219/Q$89</f>
        <v>0.44701896927168877</v>
      </c>
      <c r="R221" s="4">
        <f t="shared" si="522"/>
        <v>0.50541989815828792</v>
      </c>
      <c r="S221" s="4">
        <f t="shared" si="522"/>
        <v>0.48386534499385897</v>
      </c>
      <c r="T221" s="215">
        <f t="shared" si="522"/>
        <v>0.39996169326215697</v>
      </c>
      <c r="U221" s="4">
        <f t="shared" si="522"/>
        <v>0.35399623811056341</v>
      </c>
      <c r="V221" s="4">
        <f t="shared" si="522"/>
        <v>0.3576384108471331</v>
      </c>
      <c r="W221" s="4">
        <f t="shared" si="522"/>
        <v>0.35194447953655239</v>
      </c>
      <c r="X221" s="215">
        <f t="shared" si="522"/>
        <v>0.29460863550232141</v>
      </c>
      <c r="Y221" s="4">
        <f t="shared" si="522"/>
        <v>0.25598069578643201</v>
      </c>
      <c r="Z221" s="4">
        <f t="shared" si="522"/>
        <v>0.29165925894461803</v>
      </c>
      <c r="AA221" s="4">
        <f t="shared" si="522"/>
        <v>0.28422775899770503</v>
      </c>
      <c r="AB221" s="215">
        <f t="shared" si="522"/>
        <v>0.22450558433530879</v>
      </c>
      <c r="AC221" s="4">
        <f t="shared" si="522"/>
        <v>0.17919606104949354</v>
      </c>
      <c r="AD221" s="4">
        <f t="shared" si="522"/>
        <v>0.21032211715377777</v>
      </c>
      <c r="AE221" s="4">
        <f t="shared" si="522"/>
        <v>0.14415974085870334</v>
      </c>
      <c r="AF221" s="215">
        <f t="shared" si="522"/>
        <v>0.19715359122175202</v>
      </c>
      <c r="AG221" s="4">
        <f t="shared" si="522"/>
        <v>0.13763929555206214</v>
      </c>
      <c r="AH221" s="4">
        <f t="shared" si="522"/>
        <v>0.12547190806103856</v>
      </c>
      <c r="AI221" s="4">
        <f t="shared" ca="1" si="522"/>
        <v>0.13541262959880696</v>
      </c>
      <c r="AJ221" s="215">
        <f t="shared" ca="1" si="522"/>
        <v>0.14708738721097639</v>
      </c>
      <c r="AK221" s="4">
        <f t="shared" ca="1" si="522"/>
        <v>0.14495065283622527</v>
      </c>
      <c r="AL221" s="4">
        <f t="shared" ca="1" si="522"/>
        <v>0.24524041254824022</v>
      </c>
      <c r="AM221" s="4">
        <f t="shared" ca="1" si="522"/>
        <v>0.23300850914042992</v>
      </c>
      <c r="AN221" s="215">
        <f t="shared" ca="1" si="522"/>
        <v>0.23627471996345389</v>
      </c>
      <c r="AO221" s="4">
        <f t="shared" ca="1" si="522"/>
        <v>0.17493917418541174</v>
      </c>
      <c r="AP221" s="4">
        <f t="shared" ca="1" si="522"/>
        <v>0.19385853879358017</v>
      </c>
      <c r="AQ221" s="4">
        <f t="shared" ca="1" si="522"/>
        <v>0.21077430339799902</v>
      </c>
      <c r="AR221" s="215">
        <f t="shared" ca="1" si="522"/>
        <v>0.19518851766384765</v>
      </c>
      <c r="AS221" s="4">
        <f t="shared" ca="1" si="522"/>
        <v>0.18766266448386773</v>
      </c>
      <c r="AT221" s="4">
        <f t="shared" ca="1" si="522"/>
        <v>0.21507820884830581</v>
      </c>
      <c r="AU221" s="4">
        <f t="shared" ca="1" si="522"/>
        <v>0.23485931502913612</v>
      </c>
      <c r="AV221" s="215">
        <f t="shared" ca="1" si="522"/>
        <v>0.22791746995004544</v>
      </c>
      <c r="AW221" s="4">
        <f t="shared" ref="AW221:AZ221" ca="1" si="523">AW219/AW$89</f>
        <v>0.21575187913722341</v>
      </c>
      <c r="AX221" s="4">
        <f t="shared" ca="1" si="523"/>
        <v>0.24246414941678848</v>
      </c>
      <c r="AY221" s="4">
        <f t="shared" ca="1" si="523"/>
        <v>0.26183748785324751</v>
      </c>
      <c r="AZ221" s="4">
        <f t="shared" ca="1" si="523"/>
        <v>0.2700858182990466</v>
      </c>
    </row>
    <row r="222" spans="1:60" s="202" customFormat="1">
      <c r="A222" s="296"/>
      <c r="B222" s="3" t="s">
        <v>674</v>
      </c>
      <c r="E222" s="205"/>
      <c r="F222" s="200">
        <f t="shared" ref="F222:N222" ca="1" si="524">SUM(OFFSET($P222,0,F$1,1,4))</f>
        <v>10668.235999999999</v>
      </c>
      <c r="G222" s="200">
        <f t="shared" ca="1" si="524"/>
        <v>11033.691999999997</v>
      </c>
      <c r="H222" s="200">
        <f t="shared" ca="1" si="524"/>
        <v>14149.807999999999</v>
      </c>
      <c r="I222" s="200">
        <f t="shared" ca="1" si="524"/>
        <v>35051.290999999997</v>
      </c>
      <c r="J222" s="200">
        <f t="shared" ca="1" si="524"/>
        <v>13219.299000000003</v>
      </c>
      <c r="K222" s="200">
        <f t="shared" ca="1" si="524"/>
        <v>22269.942999999999</v>
      </c>
      <c r="L222" s="200">
        <f t="shared" ca="1" si="524"/>
        <v>23003.364551065595</v>
      </c>
      <c r="M222" s="200">
        <f t="shared" ca="1" si="524"/>
        <v>30655.786807362456</v>
      </c>
      <c r="N222" s="200">
        <f t="shared" ca="1" si="524"/>
        <v>39938.300870889689</v>
      </c>
      <c r="O222" s="200"/>
      <c r="P222" s="200"/>
      <c r="Q222" s="200">
        <f t="shared" ref="Q222:AZ222" si="525">+Q138+Q268+Q142</f>
        <v>1918.1340000000002</v>
      </c>
      <c r="R222" s="200">
        <f t="shared" si="525"/>
        <v>2823.7339999999999</v>
      </c>
      <c r="S222" s="200">
        <f t="shared" si="525"/>
        <v>3064.3210000000004</v>
      </c>
      <c r="T222" s="212">
        <f t="shared" si="525"/>
        <v>2862.0469999999991</v>
      </c>
      <c r="U222" s="200">
        <f t="shared" si="525"/>
        <v>2153.7800000000002</v>
      </c>
      <c r="V222" s="200">
        <f t="shared" si="525"/>
        <v>2727.1729999999998</v>
      </c>
      <c r="W222" s="200">
        <f t="shared" si="525"/>
        <v>3191.1249999999991</v>
      </c>
      <c r="X222" s="212">
        <f t="shared" si="525"/>
        <v>2961.6139999999982</v>
      </c>
      <c r="Y222" s="200">
        <f t="shared" si="525"/>
        <v>2704.1589999999997</v>
      </c>
      <c r="Z222" s="200">
        <f t="shared" si="525"/>
        <v>3767.2480000000014</v>
      </c>
      <c r="AA222" s="200">
        <f t="shared" si="525"/>
        <v>4110.3049999999985</v>
      </c>
      <c r="AB222" s="212">
        <f t="shared" si="525"/>
        <v>3568.0959999999991</v>
      </c>
      <c r="AC222" s="200">
        <f t="shared" si="525"/>
        <v>2740.3560000000002</v>
      </c>
      <c r="AD222" s="200">
        <f t="shared" si="525"/>
        <v>4016.7379999999976</v>
      </c>
      <c r="AE222" s="200">
        <f t="shared" si="525"/>
        <v>3241.3659999999982</v>
      </c>
      <c r="AF222" s="212">
        <f t="shared" si="525"/>
        <v>25052.830999999998</v>
      </c>
      <c r="AG222" s="200">
        <f t="shared" si="525"/>
        <v>2358.7509999999993</v>
      </c>
      <c r="AH222" s="200">
        <f t="shared" si="525"/>
        <v>2807.8610000000022</v>
      </c>
      <c r="AI222" s="200">
        <f t="shared" ca="1" si="525"/>
        <v>3446.9840000000027</v>
      </c>
      <c r="AJ222" s="212">
        <f t="shared" ca="1" si="525"/>
        <v>4605.7029999999995</v>
      </c>
      <c r="AK222" s="200">
        <f t="shared" ca="1" si="525"/>
        <v>2389.9429999999988</v>
      </c>
      <c r="AL222" s="200">
        <f t="shared" ca="1" si="525"/>
        <v>5571</v>
      </c>
      <c r="AM222" s="200">
        <f t="shared" ca="1" si="525"/>
        <v>9076</v>
      </c>
      <c r="AN222" s="212">
        <f t="shared" ca="1" si="525"/>
        <v>5233</v>
      </c>
      <c r="AO222" s="200">
        <f t="shared" ca="1" si="525"/>
        <v>3830.3160889685641</v>
      </c>
      <c r="AP222" s="200">
        <f t="shared" ca="1" si="525"/>
        <v>5999.1538007388208</v>
      </c>
      <c r="AQ222" s="200">
        <f t="shared" ca="1" si="525"/>
        <v>6719.7689121153162</v>
      </c>
      <c r="AR222" s="212">
        <f t="shared" ca="1" si="525"/>
        <v>6454.1257492428949</v>
      </c>
      <c r="AS222" s="200">
        <f t="shared" ca="1" si="525"/>
        <v>6002.3355371037287</v>
      </c>
      <c r="AT222" s="200">
        <f t="shared" ca="1" si="525"/>
        <v>7760.7535797964902</v>
      </c>
      <c r="AU222" s="200">
        <f t="shared" ca="1" si="525"/>
        <v>8670.4265523646445</v>
      </c>
      <c r="AV222" s="212">
        <f t="shared" ca="1" si="525"/>
        <v>8222.2711380975943</v>
      </c>
      <c r="AW222" s="200">
        <f t="shared" ca="1" si="525"/>
        <v>7857.1067022588259</v>
      </c>
      <c r="AX222" s="200">
        <f t="shared" ca="1" si="525"/>
        <v>9957.7820311290743</v>
      </c>
      <c r="AY222" s="200">
        <f t="shared" ca="1" si="525"/>
        <v>10937.552377616072</v>
      </c>
      <c r="AZ222" s="200">
        <f t="shared" ca="1" si="525"/>
        <v>11185.859759885716</v>
      </c>
      <c r="BC222"/>
      <c r="BD222"/>
      <c r="BE222"/>
      <c r="BF222"/>
      <c r="BG222"/>
      <c r="BH222"/>
    </row>
    <row r="223" spans="1:60" s="202" customFormat="1">
      <c r="A223" s="296"/>
      <c r="B223" s="52" t="s">
        <v>111</v>
      </c>
      <c r="E223" s="205"/>
      <c r="F223" s="4">
        <f t="shared" ref="F223:N223" ca="1" si="526">F222/F$94</f>
        <v>0.50663876468301061</v>
      </c>
      <c r="G223" s="4">
        <f t="shared" ca="1" si="526"/>
        <v>0.36589847417767007</v>
      </c>
      <c r="H223" s="4">
        <f t="shared" ca="1" si="526"/>
        <v>0.30557584230434348</v>
      </c>
      <c r="I223" s="4">
        <f t="shared" ca="1" si="526"/>
        <v>0.55934977036951461</v>
      </c>
      <c r="J223" s="4">
        <f t="shared" ca="1" si="526"/>
        <v>0.19849214662501893</v>
      </c>
      <c r="K223" s="4">
        <f t="shared" ca="1" si="526"/>
        <v>0.27816536083546078</v>
      </c>
      <c r="L223" s="4">
        <f t="shared" ca="1" si="526"/>
        <v>0.23143588948008051</v>
      </c>
      <c r="M223" s="4">
        <f t="shared" ca="1" si="526"/>
        <v>0.25252555759955991</v>
      </c>
      <c r="N223" s="4">
        <f t="shared" ca="1" si="526"/>
        <v>0.27342530835637052</v>
      </c>
      <c r="O223" s="200"/>
      <c r="P223" s="200"/>
      <c r="Q223" s="4">
        <f t="shared" ref="Q223:AZ223" si="527">Q222/Q$94</f>
        <v>0.47655996975638726</v>
      </c>
      <c r="R223" s="4">
        <f t="shared" si="527"/>
        <v>0.5482251568605947</v>
      </c>
      <c r="S223" s="4">
        <f t="shared" si="527"/>
        <v>0.51931661540387164</v>
      </c>
      <c r="T223" s="215">
        <f t="shared" si="527"/>
        <v>0.47855783238240529</v>
      </c>
      <c r="U223" s="4">
        <f t="shared" si="527"/>
        <v>0.3822622240437259</v>
      </c>
      <c r="V223" s="4">
        <f t="shared" si="527"/>
        <v>0.38209564037111637</v>
      </c>
      <c r="W223" s="4">
        <f t="shared" si="527"/>
        <v>0.38017982983867893</v>
      </c>
      <c r="X223" s="215">
        <f t="shared" si="527"/>
        <v>0.32944782401159112</v>
      </c>
      <c r="Y223" s="4">
        <f t="shared" si="527"/>
        <v>0.30164371361989134</v>
      </c>
      <c r="Z223" s="4">
        <f t="shared" si="527"/>
        <v>0.3329552309193779</v>
      </c>
      <c r="AA223" s="4">
        <f t="shared" si="527"/>
        <v>0.32205733983234397</v>
      </c>
      <c r="AB223" s="215">
        <f t="shared" si="527"/>
        <v>0.26901787236808783</v>
      </c>
      <c r="AC223" s="4">
        <f t="shared" si="527"/>
        <v>0.22813415285187577</v>
      </c>
      <c r="AD223" s="4">
        <f t="shared" si="527"/>
        <v>0.25670937984701081</v>
      </c>
      <c r="AE223" s="4">
        <f t="shared" si="527"/>
        <v>0.18678318524129944</v>
      </c>
      <c r="AF223" s="215">
        <f t="shared" si="527"/>
        <v>1.4192902435221493</v>
      </c>
      <c r="AG223" s="4">
        <f t="shared" si="527"/>
        <v>0.15793846814006851</v>
      </c>
      <c r="AH223" s="4">
        <f t="shared" si="527"/>
        <v>0.16286061938029744</v>
      </c>
      <c r="AI223" s="4">
        <f t="shared" ca="1" si="527"/>
        <v>0.20005009115032518</v>
      </c>
      <c r="AJ223" s="215">
        <f t="shared" ca="1" si="527"/>
        <v>0.26789037621879419</v>
      </c>
      <c r="AK223" s="4">
        <f t="shared" ca="1" si="527"/>
        <v>0.149887603190794</v>
      </c>
      <c r="AL223" s="4">
        <f t="shared" ca="1" si="527"/>
        <v>0.28271931833129527</v>
      </c>
      <c r="AM223" s="4">
        <f t="shared" ca="1" si="527"/>
        <v>0.40931528714125831</v>
      </c>
      <c r="AN223" s="215">
        <f t="shared" ca="1" si="527"/>
        <v>0.23532994580530778</v>
      </c>
      <c r="AO223" s="4">
        <f t="shared" ca="1" si="527"/>
        <v>0.18531787533237173</v>
      </c>
      <c r="AP223" s="4">
        <f t="shared" ca="1" si="527"/>
        <v>0.24245883483496206</v>
      </c>
      <c r="AQ223" s="4">
        <f t="shared" ca="1" si="527"/>
        <v>0.24867784289333905</v>
      </c>
      <c r="AR223" s="215">
        <f t="shared" ca="1" si="527"/>
        <v>0.23939413079116917</v>
      </c>
      <c r="AS223" s="4">
        <f t="shared" ca="1" si="527"/>
        <v>0.22922424609281999</v>
      </c>
      <c r="AT223" s="4">
        <f t="shared" ca="1" si="527"/>
        <v>0.25699283294896141</v>
      </c>
      <c r="AU223" s="4">
        <f t="shared" ca="1" si="527"/>
        <v>0.26230484513427915</v>
      </c>
      <c r="AV223" s="215">
        <f t="shared" ca="1" si="527"/>
        <v>0.25728171800175492</v>
      </c>
      <c r="AW223" s="4">
        <f t="shared" ca="1" si="527"/>
        <v>0.24710685821319756</v>
      </c>
      <c r="AX223" s="4">
        <f t="shared" ca="1" si="527"/>
        <v>0.27614751938896753</v>
      </c>
      <c r="AY223" s="4">
        <f t="shared" ca="1" si="527"/>
        <v>0.2788225770187045</v>
      </c>
      <c r="AZ223" s="4">
        <f t="shared" ca="1" si="527"/>
        <v>0.2869427134464333</v>
      </c>
      <c r="BC223"/>
      <c r="BD223"/>
      <c r="BE223"/>
      <c r="BF223"/>
      <c r="BG223"/>
      <c r="BH223"/>
    </row>
    <row r="224" spans="1:60" s="202" customFormat="1">
      <c r="A224" s="296"/>
      <c r="B224" s="52" t="s">
        <v>110</v>
      </c>
      <c r="E224" s="205"/>
      <c r="F224" s="4">
        <f t="shared" ref="F224:N224" ca="1" si="528">F222/F$89</f>
        <v>0.47826699386076205</v>
      </c>
      <c r="G224" s="4">
        <f t="shared" ca="1" si="528"/>
        <v>0.34540815962372057</v>
      </c>
      <c r="H224" s="4">
        <f t="shared" ca="1" si="528"/>
        <v>0.28846359513530023</v>
      </c>
      <c r="I224" s="4">
        <f t="shared" ca="1" si="528"/>
        <v>0.52802618322882178</v>
      </c>
      <c r="J224" s="4">
        <f t="shared" ca="1" si="528"/>
        <v>0.18737658641401789</v>
      </c>
      <c r="K224" s="4">
        <f t="shared" ca="1" si="528"/>
        <v>0.26258803634289041</v>
      </c>
      <c r="L224" s="4">
        <f t="shared" ca="1" si="528"/>
        <v>0.21847436246053828</v>
      </c>
      <c r="M224" s="4">
        <f t="shared" ca="1" si="528"/>
        <v>0.23838293152074758</v>
      </c>
      <c r="N224" s="4">
        <f t="shared" ca="1" si="528"/>
        <v>0.25811222348392177</v>
      </c>
      <c r="O224" s="200"/>
      <c r="P224" s="200"/>
      <c r="Q224" s="4">
        <f t="shared" ref="Q224:AZ224" si="529">Q222/Q$89</f>
        <v>0.4498726114500296</v>
      </c>
      <c r="R224" s="4">
        <f t="shared" si="529"/>
        <v>0.51752454807640147</v>
      </c>
      <c r="S224" s="4">
        <f t="shared" si="529"/>
        <v>0.49023488494125483</v>
      </c>
      <c r="T224" s="215">
        <f t="shared" si="529"/>
        <v>0.45175859376899058</v>
      </c>
      <c r="U224" s="4">
        <f t="shared" si="529"/>
        <v>0.36085553949727722</v>
      </c>
      <c r="V224" s="4">
        <f t="shared" si="529"/>
        <v>0.36069828451033387</v>
      </c>
      <c r="W224" s="4">
        <f t="shared" si="529"/>
        <v>0.35888975936771289</v>
      </c>
      <c r="X224" s="215">
        <f t="shared" si="529"/>
        <v>0.31099874586694204</v>
      </c>
      <c r="Y224" s="4">
        <f t="shared" si="529"/>
        <v>0.28475166565717747</v>
      </c>
      <c r="Z224" s="4">
        <f t="shared" si="529"/>
        <v>0.31430973798789275</v>
      </c>
      <c r="AA224" s="4">
        <f t="shared" si="529"/>
        <v>0.30402212880173274</v>
      </c>
      <c r="AB224" s="215">
        <f t="shared" si="529"/>
        <v>0.25395287151547491</v>
      </c>
      <c r="AC224" s="4">
        <f t="shared" si="529"/>
        <v>0.21535864029217072</v>
      </c>
      <c r="AD224" s="4">
        <f t="shared" si="529"/>
        <v>0.24233365457557823</v>
      </c>
      <c r="AE224" s="4">
        <f t="shared" si="529"/>
        <v>0.17632332686778665</v>
      </c>
      <c r="AF224" s="215">
        <f t="shared" si="529"/>
        <v>1.339809989884909</v>
      </c>
      <c r="AG224" s="4">
        <f t="shared" si="529"/>
        <v>0.14909391392422469</v>
      </c>
      <c r="AH224" s="4">
        <f t="shared" si="529"/>
        <v>0.15374042469500079</v>
      </c>
      <c r="AI224" s="4">
        <f t="shared" ca="1" si="529"/>
        <v>0.18884728604590695</v>
      </c>
      <c r="AJ224" s="215">
        <f t="shared" ca="1" si="529"/>
        <v>0.25288851515054173</v>
      </c>
      <c r="AK224" s="4">
        <f t="shared" ca="1" si="529"/>
        <v>0.14149389741210955</v>
      </c>
      <c r="AL224" s="4">
        <f t="shared" ca="1" si="529"/>
        <v>0.26688703650474277</v>
      </c>
      <c r="AM224" s="4">
        <f t="shared" ca="1" si="529"/>
        <v>0.38639363106134789</v>
      </c>
      <c r="AN224" s="215">
        <f t="shared" ca="1" si="529"/>
        <v>0.22215146884021056</v>
      </c>
      <c r="AO224" s="4">
        <f t="shared" ca="1" si="529"/>
        <v>0.17493917418541174</v>
      </c>
      <c r="AP224" s="4">
        <f t="shared" ca="1" si="529"/>
        <v>0.2288799653975872</v>
      </c>
      <c r="AQ224" s="4">
        <f t="shared" ca="1" si="529"/>
        <v>0.23475069170580395</v>
      </c>
      <c r="AR224" s="215">
        <f t="shared" ca="1" si="529"/>
        <v>0.22598690504124172</v>
      </c>
      <c r="AS224" s="4">
        <f t="shared" ca="1" si="529"/>
        <v>0.21638659598736315</v>
      </c>
      <c r="AT224" s="4">
        <f t="shared" ca="1" si="529"/>
        <v>0.24260001277720367</v>
      </c>
      <c r="AU224" s="4">
        <f t="shared" ca="1" si="529"/>
        <v>0.24761453292259072</v>
      </c>
      <c r="AV224" s="215">
        <f t="shared" ca="1" si="529"/>
        <v>0.2428727365319705</v>
      </c>
      <c r="AW224" s="4">
        <f t="shared" ca="1" si="529"/>
        <v>0.2332677250066186</v>
      </c>
      <c r="AX224" s="4">
        <f t="shared" ca="1" si="529"/>
        <v>0.26068197529284942</v>
      </c>
      <c r="AY224" s="4">
        <f t="shared" ca="1" si="529"/>
        <v>0.26320721940130121</v>
      </c>
      <c r="AZ224" s="4">
        <f t="shared" ca="1" si="529"/>
        <v>0.27087259796866853</v>
      </c>
      <c r="BC224"/>
      <c r="BD224"/>
      <c r="BE224"/>
      <c r="BF224"/>
      <c r="BG224"/>
      <c r="BH224"/>
    </row>
    <row r="225" spans="1:60" s="202" customFormat="1">
      <c r="A225" s="296" t="s">
        <v>713</v>
      </c>
      <c r="B225" s="3" t="s">
        <v>675</v>
      </c>
      <c r="E225" s="205"/>
      <c r="F225" s="200">
        <f t="shared" ref="F225:N225" ca="1" si="530">SUM(OFFSET($P225,0,F$1,1,4))</f>
        <v>10286.808573385508</v>
      </c>
      <c r="G225" s="200">
        <f t="shared" ca="1" si="530"/>
        <v>10914.659212293453</v>
      </c>
      <c r="H225" s="200">
        <f t="shared" ca="1" si="530"/>
        <v>13867.441106289451</v>
      </c>
      <c r="I225" s="200">
        <f t="shared" ca="1" si="530"/>
        <v>13334.901795815413</v>
      </c>
      <c r="J225" s="200">
        <f t="shared" ca="1" si="530"/>
        <v>9656.2293661795175</v>
      </c>
      <c r="K225" s="200">
        <f t="shared" ca="1" si="530"/>
        <v>18618.659858856965</v>
      </c>
      <c r="L225" s="200">
        <f t="shared" ca="1" si="530"/>
        <v>23003.364551065595</v>
      </c>
      <c r="M225" s="200">
        <f t="shared" ca="1" si="530"/>
        <v>30655.786807362456</v>
      </c>
      <c r="N225" s="200">
        <f t="shared" ca="1" si="530"/>
        <v>39938.300870889689</v>
      </c>
      <c r="O225" s="200"/>
      <c r="P225" s="200"/>
      <c r="Q225" s="200">
        <f t="shared" ref="Q225:AZ225" si="531">+Q138+Q268-Q128*(1-Q133)+Q142</f>
        <v>1921.1238487958697</v>
      </c>
      <c r="R225" s="200">
        <f t="shared" si="531"/>
        <v>2779.1102217679918</v>
      </c>
      <c r="S225" s="200">
        <f t="shared" si="531"/>
        <v>3040.7147892600142</v>
      </c>
      <c r="T225" s="212">
        <f t="shared" si="531"/>
        <v>2545.8597135616328</v>
      </c>
      <c r="U225" s="200">
        <f t="shared" si="531"/>
        <v>2148.7479990199458</v>
      </c>
      <c r="V225" s="200">
        <f t="shared" si="531"/>
        <v>2709.6268613091665</v>
      </c>
      <c r="W225" s="200">
        <f t="shared" si="531"/>
        <v>3160.8819470270228</v>
      </c>
      <c r="X225" s="212">
        <f t="shared" si="531"/>
        <v>2895.4024049373174</v>
      </c>
      <c r="Y225" s="200">
        <f t="shared" si="531"/>
        <v>2555.8139885320325</v>
      </c>
      <c r="Z225" s="200">
        <f t="shared" si="531"/>
        <v>3710.5792959917421</v>
      </c>
      <c r="AA225" s="200">
        <f t="shared" si="531"/>
        <v>4130.9169500757762</v>
      </c>
      <c r="AB225" s="212">
        <f t="shared" si="531"/>
        <v>3470.1308716899011</v>
      </c>
      <c r="AC225" s="200">
        <f t="shared" si="531"/>
        <v>2661.1950655673622</v>
      </c>
      <c r="AD225" s="200">
        <f t="shared" si="531"/>
        <v>3897.0481484877487</v>
      </c>
      <c r="AE225" s="200">
        <f t="shared" si="531"/>
        <v>3030.0391931445524</v>
      </c>
      <c r="AF225" s="212">
        <f t="shared" si="531"/>
        <v>3746.6193886157489</v>
      </c>
      <c r="AG225" s="200">
        <f t="shared" si="531"/>
        <v>2185.7843853106788</v>
      </c>
      <c r="AH225" s="200">
        <f t="shared" si="531"/>
        <v>2302.8427627151709</v>
      </c>
      <c r="AI225" s="200">
        <f t="shared" ca="1" si="531"/>
        <v>2481.0950936232903</v>
      </c>
      <c r="AJ225" s="212">
        <f t="shared" ca="1" si="531"/>
        <v>2686.5071245303784</v>
      </c>
      <c r="AK225" s="200">
        <f t="shared" ca="1" si="531"/>
        <v>2454.6873126663213</v>
      </c>
      <c r="AL225" s="200">
        <f t="shared" ca="1" si="531"/>
        <v>5124.1483715319664</v>
      </c>
      <c r="AM225" s="200">
        <f t="shared" ca="1" si="531"/>
        <v>5474.1368711995583</v>
      </c>
      <c r="AN225" s="212">
        <f t="shared" ca="1" si="531"/>
        <v>5565.6873034591199</v>
      </c>
      <c r="AO225" s="200">
        <f t="shared" ca="1" si="531"/>
        <v>3830.3160889685641</v>
      </c>
      <c r="AP225" s="200">
        <f t="shared" ca="1" si="531"/>
        <v>5999.1538007388208</v>
      </c>
      <c r="AQ225" s="200">
        <f t="shared" ca="1" si="531"/>
        <v>6719.7689121153162</v>
      </c>
      <c r="AR225" s="212">
        <f t="shared" ca="1" si="531"/>
        <v>6454.1257492428949</v>
      </c>
      <c r="AS225" s="200">
        <f t="shared" ca="1" si="531"/>
        <v>6002.3355371037287</v>
      </c>
      <c r="AT225" s="200">
        <f t="shared" ca="1" si="531"/>
        <v>7760.7535797964902</v>
      </c>
      <c r="AU225" s="200">
        <f t="shared" ca="1" si="531"/>
        <v>8670.4265523646445</v>
      </c>
      <c r="AV225" s="212">
        <f t="shared" ca="1" si="531"/>
        <v>8222.2711380975943</v>
      </c>
      <c r="AW225" s="200">
        <f t="shared" ca="1" si="531"/>
        <v>7857.1067022588259</v>
      </c>
      <c r="AX225" s="200">
        <f t="shared" ca="1" si="531"/>
        <v>9957.7820311290743</v>
      </c>
      <c r="AY225" s="200">
        <f t="shared" ca="1" si="531"/>
        <v>10937.552377616072</v>
      </c>
      <c r="AZ225" s="200">
        <f t="shared" ca="1" si="531"/>
        <v>11185.859759885716</v>
      </c>
      <c r="BC225"/>
      <c r="BD225"/>
      <c r="BE225"/>
      <c r="BF225"/>
      <c r="BG225"/>
      <c r="BH225"/>
    </row>
    <row r="226" spans="1:60" s="202" customFormat="1">
      <c r="A226" s="296" t="s">
        <v>716</v>
      </c>
      <c r="B226" s="52" t="s">
        <v>111</v>
      </c>
      <c r="E226" s="205"/>
      <c r="F226" s="4">
        <f t="shared" ref="F226:N226" ca="1" si="532">F225/F$94</f>
        <v>0.48852462470371272</v>
      </c>
      <c r="G226" s="4">
        <f t="shared" ca="1" si="532"/>
        <v>0.36195111771720889</v>
      </c>
      <c r="H226" s="4">
        <f t="shared" ca="1" si="532"/>
        <v>0.2994779149413388</v>
      </c>
      <c r="I226" s="4">
        <f t="shared" ca="1" si="532"/>
        <v>0.21279884548016734</v>
      </c>
      <c r="J226" s="4">
        <f t="shared" ca="1" si="532"/>
        <v>0.1449914776265003</v>
      </c>
      <c r="K226" s="4">
        <f t="shared" ca="1" si="532"/>
        <v>0.23255857627977125</v>
      </c>
      <c r="L226" s="4">
        <f t="shared" ca="1" si="532"/>
        <v>0.23143588948008051</v>
      </c>
      <c r="M226" s="4">
        <f t="shared" ca="1" si="532"/>
        <v>0.25252555759955991</v>
      </c>
      <c r="N226" s="4">
        <f t="shared" ca="1" si="532"/>
        <v>0.27342530835637052</v>
      </c>
      <c r="O226" s="200"/>
      <c r="P226" s="200"/>
      <c r="Q226" s="4">
        <f t="shared" ref="Q226:AZ226" si="533">Q225/Q$94</f>
        <v>0.47730279703109058</v>
      </c>
      <c r="R226" s="4">
        <f t="shared" si="533"/>
        <v>0.53956149455353786</v>
      </c>
      <c r="S226" s="4">
        <f t="shared" si="533"/>
        <v>0.51531602360425266</v>
      </c>
      <c r="T226" s="215">
        <f t="shared" si="533"/>
        <v>0.42568871373242528</v>
      </c>
      <c r="U226" s="4">
        <f t="shared" si="533"/>
        <v>0.38136912266567158</v>
      </c>
      <c r="V226" s="4">
        <f t="shared" si="533"/>
        <v>0.37963730600834794</v>
      </c>
      <c r="W226" s="4">
        <f t="shared" si="533"/>
        <v>0.37657677488687719</v>
      </c>
      <c r="X226" s="215">
        <f t="shared" si="533"/>
        <v>0.32208249351351242</v>
      </c>
      <c r="Y226" s="4">
        <f t="shared" si="533"/>
        <v>0.28509611410515018</v>
      </c>
      <c r="Z226" s="4">
        <f t="shared" si="533"/>
        <v>0.32794676282039109</v>
      </c>
      <c r="AA226" s="4">
        <f t="shared" si="533"/>
        <v>0.32367236105586927</v>
      </c>
      <c r="AB226" s="215">
        <f t="shared" si="533"/>
        <v>0.2616317565280854</v>
      </c>
      <c r="AC226" s="4">
        <f t="shared" si="533"/>
        <v>0.22154401904599333</v>
      </c>
      <c r="AD226" s="4">
        <f t="shared" si="533"/>
        <v>0.24906001173893652</v>
      </c>
      <c r="AE226" s="4">
        <f t="shared" si="533"/>
        <v>0.17460551258374302</v>
      </c>
      <c r="AF226" s="215">
        <f t="shared" si="533"/>
        <v>0.21225307209605382</v>
      </c>
      <c r="AG226" s="4">
        <f t="shared" si="533"/>
        <v>0.1463568801880529</v>
      </c>
      <c r="AH226" s="4">
        <f t="shared" si="533"/>
        <v>0.13356871963078934</v>
      </c>
      <c r="AI226" s="4">
        <f t="shared" ca="1" si="533"/>
        <v>0.14399350261909061</v>
      </c>
      <c r="AJ226" s="215">
        <f t="shared" ca="1" si="533"/>
        <v>0.15626048929010711</v>
      </c>
      <c r="AK226" s="4">
        <f t="shared" ca="1" si="533"/>
        <v>0.15394810582445115</v>
      </c>
      <c r="AL226" s="4">
        <f t="shared" ca="1" si="533"/>
        <v>0.26004231459844451</v>
      </c>
      <c r="AM226" s="4">
        <f t="shared" ca="1" si="533"/>
        <v>0.24687614646161266</v>
      </c>
      <c r="AN226" s="215">
        <f t="shared" ca="1" si="533"/>
        <v>0.25029101691043842</v>
      </c>
      <c r="AO226" s="4">
        <f t="shared" ca="1" si="533"/>
        <v>0.18531787533237173</v>
      </c>
      <c r="AP226" s="4">
        <f t="shared" ca="1" si="533"/>
        <v>0.24245883483496206</v>
      </c>
      <c r="AQ226" s="4">
        <f t="shared" ca="1" si="533"/>
        <v>0.24867784289333905</v>
      </c>
      <c r="AR226" s="215">
        <f t="shared" ca="1" si="533"/>
        <v>0.23939413079116917</v>
      </c>
      <c r="AS226" s="4">
        <f t="shared" ca="1" si="533"/>
        <v>0.22922424609281999</v>
      </c>
      <c r="AT226" s="4">
        <f t="shared" ca="1" si="533"/>
        <v>0.25699283294896141</v>
      </c>
      <c r="AU226" s="4">
        <f t="shared" ca="1" si="533"/>
        <v>0.26230484513427915</v>
      </c>
      <c r="AV226" s="215">
        <f t="shared" ca="1" si="533"/>
        <v>0.25728171800175492</v>
      </c>
      <c r="AW226" s="4">
        <f t="shared" ca="1" si="533"/>
        <v>0.24710685821319756</v>
      </c>
      <c r="AX226" s="4">
        <f t="shared" ca="1" si="533"/>
        <v>0.27614751938896753</v>
      </c>
      <c r="AY226" s="4">
        <f t="shared" ca="1" si="533"/>
        <v>0.2788225770187045</v>
      </c>
      <c r="AZ226" s="4">
        <f t="shared" ca="1" si="533"/>
        <v>0.2869427134464333</v>
      </c>
      <c r="BC226"/>
      <c r="BD226"/>
      <c r="BE226"/>
      <c r="BF226"/>
      <c r="BG226"/>
      <c r="BH226"/>
    </row>
    <row r="227" spans="1:60" s="202" customFormat="1">
      <c r="A227" s="296"/>
      <c r="B227" s="52" t="s">
        <v>110</v>
      </c>
      <c r="E227" s="205"/>
      <c r="F227" s="4">
        <f t="shared" ref="F227:N227" ca="1" si="534">F225/F$89</f>
        <v>0.46116724572030476</v>
      </c>
      <c r="G227" s="4">
        <f t="shared" ca="1" si="534"/>
        <v>0.34168185512504518</v>
      </c>
      <c r="H227" s="4">
        <f t="shared" ca="1" si="534"/>
        <v>0.28270715170462385</v>
      </c>
      <c r="I227" s="4">
        <f t="shared" ca="1" si="534"/>
        <v>0.20088211013327795</v>
      </c>
      <c r="J227" s="4">
        <f t="shared" ca="1" si="534"/>
        <v>0.13687195487941631</v>
      </c>
      <c r="K227" s="4">
        <f t="shared" ca="1" si="534"/>
        <v>0.2195352422623375</v>
      </c>
      <c r="L227" s="4">
        <f t="shared" ca="1" si="534"/>
        <v>0.21847436246053828</v>
      </c>
      <c r="M227" s="4">
        <f t="shared" ca="1" si="534"/>
        <v>0.23838293152074758</v>
      </c>
      <c r="N227" s="4">
        <f t="shared" ca="1" si="534"/>
        <v>0.25811222348392177</v>
      </c>
      <c r="O227" s="200"/>
      <c r="P227" s="200"/>
      <c r="Q227" s="4">
        <f t="shared" ref="Q227:AZ227" si="535">Q225/Q$89</f>
        <v>0.45057384039734949</v>
      </c>
      <c r="R227" s="4">
        <f t="shared" si="535"/>
        <v>0.50934605085853968</v>
      </c>
      <c r="S227" s="4">
        <f t="shared" si="535"/>
        <v>0.48645832628241453</v>
      </c>
      <c r="T227" s="215">
        <f t="shared" si="535"/>
        <v>0.40185014576340944</v>
      </c>
      <c r="U227" s="4">
        <f t="shared" si="535"/>
        <v>0.36001245179639396</v>
      </c>
      <c r="V227" s="4">
        <f t="shared" si="535"/>
        <v>0.35837761687188041</v>
      </c>
      <c r="W227" s="4">
        <f t="shared" si="535"/>
        <v>0.35548847549321205</v>
      </c>
      <c r="X227" s="215">
        <f t="shared" si="535"/>
        <v>0.30404587387675575</v>
      </c>
      <c r="Y227" s="4">
        <f t="shared" si="535"/>
        <v>0.26913073171526175</v>
      </c>
      <c r="Z227" s="4">
        <f t="shared" si="535"/>
        <v>0.30958174410244921</v>
      </c>
      <c r="AA227" s="4">
        <f t="shared" si="535"/>
        <v>0.30554670883674057</v>
      </c>
      <c r="AB227" s="215">
        <f t="shared" si="535"/>
        <v>0.24698037816251261</v>
      </c>
      <c r="AC227" s="4">
        <f t="shared" si="535"/>
        <v>0.20913755397941772</v>
      </c>
      <c r="AD227" s="4">
        <f t="shared" si="535"/>
        <v>0.23511265108155607</v>
      </c>
      <c r="AE227" s="4">
        <f t="shared" si="535"/>
        <v>0.1648276038790534</v>
      </c>
      <c r="AF227" s="215">
        <f t="shared" si="535"/>
        <v>0.20036690005867483</v>
      </c>
      <c r="AG227" s="4">
        <f t="shared" si="535"/>
        <v>0.13816089489752195</v>
      </c>
      <c r="AH227" s="4">
        <f t="shared" si="535"/>
        <v>0.12608887133146515</v>
      </c>
      <c r="AI227" s="4">
        <f t="shared" ca="1" si="535"/>
        <v>0.1359298664724215</v>
      </c>
      <c r="AJ227" s="215">
        <f t="shared" ca="1" si="535"/>
        <v>0.1475099018898611</v>
      </c>
      <c r="AK227" s="4">
        <f t="shared" ca="1" si="535"/>
        <v>0.1453270118982819</v>
      </c>
      <c r="AL227" s="4">
        <f t="shared" ca="1" si="535"/>
        <v>0.24547994498093162</v>
      </c>
      <c r="AM227" s="4">
        <f t="shared" ca="1" si="535"/>
        <v>0.23305108225976237</v>
      </c>
      <c r="AN227" s="215">
        <f t="shared" ca="1" si="535"/>
        <v>0.23627471996345389</v>
      </c>
      <c r="AO227" s="4">
        <f t="shared" ca="1" si="535"/>
        <v>0.17493917418541174</v>
      </c>
      <c r="AP227" s="4">
        <f t="shared" ca="1" si="535"/>
        <v>0.2288799653975872</v>
      </c>
      <c r="AQ227" s="4">
        <f t="shared" ca="1" si="535"/>
        <v>0.23475069170580395</v>
      </c>
      <c r="AR227" s="215">
        <f t="shared" ca="1" si="535"/>
        <v>0.22598690504124172</v>
      </c>
      <c r="AS227" s="4">
        <f t="shared" ca="1" si="535"/>
        <v>0.21638659598736315</v>
      </c>
      <c r="AT227" s="4">
        <f t="shared" ca="1" si="535"/>
        <v>0.24260001277720367</v>
      </c>
      <c r="AU227" s="4">
        <f t="shared" ca="1" si="535"/>
        <v>0.24761453292259072</v>
      </c>
      <c r="AV227" s="215">
        <f t="shared" ca="1" si="535"/>
        <v>0.2428727365319705</v>
      </c>
      <c r="AW227" s="4">
        <f t="shared" ca="1" si="535"/>
        <v>0.2332677250066186</v>
      </c>
      <c r="AX227" s="4">
        <f t="shared" ca="1" si="535"/>
        <v>0.26068197529284942</v>
      </c>
      <c r="AY227" s="4">
        <f t="shared" ca="1" si="535"/>
        <v>0.26320721940130121</v>
      </c>
      <c r="AZ227" s="4">
        <f t="shared" ca="1" si="535"/>
        <v>0.27087259796866853</v>
      </c>
      <c r="BC227"/>
      <c r="BD227"/>
      <c r="BE227"/>
      <c r="BF227"/>
      <c r="BG227"/>
      <c r="BH227"/>
    </row>
    <row r="228" spans="1:60" s="8" customFormat="1">
      <c r="A228" s="296"/>
      <c r="B228" s="86"/>
      <c r="E228" s="81"/>
      <c r="F228" s="85"/>
      <c r="G228" s="85"/>
      <c r="H228" s="85"/>
      <c r="I228" s="85"/>
      <c r="J228" s="85"/>
      <c r="K228" s="85"/>
      <c r="L228" s="85"/>
      <c r="M228" s="85"/>
      <c r="N228" s="85"/>
      <c r="Q228" s="85"/>
      <c r="R228" s="85"/>
      <c r="S228" s="85"/>
      <c r="T228" s="223"/>
      <c r="U228" s="85"/>
      <c r="V228" s="85"/>
      <c r="W228" s="85"/>
      <c r="X228" s="223"/>
      <c r="Y228" s="85"/>
      <c r="Z228" s="85"/>
      <c r="AA228" s="85"/>
      <c r="AB228" s="223"/>
      <c r="AC228" s="85"/>
      <c r="AD228" s="85"/>
      <c r="AE228" s="85"/>
      <c r="AF228" s="223"/>
      <c r="AG228" s="85"/>
      <c r="AH228" s="85"/>
      <c r="AI228" s="85"/>
      <c r="AJ228" s="223"/>
      <c r="AK228" s="85"/>
      <c r="AL228" s="85"/>
      <c r="AM228" s="85"/>
      <c r="AN228" s="223"/>
      <c r="AO228" s="85"/>
      <c r="AP228" s="85"/>
      <c r="AQ228" s="85"/>
      <c r="AR228" s="223"/>
      <c r="AS228" s="85"/>
      <c r="AT228" s="85"/>
      <c r="AU228" s="85"/>
      <c r="AV228" s="223"/>
      <c r="AW228" s="85"/>
      <c r="AX228" s="85"/>
      <c r="AY228" s="85"/>
      <c r="AZ228" s="85"/>
      <c r="BC228"/>
      <c r="BD228"/>
      <c r="BE228"/>
      <c r="BF228"/>
      <c r="BG228"/>
      <c r="BH228"/>
    </row>
    <row r="229" spans="1:60" s="203" customFormat="1" hidden="1" outlineLevel="1">
      <c r="A229" s="296"/>
      <c r="B229" s="264" t="s">
        <v>692</v>
      </c>
      <c r="E229" s="81"/>
      <c r="F229" s="85"/>
      <c r="G229" s="85"/>
      <c r="H229" s="85"/>
      <c r="I229" s="85"/>
      <c r="J229" s="85"/>
      <c r="K229" s="85"/>
      <c r="L229" s="291"/>
      <c r="M229" s="85"/>
      <c r="N229" s="85"/>
      <c r="Q229" s="85"/>
      <c r="R229" s="85"/>
      <c r="S229" s="85"/>
      <c r="T229" s="223"/>
      <c r="U229" s="85"/>
      <c r="V229" s="85"/>
      <c r="W229" s="85"/>
      <c r="X229" s="223"/>
      <c r="Y229" s="85"/>
      <c r="Z229" s="85"/>
      <c r="AA229" s="85"/>
      <c r="AB229" s="223"/>
      <c r="AC229" s="85"/>
      <c r="AD229" s="85"/>
      <c r="AE229" s="85"/>
      <c r="AF229" s="223"/>
      <c r="AG229" s="85"/>
      <c r="AH229" s="85"/>
      <c r="AI229" s="85"/>
      <c r="AJ229" s="223"/>
      <c r="AK229" s="85"/>
      <c r="AL229" s="85"/>
      <c r="AM229" s="85"/>
      <c r="AN229" s="223"/>
      <c r="AO229" s="85"/>
      <c r="AP229" s="85"/>
      <c r="AQ229" s="85"/>
      <c r="AR229" s="223"/>
      <c r="AS229" s="85"/>
      <c r="AT229" s="85"/>
      <c r="AU229" s="85"/>
      <c r="AV229" s="223"/>
      <c r="AW229" s="85"/>
      <c r="AX229" s="85"/>
      <c r="AY229" s="85"/>
      <c r="AZ229" s="85"/>
      <c r="BC229"/>
      <c r="BD229"/>
      <c r="BE229"/>
      <c r="BF229"/>
      <c r="BG229"/>
      <c r="BH229"/>
    </row>
    <row r="230" spans="1:60" s="203" customFormat="1" hidden="1" outlineLevel="1">
      <c r="A230" s="296"/>
      <c r="B230" s="52" t="s">
        <v>115</v>
      </c>
      <c r="E230" s="81"/>
      <c r="F230" s="40">
        <f ca="1">F208</f>
        <v>0.75355800866986811</v>
      </c>
      <c r="G230" s="40">
        <f t="shared" ref="G230:N230" ca="1" si="536">G208</f>
        <v>0.67968881863423214</v>
      </c>
      <c r="H230" s="40">
        <f t="shared" ca="1" si="536"/>
        <v>0.6522238810475578</v>
      </c>
      <c r="I230" s="40">
        <f t="shared" ca="1" si="536"/>
        <v>0.62194002884668065</v>
      </c>
      <c r="J230" s="40">
        <f t="shared" ca="1" si="536"/>
        <v>0.53114890108742785</v>
      </c>
      <c r="K230" s="40">
        <f t="shared" ca="1" si="536"/>
        <v>0.52374262320062548</v>
      </c>
      <c r="L230" s="40">
        <f t="shared" ca="1" si="536"/>
        <v>0.50173232075677876</v>
      </c>
      <c r="M230" s="40">
        <f t="shared" ca="1" si="536"/>
        <v>0.53294979094317907</v>
      </c>
      <c r="N230" s="40">
        <f t="shared" ca="1" si="536"/>
        <v>0.5572284611975199</v>
      </c>
      <c r="Q230" s="85"/>
      <c r="R230" s="85"/>
      <c r="S230" s="85"/>
      <c r="T230" s="223"/>
      <c r="U230" s="85"/>
      <c r="V230" s="85"/>
      <c r="W230" s="85"/>
      <c r="X230" s="223"/>
      <c r="Y230" s="85"/>
      <c r="Z230" s="85"/>
      <c r="AA230" s="85"/>
      <c r="AB230" s="223"/>
      <c r="AC230" s="85"/>
      <c r="AD230" s="85"/>
      <c r="AE230" s="85"/>
      <c r="AF230" s="223"/>
      <c r="AG230" s="85"/>
      <c r="AH230" s="85"/>
      <c r="AI230" s="85"/>
      <c r="AJ230" s="223"/>
      <c r="AK230" s="85"/>
      <c r="AL230" s="85"/>
      <c r="AM230" s="85"/>
      <c r="AN230" s="223"/>
      <c r="AO230" s="85"/>
      <c r="AP230" s="85"/>
      <c r="AQ230" s="85"/>
      <c r="AR230" s="223"/>
      <c r="AS230" s="85"/>
      <c r="AT230" s="85"/>
      <c r="AU230" s="85"/>
      <c r="AV230" s="223"/>
      <c r="AW230" s="85"/>
      <c r="AX230" s="85"/>
      <c r="AY230" s="85"/>
      <c r="AZ230" s="85"/>
      <c r="BC230"/>
      <c r="BD230"/>
      <c r="BE230"/>
      <c r="BF230"/>
      <c r="BG230"/>
      <c r="BH230"/>
    </row>
    <row r="231" spans="1:60" s="203" customFormat="1" hidden="1" outlineLevel="1">
      <c r="A231" s="296"/>
      <c r="B231" s="52" t="s">
        <v>114</v>
      </c>
      <c r="E231" s="81"/>
      <c r="F231" s="40">
        <f ca="1">F211</f>
        <v>0.60443906389135693</v>
      </c>
      <c r="G231" s="40">
        <f t="shared" ref="G231:N231" ca="1" si="537">G211</f>
        <v>0.4582495955799698</v>
      </c>
      <c r="H231" s="40">
        <f t="shared" ca="1" si="537"/>
        <v>0.36183799886369822</v>
      </c>
      <c r="I231" s="40">
        <f t="shared" ca="1" si="537"/>
        <v>0.26586142553917069</v>
      </c>
      <c r="J231" s="40">
        <f t="shared" ca="1" si="537"/>
        <v>0.23712270364624963</v>
      </c>
      <c r="K231" s="40">
        <f t="shared" ca="1" si="537"/>
        <v>0.29144795943504381</v>
      </c>
      <c r="L231" s="40">
        <f t="shared" ca="1" si="537"/>
        <v>0.25650962648229481</v>
      </c>
      <c r="M231" s="40">
        <f t="shared" ca="1" si="537"/>
        <v>0.28224224797183267</v>
      </c>
      <c r="N231" s="40">
        <f t="shared" ca="1" si="537"/>
        <v>0.31659496703689044</v>
      </c>
      <c r="Q231" s="85"/>
      <c r="R231" s="85"/>
      <c r="S231" s="85"/>
      <c r="T231" s="223"/>
      <c r="U231" s="85"/>
      <c r="V231" s="85"/>
      <c r="W231" s="85"/>
      <c r="X231" s="223"/>
      <c r="Y231" s="85"/>
      <c r="Z231" s="85"/>
      <c r="AA231" s="85"/>
      <c r="AB231" s="223"/>
      <c r="AC231" s="85"/>
      <c r="AD231" s="85"/>
      <c r="AE231" s="85"/>
      <c r="AF231" s="223"/>
      <c r="AG231" s="85"/>
      <c r="AH231" s="85"/>
      <c r="AI231" s="85"/>
      <c r="AJ231" s="223"/>
      <c r="AK231" s="85"/>
      <c r="AL231" s="85"/>
      <c r="AM231" s="85"/>
      <c r="AN231" s="223"/>
      <c r="AO231" s="85"/>
      <c r="AP231" s="85"/>
      <c r="AQ231" s="85"/>
      <c r="AR231" s="223"/>
      <c r="AS231" s="85"/>
      <c r="AT231" s="85"/>
      <c r="AU231" s="85"/>
      <c r="AV231" s="223"/>
      <c r="AW231" s="85"/>
      <c r="AX231" s="85"/>
      <c r="AY231" s="85"/>
      <c r="AZ231" s="85"/>
      <c r="BC231"/>
      <c r="BD231"/>
      <c r="BE231"/>
      <c r="BF231"/>
      <c r="BG231"/>
      <c r="BH231"/>
    </row>
    <row r="232" spans="1:60" s="203" customFormat="1" hidden="1" outlineLevel="1">
      <c r="A232" s="296"/>
      <c r="B232" s="52" t="s">
        <v>113</v>
      </c>
      <c r="E232" s="81"/>
      <c r="F232" s="40">
        <f ca="1">F214</f>
        <v>0.53491411974108982</v>
      </c>
      <c r="G232" s="40">
        <f t="shared" ref="G232:N232" ca="1" si="538">G214</f>
        <v>0.38820829233254733</v>
      </c>
      <c r="H232" s="40">
        <f t="shared" ca="1" si="538"/>
        <v>0.29729807993226981</v>
      </c>
      <c r="I232" s="40">
        <f t="shared" ca="1" si="538"/>
        <v>0.20839076040111643</v>
      </c>
      <c r="J232" s="40">
        <f t="shared" ca="1" si="538"/>
        <v>0.17731706174138431</v>
      </c>
      <c r="K232" s="40">
        <f t="shared" ca="1" si="538"/>
        <v>0.23650307787624408</v>
      </c>
      <c r="L232" s="40">
        <f t="shared" ca="1" si="538"/>
        <v>0.20568663134979256</v>
      </c>
      <c r="M232" s="40">
        <f t="shared" ca="1" si="538"/>
        <v>0.23482609556721887</v>
      </c>
      <c r="N232" s="40">
        <f t="shared" ca="1" si="538"/>
        <v>0.27228701691642587</v>
      </c>
      <c r="Q232" s="85"/>
      <c r="R232" s="85"/>
      <c r="S232" s="85"/>
      <c r="T232" s="223"/>
      <c r="U232" s="85"/>
      <c r="V232" s="85"/>
      <c r="W232" s="85"/>
      <c r="X232" s="223"/>
      <c r="Y232" s="85"/>
      <c r="Z232" s="85"/>
      <c r="AA232" s="85"/>
      <c r="AB232" s="223"/>
      <c r="AC232" s="85"/>
      <c r="AD232" s="85"/>
      <c r="AE232" s="85"/>
      <c r="AF232" s="223"/>
      <c r="AG232" s="85"/>
      <c r="AH232" s="85"/>
      <c r="AI232" s="85"/>
      <c r="AJ232" s="223"/>
      <c r="AK232" s="85"/>
      <c r="AL232" s="85"/>
      <c r="AM232" s="85"/>
      <c r="AN232" s="223"/>
      <c r="AO232" s="85"/>
      <c r="AP232" s="85"/>
      <c r="AQ232" s="85"/>
      <c r="AR232" s="223"/>
      <c r="AS232" s="85"/>
      <c r="AT232" s="85"/>
      <c r="AU232" s="85"/>
      <c r="AV232" s="223"/>
      <c r="AW232" s="85"/>
      <c r="AX232" s="85"/>
      <c r="AY232" s="85"/>
      <c r="AZ232" s="85"/>
      <c r="BC232"/>
      <c r="BD232"/>
      <c r="BE232"/>
      <c r="BF232"/>
      <c r="BG232"/>
      <c r="BH232"/>
    </row>
    <row r="233" spans="1:60" s="203" customFormat="1" hidden="1" outlineLevel="1">
      <c r="A233" s="296"/>
      <c r="B233" s="52" t="s">
        <v>112</v>
      </c>
      <c r="E233" s="81"/>
      <c r="F233" s="40">
        <f ca="1">F217</f>
        <v>0.5035637139762219</v>
      </c>
      <c r="G233" s="40">
        <f t="shared" ref="G233:N233" ca="1" si="539">G217</f>
        <v>0.36049709288339571</v>
      </c>
      <c r="H233" s="40">
        <f t="shared" ca="1" si="539"/>
        <v>0.28519596780492101</v>
      </c>
      <c r="I233" s="40">
        <f t="shared" ca="1" si="539"/>
        <v>0.53969063471707868</v>
      </c>
      <c r="J233" s="40">
        <f t="shared" ca="1" si="539"/>
        <v>0.19794174466144382</v>
      </c>
      <c r="K233" s="40">
        <f t="shared" ca="1" si="539"/>
        <v>0.27801101426331898</v>
      </c>
      <c r="L233" s="40">
        <f t="shared" ca="1" si="539"/>
        <v>0.20644583095932348</v>
      </c>
      <c r="M233" s="40">
        <f t="shared" ca="1" si="539"/>
        <v>0.23086002846364767</v>
      </c>
      <c r="N233" s="40">
        <f t="shared" ca="1" si="539"/>
        <v>0.26400977878592047</v>
      </c>
      <c r="Q233" s="85"/>
      <c r="R233" s="85"/>
      <c r="S233" s="85"/>
      <c r="T233" s="223"/>
      <c r="U233" s="85"/>
      <c r="V233" s="85"/>
      <c r="W233" s="85"/>
      <c r="X233" s="223"/>
      <c r="Y233" s="85"/>
      <c r="Z233" s="85"/>
      <c r="AA233" s="85"/>
      <c r="AB233" s="223"/>
      <c r="AC233" s="85"/>
      <c r="AD233" s="85"/>
      <c r="AE233" s="85"/>
      <c r="AF233" s="223"/>
      <c r="AG233" s="85"/>
      <c r="AH233" s="85"/>
      <c r="AI233" s="85"/>
      <c r="AJ233" s="223"/>
      <c r="AK233" s="85"/>
      <c r="AL233" s="85"/>
      <c r="AM233" s="85"/>
      <c r="AN233" s="223"/>
      <c r="AO233" s="85"/>
      <c r="AP233" s="85"/>
      <c r="AQ233" s="85"/>
      <c r="AR233" s="223"/>
      <c r="AS233" s="85"/>
      <c r="AT233" s="85"/>
      <c r="AU233" s="85"/>
      <c r="AV233" s="223"/>
      <c r="AW233" s="85"/>
      <c r="AX233" s="85"/>
      <c r="AY233" s="85"/>
      <c r="AZ233" s="85"/>
      <c r="BC233"/>
      <c r="BD233"/>
      <c r="BE233"/>
      <c r="BF233"/>
      <c r="BG233"/>
      <c r="BH233"/>
    </row>
    <row r="234" spans="1:60" s="203" customFormat="1" hidden="1" outlineLevel="1">
      <c r="A234" s="296"/>
      <c r="B234" s="52" t="s">
        <v>689</v>
      </c>
      <c r="E234" s="81"/>
      <c r="F234" s="40">
        <f ca="1">F220</f>
        <v>0.48544957399692396</v>
      </c>
      <c r="G234" s="40">
        <f t="shared" ref="G234:N234" ca="1" si="540">G220</f>
        <v>0.35654973642293447</v>
      </c>
      <c r="H234" s="40">
        <f t="shared" ca="1" si="540"/>
        <v>0.27909804044191638</v>
      </c>
      <c r="I234" s="40">
        <f t="shared" ca="1" si="540"/>
        <v>0.19313970982773143</v>
      </c>
      <c r="J234" s="40">
        <f t="shared" ca="1" si="540"/>
        <v>0.14444107566292522</v>
      </c>
      <c r="K234" s="40">
        <f t="shared" ca="1" si="540"/>
        <v>0.23240422970762942</v>
      </c>
      <c r="L234" s="40">
        <f t="shared" ca="1" si="540"/>
        <v>0.20644583095932348</v>
      </c>
      <c r="M234" s="40">
        <f t="shared" ca="1" si="540"/>
        <v>0.23086002846364767</v>
      </c>
      <c r="N234" s="40">
        <f t="shared" ca="1" si="540"/>
        <v>0.26400977878592047</v>
      </c>
      <c r="Q234" s="85"/>
      <c r="R234" s="85"/>
      <c r="S234" s="85"/>
      <c r="T234" s="223"/>
      <c r="U234" s="85"/>
      <c r="V234" s="85"/>
      <c r="W234" s="85"/>
      <c r="X234" s="223"/>
      <c r="Y234" s="85"/>
      <c r="Z234" s="85"/>
      <c r="AA234" s="85"/>
      <c r="AB234" s="223"/>
      <c r="AC234" s="85"/>
      <c r="AD234" s="85"/>
      <c r="AE234" s="85"/>
      <c r="AF234" s="223"/>
      <c r="AG234" s="85"/>
      <c r="AH234" s="85"/>
      <c r="AI234" s="85"/>
      <c r="AJ234" s="223"/>
      <c r="AK234" s="85"/>
      <c r="AL234" s="85"/>
      <c r="AM234" s="85"/>
      <c r="AN234" s="223"/>
      <c r="AO234" s="85"/>
      <c r="AP234" s="85"/>
      <c r="AQ234" s="85"/>
      <c r="AR234" s="223"/>
      <c r="AS234" s="85"/>
      <c r="AT234" s="85"/>
      <c r="AU234" s="85"/>
      <c r="AV234" s="223"/>
      <c r="AW234" s="85"/>
      <c r="AX234" s="85"/>
      <c r="AY234" s="85"/>
      <c r="AZ234" s="85"/>
      <c r="BC234"/>
      <c r="BD234"/>
      <c r="BE234"/>
      <c r="BF234"/>
      <c r="BG234"/>
      <c r="BH234"/>
    </row>
    <row r="235" spans="1:60" s="203" customFormat="1" hidden="1" outlineLevel="1">
      <c r="A235" s="296"/>
      <c r="B235" s="52" t="s">
        <v>690</v>
      </c>
      <c r="E235" s="81"/>
      <c r="F235" s="40">
        <f ca="1">F223</f>
        <v>0.50663876468301061</v>
      </c>
      <c r="G235" s="40">
        <f t="shared" ref="G235:N235" ca="1" si="541">G223</f>
        <v>0.36589847417767007</v>
      </c>
      <c r="H235" s="40">
        <f t="shared" ca="1" si="541"/>
        <v>0.30557584230434348</v>
      </c>
      <c r="I235" s="40">
        <f t="shared" ca="1" si="541"/>
        <v>0.55934977036951461</v>
      </c>
      <c r="J235" s="40">
        <f t="shared" ca="1" si="541"/>
        <v>0.19849214662501893</v>
      </c>
      <c r="K235" s="40">
        <f t="shared" ca="1" si="541"/>
        <v>0.27816536083546078</v>
      </c>
      <c r="L235" s="40">
        <f t="shared" ca="1" si="541"/>
        <v>0.23143588948008051</v>
      </c>
      <c r="M235" s="40">
        <f t="shared" ca="1" si="541"/>
        <v>0.25252555759955991</v>
      </c>
      <c r="N235" s="40">
        <f t="shared" ca="1" si="541"/>
        <v>0.27342530835637052</v>
      </c>
      <c r="Q235" s="85"/>
      <c r="R235" s="85"/>
      <c r="S235" s="85"/>
      <c r="T235" s="223"/>
      <c r="U235" s="85"/>
      <c r="V235" s="85"/>
      <c r="W235" s="85"/>
      <c r="X235" s="223"/>
      <c r="Y235" s="85"/>
      <c r="Z235" s="85"/>
      <c r="AA235" s="85"/>
      <c r="AB235" s="223"/>
      <c r="AC235" s="85"/>
      <c r="AD235" s="85"/>
      <c r="AE235" s="85"/>
      <c r="AF235" s="223"/>
      <c r="AG235" s="85"/>
      <c r="AH235" s="85"/>
      <c r="AI235" s="85"/>
      <c r="AJ235" s="223"/>
      <c r="AK235" s="85"/>
      <c r="AL235" s="85"/>
      <c r="AM235" s="85"/>
      <c r="AN235" s="223"/>
      <c r="AO235" s="85"/>
      <c r="AP235" s="85"/>
      <c r="AQ235" s="85"/>
      <c r="AR235" s="223"/>
      <c r="AS235" s="85"/>
      <c r="AT235" s="85"/>
      <c r="AU235" s="85"/>
      <c r="AV235" s="223"/>
      <c r="AW235" s="85"/>
      <c r="AX235" s="85"/>
      <c r="AY235" s="85"/>
      <c r="AZ235" s="85"/>
      <c r="BC235"/>
      <c r="BD235"/>
      <c r="BE235"/>
      <c r="BF235"/>
      <c r="BG235"/>
      <c r="BH235"/>
    </row>
    <row r="236" spans="1:60" s="203" customFormat="1" hidden="1" outlineLevel="1">
      <c r="A236" s="296"/>
      <c r="B236" s="52" t="s">
        <v>691</v>
      </c>
      <c r="E236" s="81"/>
      <c r="F236" s="40">
        <f ca="1">F226</f>
        <v>0.48852462470371272</v>
      </c>
      <c r="G236" s="40">
        <f t="shared" ref="G236:N236" ca="1" si="542">G226</f>
        <v>0.36195111771720889</v>
      </c>
      <c r="H236" s="40">
        <f t="shared" ca="1" si="542"/>
        <v>0.2994779149413388</v>
      </c>
      <c r="I236" s="40">
        <f t="shared" ca="1" si="542"/>
        <v>0.21279884548016734</v>
      </c>
      <c r="J236" s="40">
        <f t="shared" ca="1" si="542"/>
        <v>0.1449914776265003</v>
      </c>
      <c r="K236" s="40">
        <f t="shared" ca="1" si="542"/>
        <v>0.23255857627977125</v>
      </c>
      <c r="L236" s="40">
        <f t="shared" ca="1" si="542"/>
        <v>0.23143588948008051</v>
      </c>
      <c r="M236" s="40">
        <f t="shared" ca="1" si="542"/>
        <v>0.25252555759955991</v>
      </c>
      <c r="N236" s="40">
        <f t="shared" ca="1" si="542"/>
        <v>0.27342530835637052</v>
      </c>
      <c r="Q236" s="85"/>
      <c r="R236" s="85"/>
      <c r="S236" s="85"/>
      <c r="T236" s="223"/>
      <c r="U236" s="85"/>
      <c r="V236" s="85"/>
      <c r="W236" s="85"/>
      <c r="X236" s="223"/>
      <c r="Y236" s="85"/>
      <c r="Z236" s="85"/>
      <c r="AA236" s="85"/>
      <c r="AB236" s="223"/>
      <c r="AC236" s="85"/>
      <c r="AD236" s="85"/>
      <c r="AE236" s="85"/>
      <c r="AF236" s="223"/>
      <c r="AG236" s="85"/>
      <c r="AH236" s="85"/>
      <c r="AI236" s="85"/>
      <c r="AJ236" s="223"/>
      <c r="AK236" s="85"/>
      <c r="AL236" s="85"/>
      <c r="AM236" s="85"/>
      <c r="AN236" s="223"/>
      <c r="AO236" s="85"/>
      <c r="AP236" s="85"/>
      <c r="AQ236" s="85"/>
      <c r="AR236" s="223"/>
      <c r="AS236" s="85"/>
      <c r="AT236" s="85"/>
      <c r="AU236" s="85"/>
      <c r="AV236" s="223"/>
      <c r="AW236" s="85"/>
      <c r="AX236" s="85"/>
      <c r="AY236" s="85"/>
      <c r="AZ236" s="85"/>
      <c r="BC236"/>
      <c r="BD236"/>
      <c r="BE236"/>
      <c r="BF236"/>
      <c r="BG236"/>
      <c r="BH236"/>
    </row>
    <row r="237" spans="1:60" s="203" customFormat="1" hidden="1" outlineLevel="1">
      <c r="A237" s="296"/>
      <c r="B237" s="86"/>
      <c r="E237" s="81"/>
      <c r="F237" s="85"/>
      <c r="G237" s="85"/>
      <c r="H237" s="85"/>
      <c r="I237" s="85"/>
      <c r="J237" s="85"/>
      <c r="K237" s="85"/>
      <c r="L237" s="85"/>
      <c r="M237" s="85"/>
      <c r="N237" s="85"/>
      <c r="Q237" s="85"/>
      <c r="R237" s="85"/>
      <c r="S237" s="85"/>
      <c r="T237" s="223"/>
      <c r="U237" s="85"/>
      <c r="V237" s="85"/>
      <c r="W237" s="85"/>
      <c r="X237" s="223"/>
      <c r="Y237" s="85"/>
      <c r="Z237" s="85"/>
      <c r="AA237" s="85"/>
      <c r="AB237" s="223"/>
      <c r="AC237" s="85"/>
      <c r="AD237" s="85"/>
      <c r="AE237" s="85"/>
      <c r="AF237" s="223"/>
      <c r="AG237" s="85"/>
      <c r="AH237" s="85"/>
      <c r="AI237" s="85"/>
      <c r="AJ237" s="223"/>
      <c r="AK237" s="85"/>
      <c r="AL237" s="85"/>
      <c r="AM237" s="85"/>
      <c r="AN237" s="223"/>
      <c r="AO237" s="85"/>
      <c r="AP237" s="85"/>
      <c r="AQ237" s="85"/>
      <c r="AR237" s="223"/>
      <c r="AS237" s="85"/>
      <c r="AT237" s="85"/>
      <c r="AU237" s="85"/>
      <c r="AV237" s="223"/>
      <c r="AW237" s="85"/>
      <c r="AX237" s="85"/>
      <c r="AY237" s="85"/>
      <c r="AZ237" s="85"/>
      <c r="BC237"/>
      <c r="BD237"/>
      <c r="BE237"/>
      <c r="BF237"/>
      <c r="BG237"/>
      <c r="BH237"/>
    </row>
    <row r="238" spans="1:60" s="203" customFormat="1" hidden="1" outlineLevel="1">
      <c r="A238" s="296"/>
      <c r="B238" s="264" t="s">
        <v>693</v>
      </c>
      <c r="E238" s="81"/>
      <c r="F238" s="85"/>
      <c r="G238" s="85"/>
      <c r="H238" s="85"/>
      <c r="I238" s="85"/>
      <c r="J238" s="85"/>
      <c r="K238" s="85"/>
      <c r="L238" s="85"/>
      <c r="M238" s="85"/>
      <c r="N238" s="85"/>
      <c r="Q238" s="85"/>
      <c r="R238" s="85"/>
      <c r="S238" s="85"/>
      <c r="T238" s="223"/>
      <c r="U238" s="85"/>
      <c r="V238" s="85"/>
      <c r="W238" s="85"/>
      <c r="X238" s="223"/>
      <c r="Y238" s="85"/>
      <c r="Z238" s="85"/>
      <c r="AA238" s="85"/>
      <c r="AB238" s="223"/>
      <c r="AC238" s="85"/>
      <c r="AD238" s="85"/>
      <c r="AE238" s="85"/>
      <c r="AF238" s="223"/>
      <c r="AG238" s="85"/>
      <c r="AH238" s="85"/>
      <c r="AI238" s="85"/>
      <c r="AJ238" s="223"/>
      <c r="AK238" s="85"/>
      <c r="AL238" s="85"/>
      <c r="AM238" s="85"/>
      <c r="AN238" s="223"/>
      <c r="AO238" s="85"/>
      <c r="AP238" s="85"/>
      <c r="AQ238" s="85"/>
      <c r="AR238" s="223"/>
      <c r="AS238" s="85"/>
      <c r="AT238" s="85"/>
      <c r="AU238" s="85"/>
      <c r="AV238" s="223"/>
      <c r="AW238" s="85"/>
      <c r="AX238" s="85"/>
      <c r="AY238" s="85"/>
      <c r="AZ238" s="85"/>
      <c r="BC238"/>
      <c r="BD238"/>
      <c r="BE238"/>
      <c r="BF238"/>
      <c r="BG238"/>
      <c r="BH238"/>
    </row>
    <row r="239" spans="1:60" s="203" customFormat="1" hidden="1" outlineLevel="1">
      <c r="A239" s="296"/>
      <c r="B239" s="52" t="s">
        <v>115</v>
      </c>
      <c r="E239" s="81"/>
      <c r="F239" s="85"/>
      <c r="G239" s="167">
        <f ca="1">G207/F207-1</f>
        <v>0.29169356374097699</v>
      </c>
      <c r="H239" s="167">
        <f t="shared" ref="H239:N239" ca="1" si="543">H207/G207-1</f>
        <v>0.47352613136378396</v>
      </c>
      <c r="I239" s="167">
        <f t="shared" ca="1" si="543"/>
        <v>0.2904489779971049</v>
      </c>
      <c r="J239" s="167">
        <f t="shared" ca="1" si="543"/>
        <v>-9.2362730143421334E-2</v>
      </c>
      <c r="K239" s="167">
        <f t="shared" ca="1" si="543"/>
        <v>0.18536634472098856</v>
      </c>
      <c r="L239" s="167">
        <f t="shared" ca="1" si="543"/>
        <v>0.18932009338969591</v>
      </c>
      <c r="M239" s="167">
        <f t="shared" ca="1" si="543"/>
        <v>0.29736056042649861</v>
      </c>
      <c r="N239" s="167">
        <f t="shared" ca="1" si="543"/>
        <v>0.25802925245972608</v>
      </c>
      <c r="Q239" s="85"/>
      <c r="R239" s="85"/>
      <c r="S239" s="85"/>
      <c r="T239" s="223"/>
      <c r="U239" s="85"/>
      <c r="V239" s="85"/>
      <c r="W239" s="85"/>
      <c r="X239" s="223"/>
      <c r="Y239" s="85"/>
      <c r="Z239" s="85"/>
      <c r="AA239" s="85"/>
      <c r="AB239" s="223"/>
      <c r="AC239" s="85"/>
      <c r="AD239" s="85"/>
      <c r="AE239" s="85"/>
      <c r="AF239" s="223"/>
      <c r="AG239" s="85"/>
      <c r="AH239" s="85"/>
      <c r="AI239" s="85"/>
      <c r="AJ239" s="223"/>
      <c r="AK239" s="85"/>
      <c r="AL239" s="85"/>
      <c r="AM239" s="85"/>
      <c r="AN239" s="223"/>
      <c r="AO239" s="85"/>
      <c r="AP239" s="85"/>
      <c r="AQ239" s="85"/>
      <c r="AR239" s="223"/>
      <c r="AS239" s="85"/>
      <c r="AT239" s="85"/>
      <c r="AU239" s="85"/>
      <c r="AV239" s="223"/>
      <c r="AW239" s="85"/>
      <c r="AX239" s="85"/>
      <c r="AY239" s="85"/>
      <c r="AZ239" s="85"/>
      <c r="BC239"/>
      <c r="BD239"/>
      <c r="BE239"/>
      <c r="BF239"/>
      <c r="BG239"/>
      <c r="BH239"/>
    </row>
    <row r="240" spans="1:60" s="203" customFormat="1" hidden="1" outlineLevel="1">
      <c r="A240" s="296"/>
      <c r="B240" s="52" t="s">
        <v>114</v>
      </c>
      <c r="E240" s="81"/>
      <c r="F240" s="85"/>
      <c r="G240" s="167">
        <f ca="1">G210/F210-1</f>
        <v>8.5714469791098535E-2</v>
      </c>
      <c r="H240" s="167">
        <f t="shared" ref="H240:N240" ca="1" si="544">H210/G210-1</f>
        <v>0.21250448491469331</v>
      </c>
      <c r="I240" s="167">
        <f t="shared" ca="1" si="544"/>
        <v>-5.670827939685652E-3</v>
      </c>
      <c r="J240" s="167">
        <f t="shared" ca="1" si="544"/>
        <v>-5.2100373864782723E-2</v>
      </c>
      <c r="K240" s="167">
        <f t="shared" ca="1" si="544"/>
        <v>0.4775386207228447</v>
      </c>
      <c r="L240" s="167">
        <f t="shared" ca="1" si="544"/>
        <v>9.2665538780621226E-2</v>
      </c>
      <c r="M240" s="167">
        <f t="shared" ca="1" si="544"/>
        <v>0.34389342073970552</v>
      </c>
      <c r="N240" s="167">
        <f t="shared" ca="1" si="544"/>
        <v>0.34966420345820071</v>
      </c>
      <c r="Q240" s="85"/>
      <c r="R240" s="85"/>
      <c r="S240" s="85"/>
      <c r="T240" s="223"/>
      <c r="U240" s="85"/>
      <c r="V240" s="85"/>
      <c r="W240" s="85"/>
      <c r="X240" s="223"/>
      <c r="Y240" s="85"/>
      <c r="Z240" s="85"/>
      <c r="AA240" s="85"/>
      <c r="AB240" s="223"/>
      <c r="AC240" s="85"/>
      <c r="AD240" s="85"/>
      <c r="AE240" s="85"/>
      <c r="AF240" s="223"/>
      <c r="AG240" s="85"/>
      <c r="AH240" s="85"/>
      <c r="AI240" s="85"/>
      <c r="AJ240" s="223"/>
      <c r="AK240" s="85"/>
      <c r="AL240" s="85"/>
      <c r="AM240" s="85"/>
      <c r="AN240" s="223"/>
      <c r="AO240" s="85"/>
      <c r="AP240" s="85"/>
      <c r="AQ240" s="85"/>
      <c r="AR240" s="223"/>
      <c r="AS240" s="85"/>
      <c r="AT240" s="85"/>
      <c r="AU240" s="85"/>
      <c r="AV240" s="223"/>
      <c r="AW240" s="85"/>
      <c r="AX240" s="85"/>
      <c r="AY240" s="85"/>
      <c r="AZ240" s="85"/>
      <c r="BC240"/>
      <c r="BD240"/>
      <c r="BE240"/>
      <c r="BF240"/>
      <c r="BG240"/>
      <c r="BH240"/>
    </row>
    <row r="241" spans="1:60" s="203" customFormat="1" hidden="1" outlineLevel="1">
      <c r="A241" s="296"/>
      <c r="B241" s="52" t="s">
        <v>113</v>
      </c>
      <c r="E241" s="81"/>
      <c r="F241" s="85"/>
      <c r="G241" s="167">
        <f ca="1">G213/F213-1</f>
        <v>3.9314068194907126E-2</v>
      </c>
      <c r="H241" s="167">
        <f t="shared" ref="H241:N241" ca="1" si="545">H213/G213-1</f>
        <v>0.17597629545294979</v>
      </c>
      <c r="I241" s="167">
        <f t="shared" ca="1" si="545"/>
        <v>-5.1416906675573304E-2</v>
      </c>
      <c r="J241" s="167">
        <f t="shared" ca="1" si="545"/>
        <v>-9.5691506762708434E-2</v>
      </c>
      <c r="K241" s="167">
        <f t="shared" ca="1" si="545"/>
        <v>0.60338284105062212</v>
      </c>
      <c r="L241" s="167">
        <f t="shared" ca="1" si="545"/>
        <v>7.9726760757930393E-2</v>
      </c>
      <c r="M241" s="167">
        <f t="shared" ca="1" si="545"/>
        <v>0.3943980450428668</v>
      </c>
      <c r="N241" s="167">
        <f t="shared" ca="1" si="545"/>
        <v>0.39516098261265564</v>
      </c>
      <c r="Q241" s="85"/>
      <c r="R241" s="85"/>
      <c r="S241" s="85"/>
      <c r="T241" s="223"/>
      <c r="U241" s="85"/>
      <c r="V241" s="85"/>
      <c r="W241" s="85"/>
      <c r="X241" s="223"/>
      <c r="Y241" s="85"/>
      <c r="Z241" s="85"/>
      <c r="AA241" s="85"/>
      <c r="AB241" s="223"/>
      <c r="AC241" s="85"/>
      <c r="AD241" s="85"/>
      <c r="AE241" s="85"/>
      <c r="AF241" s="223"/>
      <c r="AG241" s="85"/>
      <c r="AH241" s="85"/>
      <c r="AI241" s="85"/>
      <c r="AJ241" s="223"/>
      <c r="AK241" s="85"/>
      <c r="AL241" s="85"/>
      <c r="AM241" s="85"/>
      <c r="AN241" s="223"/>
      <c r="AO241" s="85"/>
      <c r="AP241" s="85"/>
      <c r="AQ241" s="85"/>
      <c r="AR241" s="223"/>
      <c r="AS241" s="85"/>
      <c r="AT241" s="85"/>
      <c r="AU241" s="85"/>
      <c r="AV241" s="223"/>
      <c r="AW241" s="85"/>
      <c r="AX241" s="85"/>
      <c r="AY241" s="85"/>
      <c r="AZ241" s="85"/>
      <c r="BC241"/>
      <c r="BD241"/>
      <c r="BE241"/>
      <c r="BF241"/>
      <c r="BG241"/>
      <c r="BH241"/>
    </row>
    <row r="242" spans="1:60" s="203" customFormat="1" hidden="1" outlineLevel="1">
      <c r="A242" s="296"/>
      <c r="B242" s="52" t="s">
        <v>112</v>
      </c>
      <c r="E242" s="81"/>
      <c r="F242" s="85"/>
      <c r="G242" s="167">
        <f ca="1">G216/F216-1</f>
        <v>2.5211333820908566E-2</v>
      </c>
      <c r="H242" s="167">
        <f t="shared" ref="H242:N242" ca="1" si="546">H216/G216-1</f>
        <v>0.21482266321755383</v>
      </c>
      <c r="I242" s="167">
        <f t="shared" ca="1" si="546"/>
        <v>1.560887649731828</v>
      </c>
      <c r="J242" s="167">
        <f t="shared" ca="1" si="546"/>
        <v>-0.61020429006293542</v>
      </c>
      <c r="K242" s="167">
        <f t="shared" ca="1" si="546"/>
        <v>0.68840087681961748</v>
      </c>
      <c r="L242" s="294">
        <f t="shared" ca="1" si="546"/>
        <v>-7.8089605324365818E-2</v>
      </c>
      <c r="M242" s="167">
        <f t="shared" ca="1" si="546"/>
        <v>0.3658062679169416</v>
      </c>
      <c r="N242" s="167">
        <f t="shared" ca="1" si="546"/>
        <v>0.37598916375142877</v>
      </c>
      <c r="Q242" s="85"/>
      <c r="R242" s="85"/>
      <c r="S242" s="85"/>
      <c r="T242" s="223"/>
      <c r="U242" s="85"/>
      <c r="V242" s="85"/>
      <c r="W242" s="85"/>
      <c r="X242" s="223"/>
      <c r="Y242" s="85"/>
      <c r="Z242" s="85"/>
      <c r="AA242" s="85"/>
      <c r="AB242" s="223"/>
      <c r="AC242" s="85"/>
      <c r="AD242" s="85"/>
      <c r="AE242" s="85"/>
      <c r="AF242" s="223"/>
      <c r="AG242" s="85"/>
      <c r="AH242" s="85"/>
      <c r="AI242" s="85"/>
      <c r="AJ242" s="223"/>
      <c r="AK242" s="85"/>
      <c r="AL242" s="85"/>
      <c r="AM242" s="85"/>
      <c r="AN242" s="223"/>
      <c r="AO242" s="85"/>
      <c r="AP242" s="85"/>
      <c r="AQ242" s="85"/>
      <c r="AR242" s="223"/>
      <c r="AS242" s="85"/>
      <c r="AT242" s="85"/>
      <c r="AU242" s="85"/>
      <c r="AV242" s="223"/>
      <c r="AW242" s="85"/>
      <c r="AX242" s="85"/>
      <c r="AY242" s="85"/>
      <c r="AZ242" s="85"/>
      <c r="BC242"/>
      <c r="BD242"/>
      <c r="BE242"/>
      <c r="BF242"/>
      <c r="BG242"/>
      <c r="BH242"/>
    </row>
    <row r="243" spans="1:60" s="203" customFormat="1" hidden="1" outlineLevel="1">
      <c r="A243" s="296"/>
      <c r="B243" s="52" t="s">
        <v>689</v>
      </c>
      <c r="E243" s="81"/>
      <c r="F243" s="85"/>
      <c r="G243" s="167">
        <f ca="1">G219/F219-1</f>
        <v>5.1821527623474362E-2</v>
      </c>
      <c r="H243" s="167">
        <f t="shared" ref="H243:N243" ca="1" si="547">H219/G219-1</f>
        <v>0.20200960688469127</v>
      </c>
      <c r="I243" s="167">
        <f t="shared" ca="1" si="547"/>
        <v>-6.3508559689228639E-2</v>
      </c>
      <c r="J243" s="167">
        <f t="shared" ca="1" si="547"/>
        <v>-0.20518934159017888</v>
      </c>
      <c r="K243" s="167">
        <f t="shared" ca="1" si="547"/>
        <v>0.93421289599733992</v>
      </c>
      <c r="L243" s="167">
        <f t="shared" ca="1" si="547"/>
        <v>0.10282521194258565</v>
      </c>
      <c r="M243" s="167">
        <f t="shared" ca="1" si="547"/>
        <v>0.3658062679169416</v>
      </c>
      <c r="N243" s="167">
        <f t="shared" ca="1" si="547"/>
        <v>0.37598916375142877</v>
      </c>
      <c r="Q243" s="85"/>
      <c r="R243" s="85"/>
      <c r="S243" s="85"/>
      <c r="T243" s="223"/>
      <c r="U243" s="85"/>
      <c r="V243" s="85"/>
      <c r="W243" s="85"/>
      <c r="X243" s="223"/>
      <c r="Y243" s="85"/>
      <c r="Z243" s="85"/>
      <c r="AA243" s="85"/>
      <c r="AB243" s="223"/>
      <c r="AC243" s="85"/>
      <c r="AD243" s="85"/>
      <c r="AE243" s="85"/>
      <c r="AF243" s="223"/>
      <c r="AG243" s="85"/>
      <c r="AH243" s="85"/>
      <c r="AI243" s="85"/>
      <c r="AJ243" s="223"/>
      <c r="AK243" s="85"/>
      <c r="AL243" s="85"/>
      <c r="AM243" s="85"/>
      <c r="AN243" s="223"/>
      <c r="AO243" s="85"/>
      <c r="AP243" s="85"/>
      <c r="AQ243" s="85"/>
      <c r="AR243" s="223"/>
      <c r="AS243" s="85"/>
      <c r="AT243" s="85"/>
      <c r="AU243" s="85"/>
      <c r="AV243" s="223"/>
      <c r="AW243" s="85"/>
      <c r="AX243" s="85"/>
      <c r="AY243" s="85"/>
      <c r="AZ243" s="85"/>
      <c r="BC243"/>
      <c r="BD243"/>
      <c r="BE243"/>
      <c r="BF243"/>
      <c r="BG243"/>
      <c r="BH243"/>
    </row>
    <row r="244" spans="1:60" s="203" customFormat="1" hidden="1" outlineLevel="1">
      <c r="A244" s="296"/>
      <c r="B244" s="52" t="s">
        <v>690</v>
      </c>
      <c r="E244" s="81"/>
      <c r="F244" s="85"/>
      <c r="G244" s="167">
        <f ca="1">G222/F222-1</f>
        <v>3.4256460018319723E-2</v>
      </c>
      <c r="H244" s="167">
        <f t="shared" ref="H244:N244" ca="1" si="548">H222/G222-1</f>
        <v>0.28241825129793385</v>
      </c>
      <c r="I244" s="167">
        <f t="shared" ca="1" si="548"/>
        <v>1.4771566511715211</v>
      </c>
      <c r="J244" s="167">
        <f t="shared" ca="1" si="548"/>
        <v>-0.62285842766818478</v>
      </c>
      <c r="K244" s="167">
        <f t="shared" ca="1" si="548"/>
        <v>0.68465385343050289</v>
      </c>
      <c r="L244" s="293">
        <f t="shared" ca="1" si="548"/>
        <v>3.2933247788986098E-2</v>
      </c>
      <c r="M244" s="167">
        <f t="shared" ca="1" si="548"/>
        <v>0.33266534724992547</v>
      </c>
      <c r="N244" s="167">
        <f t="shared" ca="1" si="548"/>
        <v>0.30279810209594404</v>
      </c>
      <c r="Q244" s="85"/>
      <c r="R244" s="85"/>
      <c r="S244" s="85"/>
      <c r="T244" s="223"/>
      <c r="U244" s="85"/>
      <c r="V244" s="85"/>
      <c r="W244" s="85"/>
      <c r="X244" s="223"/>
      <c r="Y244" s="85"/>
      <c r="Z244" s="85"/>
      <c r="AA244" s="85"/>
      <c r="AB244" s="223"/>
      <c r="AC244" s="85"/>
      <c r="AD244" s="85"/>
      <c r="AE244" s="85"/>
      <c r="AF244" s="223"/>
      <c r="AG244" s="85"/>
      <c r="AH244" s="85"/>
      <c r="AI244" s="85"/>
      <c r="AJ244" s="223"/>
      <c r="AK244" s="85"/>
      <c r="AL244" s="85"/>
      <c r="AM244" s="85"/>
      <c r="AN244" s="223"/>
      <c r="AO244" s="85"/>
      <c r="AP244" s="85"/>
      <c r="AQ244" s="85"/>
      <c r="AR244" s="223"/>
      <c r="AS244" s="85"/>
      <c r="AT244" s="85"/>
      <c r="AU244" s="85"/>
      <c r="AV244" s="223"/>
      <c r="AW244" s="85"/>
      <c r="AX244" s="85"/>
      <c r="AY244" s="85"/>
      <c r="AZ244" s="85"/>
      <c r="BC244"/>
      <c r="BD244"/>
      <c r="BE244"/>
      <c r="BF244"/>
      <c r="BG244"/>
      <c r="BH244"/>
    </row>
    <row r="245" spans="1:60" s="203" customFormat="1" hidden="1" outlineLevel="1">
      <c r="A245" s="296"/>
      <c r="B245" s="52" t="s">
        <v>691</v>
      </c>
      <c r="E245" s="81"/>
      <c r="F245" s="85"/>
      <c r="G245" s="40">
        <f ca="1">G225/F225-1</f>
        <v>6.103454092966687E-2</v>
      </c>
      <c r="H245" s="40">
        <f t="shared" ref="H245:N245" ca="1" si="549">H225/G225-1</f>
        <v>0.27053358575503728</v>
      </c>
      <c r="I245" s="40">
        <f t="shared" ca="1" si="549"/>
        <v>-3.8402132476517914E-2</v>
      </c>
      <c r="J245" s="40">
        <f t="shared" ca="1" si="549"/>
        <v>-0.27586798057937623</v>
      </c>
      <c r="K245" s="40">
        <f t="shared" ca="1" si="549"/>
        <v>0.92815012494089388</v>
      </c>
      <c r="L245" s="40">
        <f t="shared" ca="1" si="549"/>
        <v>0.23550055296395622</v>
      </c>
      <c r="M245" s="40">
        <f t="shared" ca="1" si="549"/>
        <v>0.33266534724992547</v>
      </c>
      <c r="N245" s="40">
        <f t="shared" ca="1" si="549"/>
        <v>0.30279810209594404</v>
      </c>
      <c r="Q245" s="85"/>
      <c r="R245" s="85"/>
      <c r="S245" s="85"/>
      <c r="T245" s="223"/>
      <c r="U245" s="85"/>
      <c r="V245" s="85"/>
      <c r="W245" s="85"/>
      <c r="X245" s="223"/>
      <c r="Y245" s="85"/>
      <c r="Z245" s="85"/>
      <c r="AA245" s="85"/>
      <c r="AB245" s="223"/>
      <c r="AC245" s="85"/>
      <c r="AD245" s="85"/>
      <c r="AE245" s="85"/>
      <c r="AF245" s="223"/>
      <c r="AG245" s="85"/>
      <c r="AH245" s="85"/>
      <c r="AI245" s="85"/>
      <c r="AJ245" s="223"/>
      <c r="AK245" s="85"/>
      <c r="AL245" s="85"/>
      <c r="AM245" s="85"/>
      <c r="AN245" s="223"/>
      <c r="AO245" s="85"/>
      <c r="AP245" s="85"/>
      <c r="AQ245" s="85"/>
      <c r="AR245" s="223"/>
      <c r="AS245" s="85"/>
      <c r="AT245" s="85"/>
      <c r="AU245" s="85"/>
      <c r="AV245" s="223"/>
      <c r="AW245" s="85"/>
      <c r="AX245" s="85"/>
      <c r="AY245" s="85"/>
      <c r="AZ245" s="85"/>
      <c r="BC245"/>
      <c r="BD245"/>
      <c r="BE245"/>
      <c r="BF245"/>
      <c r="BG245"/>
      <c r="BH245"/>
    </row>
    <row r="246" spans="1:60" s="203" customFormat="1" hidden="1" outlineLevel="1">
      <c r="A246" s="296"/>
      <c r="B246" s="52"/>
      <c r="E246" s="81"/>
      <c r="F246" s="85"/>
      <c r="G246" s="85"/>
      <c r="H246" s="85"/>
      <c r="I246" s="85"/>
      <c r="J246" s="85"/>
      <c r="K246" s="85"/>
      <c r="L246" s="85"/>
      <c r="M246" s="85"/>
      <c r="N246" s="85"/>
      <c r="Q246" s="85"/>
      <c r="R246" s="85"/>
      <c r="S246" s="85"/>
      <c r="T246" s="223"/>
      <c r="U246" s="85"/>
      <c r="V246" s="85"/>
      <c r="W246" s="85"/>
      <c r="X246" s="223"/>
      <c r="Y246" s="85"/>
      <c r="Z246" s="85"/>
      <c r="AA246" s="85"/>
      <c r="AB246" s="223"/>
      <c r="AC246" s="85"/>
      <c r="AD246" s="85"/>
      <c r="AE246" s="85"/>
      <c r="AF246" s="223"/>
      <c r="AG246" s="85"/>
      <c r="AH246" s="85"/>
      <c r="AI246" s="85"/>
      <c r="AJ246" s="223"/>
      <c r="AK246" s="85"/>
      <c r="AL246" s="85"/>
      <c r="AM246" s="85"/>
      <c r="AN246" s="223"/>
      <c r="AO246" s="85"/>
      <c r="AP246" s="85"/>
      <c r="AQ246" s="85"/>
      <c r="AR246" s="223"/>
      <c r="AS246" s="85"/>
      <c r="AT246" s="85"/>
      <c r="AU246" s="85"/>
      <c r="AV246" s="223"/>
      <c r="AW246" s="85"/>
      <c r="AX246" s="85"/>
      <c r="AY246" s="85"/>
      <c r="AZ246" s="85"/>
      <c r="BC246"/>
      <c r="BD246"/>
      <c r="BE246"/>
      <c r="BF246"/>
      <c r="BG246"/>
      <c r="BH246"/>
    </row>
    <row r="247" spans="1:60" collapsed="1">
      <c r="B247" s="57" t="s">
        <v>109</v>
      </c>
      <c r="C247" s="56"/>
      <c r="D247" s="56"/>
      <c r="E247" s="56"/>
      <c r="F247" s="84"/>
      <c r="G247" s="84"/>
      <c r="H247" s="84"/>
      <c r="I247" s="84"/>
      <c r="J247" s="84"/>
      <c r="K247" s="83"/>
      <c r="L247" s="83"/>
      <c r="M247" s="83"/>
      <c r="N247" s="83"/>
      <c r="O247" s="84"/>
      <c r="P247" s="84"/>
      <c r="Q247" s="84"/>
      <c r="R247" s="84"/>
      <c r="S247" s="84"/>
      <c r="T247" s="224"/>
      <c r="U247" s="84"/>
      <c r="V247" s="84"/>
      <c r="W247" s="84"/>
      <c r="X247" s="224"/>
      <c r="Y247" s="84"/>
      <c r="Z247" s="84"/>
      <c r="AA247" s="84"/>
      <c r="AB247" s="224"/>
      <c r="AC247" s="84"/>
      <c r="AD247" s="84"/>
      <c r="AE247" s="84"/>
      <c r="AF247" s="224"/>
      <c r="AG247" s="84"/>
      <c r="AH247" s="84"/>
      <c r="AI247" s="84"/>
      <c r="AJ247" s="224"/>
      <c r="AK247" s="83"/>
      <c r="AL247" s="83"/>
      <c r="AM247" s="83"/>
      <c r="AN247" s="238"/>
      <c r="AO247" s="83"/>
      <c r="AP247" s="83"/>
      <c r="AQ247" s="83"/>
      <c r="AR247" s="238"/>
      <c r="AS247" s="83"/>
      <c r="AT247" s="83"/>
      <c r="AU247" s="83"/>
      <c r="AV247" s="238"/>
      <c r="AW247" s="83"/>
      <c r="AX247" s="83"/>
      <c r="AY247" s="83"/>
      <c r="AZ247" s="83"/>
    </row>
    <row r="248" spans="1:60">
      <c r="B248" s="3" t="s">
        <v>108</v>
      </c>
      <c r="F248" s="58">
        <f t="shared" ref="F248:J249" ca="1" si="550">F$138/F255</f>
        <v>29.925805609058642</v>
      </c>
      <c r="G248" s="58">
        <f t="shared" ca="1" si="550"/>
        <v>30.156600477193475</v>
      </c>
      <c r="H248" s="58">
        <f t="shared" ca="1" si="550"/>
        <v>37.638348084244839</v>
      </c>
      <c r="I248" s="58">
        <f t="shared" ca="1" si="550"/>
        <v>95.46</v>
      </c>
      <c r="J248" s="58">
        <f t="shared" ca="1" si="550"/>
        <v>33.556005009975706</v>
      </c>
      <c r="K248" s="58">
        <f t="shared" ref="K248:N253" ca="1" si="551">SUM(OFFSET($P248,0,K$1,1,4))</f>
        <v>52.708239155885778</v>
      </c>
      <c r="L248" s="58">
        <f t="shared" ca="1" si="551"/>
        <v>53.855674429710348</v>
      </c>
      <c r="M248" s="58">
        <f t="shared" ca="1" si="551"/>
        <v>73.727876288029321</v>
      </c>
      <c r="N248" s="58">
        <f t="shared" ca="1" si="551"/>
        <v>98.144214800309001</v>
      </c>
      <c r="O248" s="58"/>
      <c r="P248" s="58"/>
      <c r="Q248" s="58">
        <f t="shared" ref="Q248:AV248" si="552">Q$138/Q255</f>
        <v>5.3925542356970988</v>
      </c>
      <c r="R248" s="58">
        <f t="shared" si="552"/>
        <v>7.9293413857618127</v>
      </c>
      <c r="S248" s="58">
        <f t="shared" si="552"/>
        <v>8.6063318441469274</v>
      </c>
      <c r="T248" s="212">
        <f t="shared" si="552"/>
        <v>7.9955395156236335</v>
      </c>
      <c r="U248" s="58">
        <f t="shared" si="552"/>
        <v>5.8419339506903674</v>
      </c>
      <c r="V248" s="58">
        <f t="shared" si="552"/>
        <v>7.5592107761130798</v>
      </c>
      <c r="W248" s="58">
        <f t="shared" si="552"/>
        <v>8.7120793876604772</v>
      </c>
      <c r="X248" s="212">
        <f t="shared" si="552"/>
        <v>7.9519794931423169</v>
      </c>
      <c r="Y248" s="58">
        <f t="shared" si="552"/>
        <v>7.2361102679136025</v>
      </c>
      <c r="Z248" s="58">
        <f t="shared" si="552"/>
        <v>10.118770367304336</v>
      </c>
      <c r="AA248" s="58">
        <f t="shared" si="552"/>
        <v>11.052651674369885</v>
      </c>
      <c r="AB248" s="212">
        <f t="shared" si="552"/>
        <v>9.2012851091054166</v>
      </c>
      <c r="AC248" s="58">
        <f t="shared" si="552"/>
        <v>6.9754535961515165</v>
      </c>
      <c r="AD248" s="58">
        <f t="shared" si="552"/>
        <v>10.420695233763929</v>
      </c>
      <c r="AE248" s="58">
        <f t="shared" si="552"/>
        <v>8.1521852347281616</v>
      </c>
      <c r="AF248" s="212">
        <f t="shared" si="552"/>
        <v>71.444745991198332</v>
      </c>
      <c r="AG248" s="58">
        <f t="shared" si="552"/>
        <v>5.7424028008430321</v>
      </c>
      <c r="AH248" s="58">
        <f t="shared" si="552"/>
        <v>6.9658711350937361</v>
      </c>
      <c r="AI248" s="58">
        <f t="shared" ca="1" si="552"/>
        <v>8.9459148076166883</v>
      </c>
      <c r="AJ248" s="212">
        <f t="shared" ca="1" si="552"/>
        <v>11.895718536937402</v>
      </c>
      <c r="AK248" s="58">
        <f t="shared" ca="1" si="552"/>
        <v>5.1150746477106459</v>
      </c>
      <c r="AL248" s="58">
        <f t="shared" ca="1" si="552"/>
        <v>12.731316339097441</v>
      </c>
      <c r="AM248" s="58">
        <f t="shared" ca="1" si="552"/>
        <v>22.905190779002396</v>
      </c>
      <c r="AN248" s="212">
        <f t="shared" ca="1" si="552"/>
        <v>11.956657390075295</v>
      </c>
      <c r="AO248" s="58">
        <f t="shared" ca="1" si="552"/>
        <v>8.4915603790366809</v>
      </c>
      <c r="AP248" s="58">
        <f t="shared" ca="1" si="552"/>
        <v>14.250309134274527</v>
      </c>
      <c r="AQ248" s="58">
        <f t="shared" ca="1" si="552"/>
        <v>16.034601993466598</v>
      </c>
      <c r="AR248" s="212">
        <f t="shared" ca="1" si="552"/>
        <v>15.079202922932541</v>
      </c>
      <c r="AS248" s="58">
        <f t="shared" ca="1" si="552"/>
        <v>14.191297171383482</v>
      </c>
      <c r="AT248" s="58">
        <f t="shared" ca="1" si="552"/>
        <v>18.800595729186004</v>
      </c>
      <c r="AU248" s="58">
        <f t="shared" ca="1" si="552"/>
        <v>21.067597915743011</v>
      </c>
      <c r="AV248" s="212">
        <f t="shared" ca="1" si="552"/>
        <v>19.668385471716835</v>
      </c>
      <c r="AW248" s="58">
        <f t="shared" ref="AW248:AZ248" ca="1" si="553">AW$138/AW255</f>
        <v>19.016388494784689</v>
      </c>
      <c r="AX248" s="58">
        <f t="shared" ca="1" si="553"/>
        <v>24.60190940401856</v>
      </c>
      <c r="AY248" s="58">
        <f t="shared" ca="1" si="553"/>
        <v>27.044019816668222</v>
      </c>
      <c r="AZ248" s="58">
        <f t="shared" ca="1" si="553"/>
        <v>27.481897084837524</v>
      </c>
    </row>
    <row r="249" spans="1:60">
      <c r="B249" s="3" t="s">
        <v>107</v>
      </c>
      <c r="F249" s="58">
        <f t="shared" ca="1" si="550"/>
        <v>29.89190884856167</v>
      </c>
      <c r="G249" s="58">
        <f t="shared" ca="1" si="550"/>
        <v>30.02536229710217</v>
      </c>
      <c r="H249" s="58">
        <f t="shared" ca="1" si="550"/>
        <v>37.326935726336032</v>
      </c>
      <c r="I249" s="58">
        <f t="shared" ca="1" si="550"/>
        <v>96.088718591336374</v>
      </c>
      <c r="J249" s="58">
        <f t="shared" ca="1" si="550"/>
        <v>33.467330949435755</v>
      </c>
      <c r="K249" s="58">
        <f t="shared" ca="1" si="551"/>
        <v>52.331151014321165</v>
      </c>
      <c r="L249" s="200">
        <f t="shared" ca="1" si="551"/>
        <v>53.334451750340428</v>
      </c>
      <c r="M249" s="200">
        <f t="shared" ca="1" si="551"/>
        <v>73.014327685583453</v>
      </c>
      <c r="N249" s="200">
        <f t="shared" ca="1" si="551"/>
        <v>97.194361490614796</v>
      </c>
      <c r="O249" s="58"/>
      <c r="P249" s="58"/>
      <c r="Q249" s="58">
        <f t="shared" ref="Q249:AV249" si="554">Q$138/Q256</f>
        <v>5.3841759170591432</v>
      </c>
      <c r="R249" s="58">
        <f t="shared" si="554"/>
        <v>7.917850362241504</v>
      </c>
      <c r="S249" s="58">
        <f t="shared" si="554"/>
        <v>8.5981247655070661</v>
      </c>
      <c r="T249" s="212">
        <f t="shared" si="554"/>
        <v>7.9909464894707041</v>
      </c>
      <c r="U249" s="58">
        <f t="shared" si="554"/>
        <v>5.8383458020227614</v>
      </c>
      <c r="V249" s="58">
        <f t="shared" si="554"/>
        <v>7.55517739981254</v>
      </c>
      <c r="W249" s="58">
        <f t="shared" si="554"/>
        <v>8.6981467153061978</v>
      </c>
      <c r="X249" s="212">
        <f t="shared" si="554"/>
        <v>7.9283692799471073</v>
      </c>
      <c r="Y249" s="58">
        <f t="shared" si="554"/>
        <v>7.2137393144086266</v>
      </c>
      <c r="Z249" s="58">
        <f t="shared" si="554"/>
        <v>10.090581471302158</v>
      </c>
      <c r="AA249" s="58">
        <f t="shared" si="554"/>
        <v>11.00179582948617</v>
      </c>
      <c r="AB249" s="212">
        <f t="shared" si="554"/>
        <v>9.155536741441427</v>
      </c>
      <c r="AC249" s="58">
        <f t="shared" si="554"/>
        <v>6.9448896545194723</v>
      </c>
      <c r="AD249" s="58">
        <f t="shared" si="554"/>
        <v>10.383279452186692</v>
      </c>
      <c r="AE249" s="58">
        <f t="shared" si="554"/>
        <v>8.1338896767299662</v>
      </c>
      <c r="AF249" s="212">
        <f t="shared" si="554"/>
        <v>71.257335673263114</v>
      </c>
      <c r="AG249" s="58">
        <f t="shared" si="554"/>
        <v>5.7287113991274072</v>
      </c>
      <c r="AH249" s="58">
        <f t="shared" si="554"/>
        <v>6.9467923884625007</v>
      </c>
      <c r="AI249" s="58">
        <f t="shared" ca="1" si="554"/>
        <v>8.9238244478669024</v>
      </c>
      <c r="AJ249" s="212">
        <f t="shared" ca="1" si="554"/>
        <v>11.860291786698715</v>
      </c>
      <c r="AK249" s="58">
        <f t="shared" ca="1" si="554"/>
        <v>5.0951593246221201</v>
      </c>
      <c r="AL249" s="58">
        <f t="shared" ca="1" si="554"/>
        <v>12.677897244824438</v>
      </c>
      <c r="AM249" s="58">
        <f t="shared" ca="1" si="554"/>
        <v>22.717155241734226</v>
      </c>
      <c r="AN249" s="212">
        <f t="shared" ca="1" si="554"/>
        <v>11.84093920314038</v>
      </c>
      <c r="AO249" s="58">
        <f t="shared" ca="1" si="554"/>
        <v>8.4093778810982425</v>
      </c>
      <c r="AP249" s="58">
        <f t="shared" ca="1" si="554"/>
        <v>14.112392667950996</v>
      </c>
      <c r="AQ249" s="58">
        <f t="shared" ca="1" si="554"/>
        <v>15.87941689362029</v>
      </c>
      <c r="AR249" s="212">
        <f t="shared" ca="1" si="554"/>
        <v>14.933264307670905</v>
      </c>
      <c r="AS249" s="58">
        <f t="shared" ca="1" si="554"/>
        <v>14.053951831013505</v>
      </c>
      <c r="AT249" s="58">
        <f t="shared" ca="1" si="554"/>
        <v>18.61864095870947</v>
      </c>
      <c r="AU249" s="58">
        <f t="shared" ca="1" si="554"/>
        <v>20.863702783989282</v>
      </c>
      <c r="AV249" s="212">
        <f t="shared" ca="1" si="554"/>
        <v>19.47803211187119</v>
      </c>
      <c r="AW249" s="58">
        <f t="shared" ref="AW249:AZ249" ca="1" si="555">AW$138/AW256</f>
        <v>18.83234525202246</v>
      </c>
      <c r="AX249" s="58">
        <f t="shared" ca="1" si="555"/>
        <v>24.363808715967302</v>
      </c>
      <c r="AY249" s="58">
        <f t="shared" ca="1" si="555"/>
        <v>26.78228404566466</v>
      </c>
      <c r="AZ249" s="58">
        <f t="shared" ca="1" si="555"/>
        <v>27.215923476960374</v>
      </c>
    </row>
    <row r="250" spans="1:60">
      <c r="B250" s="3" t="s">
        <v>106</v>
      </c>
      <c r="F250" s="58">
        <f t="shared" ref="F250:J251" ca="1" si="556">+F$216/F255</f>
        <v>30.347836758716515</v>
      </c>
      <c r="G250" s="58">
        <f t="shared" ca="1" si="556"/>
        <v>31.071691981198992</v>
      </c>
      <c r="H250" s="58">
        <f t="shared" ca="1" si="556"/>
        <v>37.664521371657088</v>
      </c>
      <c r="I250" s="58">
        <f t="shared" ca="1" si="556"/>
        <v>95.900068225053332</v>
      </c>
      <c r="J250" s="58">
        <f t="shared" ca="1" si="556"/>
        <v>38.028422017468927</v>
      </c>
      <c r="K250" s="58">
        <f t="shared" ca="1" si="551"/>
        <v>64.106861381759813</v>
      </c>
      <c r="L250" s="200">
        <f t="shared" ca="1" si="551"/>
        <v>58.969978339460198</v>
      </c>
      <c r="M250" s="200">
        <f t="shared" ca="1" si="551"/>
        <v>80.375026488052498</v>
      </c>
      <c r="N250" s="200">
        <f t="shared" ca="1" si="551"/>
        <v>110.3632670521703</v>
      </c>
      <c r="O250" s="58"/>
      <c r="P250" s="58"/>
      <c r="Q250" s="58">
        <f t="shared" ref="Q250:AV250" si="557">+Q$216/Q255</f>
        <v>5.4498369239018887</v>
      </c>
      <c r="R250" s="58">
        <f t="shared" si="557"/>
        <v>8.0222135036723579</v>
      </c>
      <c r="S250" s="58">
        <f t="shared" si="557"/>
        <v>8.7222580310547233</v>
      </c>
      <c r="T250" s="212">
        <f t="shared" si="557"/>
        <v>8.1517073797317074</v>
      </c>
      <c r="U250" s="58">
        <f t="shared" si="557"/>
        <v>6.0565275754523666</v>
      </c>
      <c r="V250" s="58">
        <f t="shared" si="557"/>
        <v>7.781350541152424</v>
      </c>
      <c r="W250" s="58">
        <f t="shared" si="557"/>
        <v>9.0311584259495312</v>
      </c>
      <c r="X250" s="212">
        <f t="shared" si="557"/>
        <v>8.2018291366708134</v>
      </c>
      <c r="Y250" s="58">
        <f t="shared" si="557"/>
        <v>7.3619462572120486</v>
      </c>
      <c r="Z250" s="58">
        <f t="shared" si="557"/>
        <v>10.135138103810997</v>
      </c>
      <c r="AA250" s="58">
        <f t="shared" si="557"/>
        <v>10.898574862200139</v>
      </c>
      <c r="AB250" s="212">
        <f t="shared" si="557"/>
        <v>9.2675392151873286</v>
      </c>
      <c r="AC250" s="58">
        <f t="shared" si="557"/>
        <v>6.7193706507721593</v>
      </c>
      <c r="AD250" s="58">
        <f t="shared" si="557"/>
        <v>10.260816953426367</v>
      </c>
      <c r="AE250" s="58">
        <f t="shared" si="557"/>
        <v>8.2106006364690547</v>
      </c>
      <c r="AF250" s="212">
        <f t="shared" si="557"/>
        <v>72.256962049140711</v>
      </c>
      <c r="AG250" s="58">
        <f t="shared" si="557"/>
        <v>6.7934877405168068</v>
      </c>
      <c r="AH250" s="58">
        <f t="shared" si="557"/>
        <v>8.0704784299864549</v>
      </c>
      <c r="AI250" s="58">
        <f t="shared" ca="1" si="557"/>
        <v>9.912538906408761</v>
      </c>
      <c r="AJ250" s="212">
        <f t="shared" ca="1" si="557"/>
        <v>13.246024190286326</v>
      </c>
      <c r="AK250" s="58">
        <f t="shared" ca="1" si="557"/>
        <v>6.8623962001057199</v>
      </c>
      <c r="AL250" s="58">
        <f t="shared" ca="1" si="557"/>
        <v>16.050397903378563</v>
      </c>
      <c r="AM250" s="58">
        <f t="shared" ca="1" si="557"/>
        <v>26.149780641520536</v>
      </c>
      <c r="AN250" s="212">
        <f t="shared" ca="1" si="557"/>
        <v>15.044286636754993</v>
      </c>
      <c r="AO250" s="58">
        <f t="shared" ca="1" si="557"/>
        <v>11.004862497900575</v>
      </c>
      <c r="AP250" s="58">
        <f t="shared" ca="1" si="557"/>
        <v>14.622269925983485</v>
      </c>
      <c r="AQ250" s="58">
        <f t="shared" ca="1" si="557"/>
        <v>17.349684436284868</v>
      </c>
      <c r="AR250" s="212">
        <f t="shared" ca="1" si="557"/>
        <v>15.993161479291274</v>
      </c>
      <c r="AS250" s="58">
        <f t="shared" ca="1" si="557"/>
        <v>14.925292182333703</v>
      </c>
      <c r="AT250" s="58">
        <f t="shared" ca="1" si="557"/>
        <v>19.758873176504633</v>
      </c>
      <c r="AU250" s="58">
        <f t="shared" ca="1" si="557"/>
        <v>23.599544798848093</v>
      </c>
      <c r="AV250" s="212">
        <f t="shared" ca="1" si="557"/>
        <v>22.091316330366073</v>
      </c>
      <c r="AW250" s="58">
        <f t="shared" ref="AW250:AZ250" ca="1" si="558">+AW$216/AW255</f>
        <v>20.793264440618159</v>
      </c>
      <c r="AX250" s="58">
        <f t="shared" ca="1" si="558"/>
        <v>26.543419888473888</v>
      </c>
      <c r="AY250" s="58">
        <f t="shared" ca="1" si="558"/>
        <v>31.159517256000424</v>
      </c>
      <c r="AZ250" s="58">
        <f t="shared" ca="1" si="558"/>
        <v>31.867065467077818</v>
      </c>
    </row>
    <row r="251" spans="1:60">
      <c r="B251" s="3" t="s">
        <v>105</v>
      </c>
      <c r="F251" s="58">
        <f t="shared" ca="1" si="556"/>
        <v>30.313461966350022</v>
      </c>
      <c r="G251" s="58">
        <f t="shared" ca="1" si="556"/>
        <v>30.936471424390735</v>
      </c>
      <c r="H251" s="58">
        <f t="shared" ca="1" si="556"/>
        <v>37.352892461068308</v>
      </c>
      <c r="I251" s="58">
        <f t="shared" ca="1" si="556"/>
        <v>96.53168519345391</v>
      </c>
      <c r="J251" s="58">
        <f t="shared" ca="1" si="556"/>
        <v>37.927929286131764</v>
      </c>
      <c r="K251" s="58">
        <f t="shared" ca="1" si="551"/>
        <v>63.65252533728026</v>
      </c>
      <c r="L251" s="200">
        <f t="shared" ca="1" si="551"/>
        <v>58.399258718214071</v>
      </c>
      <c r="M251" s="200">
        <f t="shared" ca="1" si="551"/>
        <v>79.597145844942048</v>
      </c>
      <c r="N251" s="200">
        <f t="shared" ca="1" si="551"/>
        <v>109.2951560617114</v>
      </c>
      <c r="O251" s="82"/>
      <c r="P251" s="82"/>
      <c r="Q251" s="58">
        <f t="shared" ref="Q251:AV251" si="559">+Q$216/Q256</f>
        <v>5.4413696061378714</v>
      </c>
      <c r="R251" s="58">
        <f t="shared" si="559"/>
        <v>8.0105878919637785</v>
      </c>
      <c r="S251" s="58">
        <f t="shared" si="559"/>
        <v>8.713940404117448</v>
      </c>
      <c r="T251" s="212">
        <f t="shared" si="559"/>
        <v>8.1470246431742837</v>
      </c>
      <c r="U251" s="58">
        <f t="shared" si="559"/>
        <v>6.0528076221742895</v>
      </c>
      <c r="V251" s="58">
        <f t="shared" si="559"/>
        <v>7.7771986374962845</v>
      </c>
      <c r="W251" s="58">
        <f t="shared" si="559"/>
        <v>9.0167154708604667</v>
      </c>
      <c r="X251" s="212">
        <f t="shared" si="559"/>
        <v>8.1774770951854858</v>
      </c>
      <c r="Y251" s="58">
        <f t="shared" si="559"/>
        <v>7.3391862727274964</v>
      </c>
      <c r="Z251" s="58">
        <f t="shared" si="559"/>
        <v>10.106903610527189</v>
      </c>
      <c r="AA251" s="58">
        <f t="shared" si="559"/>
        <v>10.848427960897633</v>
      </c>
      <c r="AB251" s="212">
        <f t="shared" si="559"/>
        <v>9.2214614351457911</v>
      </c>
      <c r="AC251" s="58">
        <f t="shared" si="559"/>
        <v>6.6899287729726158</v>
      </c>
      <c r="AD251" s="58">
        <f t="shared" si="559"/>
        <v>10.22397521903906</v>
      </c>
      <c r="AE251" s="58">
        <f t="shared" si="559"/>
        <v>8.1921739795888087</v>
      </c>
      <c r="AF251" s="212">
        <f t="shared" si="559"/>
        <v>72.067421166283765</v>
      </c>
      <c r="AG251" s="58">
        <f t="shared" si="559"/>
        <v>6.7772902752864095</v>
      </c>
      <c r="AH251" s="58">
        <f t="shared" si="559"/>
        <v>8.0483742867755872</v>
      </c>
      <c r="AI251" s="58">
        <f t="shared" ca="1" si="559"/>
        <v>9.8880616388307274</v>
      </c>
      <c r="AJ251" s="212">
        <f t="shared" ca="1" si="559"/>
        <v>13.206576082197035</v>
      </c>
      <c r="AK251" s="58">
        <f t="shared" ca="1" si="559"/>
        <v>6.8356777557233404</v>
      </c>
      <c r="AL251" s="58">
        <f t="shared" ca="1" si="559"/>
        <v>15.983052336283764</v>
      </c>
      <c r="AM251" s="58">
        <f t="shared" ca="1" si="559"/>
        <v>25.935109299124179</v>
      </c>
      <c r="AN251" s="212">
        <f t="shared" ca="1" si="559"/>
        <v>14.89868594614898</v>
      </c>
      <c r="AO251" s="58">
        <f t="shared" ca="1" si="559"/>
        <v>10.898355913812773</v>
      </c>
      <c r="AP251" s="58">
        <f t="shared" ca="1" si="559"/>
        <v>14.48075357157893</v>
      </c>
      <c r="AQ251" s="58">
        <f t="shared" ca="1" si="559"/>
        <v>17.181771786339219</v>
      </c>
      <c r="AR251" s="212">
        <f t="shared" ca="1" si="559"/>
        <v>15.83837744648315</v>
      </c>
      <c r="AS251" s="58">
        <f t="shared" ca="1" si="559"/>
        <v>14.780843136545441</v>
      </c>
      <c r="AT251" s="58">
        <f t="shared" ca="1" si="559"/>
        <v>19.567644064114077</v>
      </c>
      <c r="AU251" s="58">
        <f t="shared" ca="1" si="559"/>
        <v>23.371145134333258</v>
      </c>
      <c r="AV251" s="212">
        <f t="shared" ca="1" si="559"/>
        <v>21.87751350994926</v>
      </c>
      <c r="AW251" s="58">
        <f t="shared" ref="AW251:AZ251" ca="1" si="560">+AW$216/AW256</f>
        <v>20.592024346248323</v>
      </c>
      <c r="AX251" s="58">
        <f t="shared" ca="1" si="560"/>
        <v>26.286528992938493</v>
      </c>
      <c r="AY251" s="58">
        <f t="shared" ca="1" si="560"/>
        <v>30.85795113053592</v>
      </c>
      <c r="AZ251" s="58">
        <f t="shared" ca="1" si="560"/>
        <v>31.558651591988667</v>
      </c>
    </row>
    <row r="252" spans="1:60">
      <c r="B252" s="3" t="s">
        <v>380</v>
      </c>
      <c r="F252" s="58">
        <f ca="1">+F$219/F255</f>
        <v>29.256167625578318</v>
      </c>
      <c r="G252" s="58">
        <f t="shared" ref="G252:K252" ca="1" si="561">+G$219/G255</f>
        <v>30.731464427355391</v>
      </c>
      <c r="H252" s="58">
        <f t="shared" ca="1" si="561"/>
        <v>36.859196116694854</v>
      </c>
      <c r="I252" s="58">
        <f t="shared" ca="1" si="561"/>
        <v>34.319868009487088</v>
      </c>
      <c r="J252" s="58">
        <f t="shared" ca="1" si="561"/>
        <v>27.749912942122361</v>
      </c>
      <c r="K252" s="58">
        <f t="shared" ca="1" si="561"/>
        <v>53.581675891708038</v>
      </c>
      <c r="L252" s="200">
        <f t="shared" ca="1" si="551"/>
        <v>58.969978339460198</v>
      </c>
      <c r="M252" s="200">
        <f t="shared" ca="1" si="551"/>
        <v>80.375026488052498</v>
      </c>
      <c r="N252" s="200">
        <f t="shared" ca="1" si="551"/>
        <v>110.3632670521703</v>
      </c>
      <c r="O252" s="82"/>
      <c r="P252" s="82"/>
      <c r="Q252" s="58">
        <f t="shared" ref="Q252:AV252" si="562">+Q$219/Q255</f>
        <v>5.4583993964722941</v>
      </c>
      <c r="R252" s="58">
        <f t="shared" si="562"/>
        <v>7.8944684573257362</v>
      </c>
      <c r="S252" s="58">
        <f t="shared" si="562"/>
        <v>8.6547082186922513</v>
      </c>
      <c r="T252" s="212">
        <f t="shared" si="562"/>
        <v>7.2473595988997195</v>
      </c>
      <c r="U252" s="58">
        <f t="shared" si="562"/>
        <v>6.0421374457866444</v>
      </c>
      <c r="V252" s="58">
        <f t="shared" si="562"/>
        <v>7.7311839264908704</v>
      </c>
      <c r="W252" s="58">
        <f t="shared" si="562"/>
        <v>8.9447143574248944</v>
      </c>
      <c r="X252" s="212">
        <f t="shared" si="562"/>
        <v>8.0127258636873773</v>
      </c>
      <c r="Y252" s="58">
        <f t="shared" si="562"/>
        <v>6.9385302553166825</v>
      </c>
      <c r="Z252" s="58">
        <f t="shared" si="562"/>
        <v>9.973461545438834</v>
      </c>
      <c r="AA252" s="58">
        <f t="shared" si="562"/>
        <v>10.957349403420071</v>
      </c>
      <c r="AB252" s="212">
        <f t="shared" si="562"/>
        <v>8.9883859743209022</v>
      </c>
      <c r="AC252" s="58">
        <f t="shared" si="562"/>
        <v>6.4939234071892047</v>
      </c>
      <c r="AD252" s="58">
        <f t="shared" si="562"/>
        <v>9.9202251900482459</v>
      </c>
      <c r="AE252" s="58">
        <f t="shared" si="562"/>
        <v>7.6042178719007829</v>
      </c>
      <c r="AF252" s="212">
        <f t="shared" si="562"/>
        <v>10.658203600799224</v>
      </c>
      <c r="AG252" s="58">
        <f t="shared" si="562"/>
        <v>6.2935740726485818</v>
      </c>
      <c r="AH252" s="58">
        <f t="shared" si="562"/>
        <v>6.6130840966826785</v>
      </c>
      <c r="AI252" s="58">
        <f t="shared" ca="1" si="562"/>
        <v>7.1272904415233</v>
      </c>
      <c r="AJ252" s="212">
        <f t="shared" ca="1" si="562"/>
        <v>7.7171701751631794</v>
      </c>
      <c r="AK252" s="58">
        <f t="shared" ca="1" si="562"/>
        <v>7.0487964916076118</v>
      </c>
      <c r="AL252" s="58">
        <f t="shared" ca="1" si="562"/>
        <v>14.761834044110756</v>
      </c>
      <c r="AM252" s="58">
        <f t="shared" ca="1" si="562"/>
        <v>15.770945300593553</v>
      </c>
      <c r="AN252" s="212">
        <f t="shared" ca="1" si="562"/>
        <v>16.000725229082168</v>
      </c>
      <c r="AO252" s="58">
        <f t="shared" ca="1" si="562"/>
        <v>11.004862497900575</v>
      </c>
      <c r="AP252" s="58">
        <f t="shared" ca="1" si="562"/>
        <v>14.622269925983485</v>
      </c>
      <c r="AQ252" s="58">
        <f t="shared" ca="1" si="562"/>
        <v>17.349684436284868</v>
      </c>
      <c r="AR252" s="212">
        <f t="shared" ca="1" si="562"/>
        <v>15.993161479291274</v>
      </c>
      <c r="AS252" s="58">
        <f t="shared" ca="1" si="562"/>
        <v>14.925292182333703</v>
      </c>
      <c r="AT252" s="58">
        <f t="shared" ca="1" si="562"/>
        <v>19.758873176504633</v>
      </c>
      <c r="AU252" s="58">
        <f t="shared" ca="1" si="562"/>
        <v>23.599544798848093</v>
      </c>
      <c r="AV252" s="212">
        <f t="shared" ca="1" si="562"/>
        <v>22.091316330366073</v>
      </c>
      <c r="AW252" s="58">
        <f t="shared" ref="AW252:AZ252" ca="1" si="563">+AW$219/AW255</f>
        <v>20.793264440618159</v>
      </c>
      <c r="AX252" s="58">
        <f t="shared" ca="1" si="563"/>
        <v>26.543419888473888</v>
      </c>
      <c r="AY252" s="58">
        <f t="shared" ca="1" si="563"/>
        <v>31.159517256000424</v>
      </c>
      <c r="AZ252" s="58">
        <f t="shared" ca="1" si="563"/>
        <v>31.867065467077818</v>
      </c>
    </row>
    <row r="253" spans="1:60">
      <c r="B253" s="3" t="s">
        <v>381</v>
      </c>
      <c r="F253" s="58">
        <f ca="1">+F$219/F256</f>
        <v>29.22302935956073</v>
      </c>
      <c r="G253" s="58">
        <f t="shared" ref="G253:K253" ca="1" si="564">+G$219/G256</f>
        <v>30.597724503120993</v>
      </c>
      <c r="H253" s="58">
        <f t="shared" ca="1" si="564"/>
        <v>36.55423031034141</v>
      </c>
      <c r="I253" s="58">
        <f t="shared" ca="1" si="564"/>
        <v>34.545905502361329</v>
      </c>
      <c r="J253" s="58">
        <f t="shared" ca="1" si="564"/>
        <v>27.676581880827175</v>
      </c>
      <c r="K253" s="58">
        <f t="shared" ca="1" si="564"/>
        <v>53.23327625528384</v>
      </c>
      <c r="L253" s="200">
        <f t="shared" ca="1" si="551"/>
        <v>58.399258718214071</v>
      </c>
      <c r="M253" s="200">
        <f t="shared" ca="1" si="551"/>
        <v>79.597145844942048</v>
      </c>
      <c r="N253" s="200">
        <f t="shared" ca="1" si="551"/>
        <v>109.2951560617114</v>
      </c>
      <c r="O253" s="82"/>
      <c r="P253" s="82"/>
      <c r="Q253" s="58">
        <f t="shared" ref="Q253:AV253" si="565">+Q$219/Q256</f>
        <v>5.4499187753421188</v>
      </c>
      <c r="R253" s="58">
        <f t="shared" si="565"/>
        <v>7.8830279708704101</v>
      </c>
      <c r="S253" s="58">
        <f t="shared" si="565"/>
        <v>8.6464550078886084</v>
      </c>
      <c r="T253" s="212">
        <f t="shared" si="565"/>
        <v>7.2431963636218013</v>
      </c>
      <c r="U253" s="58">
        <f t="shared" si="565"/>
        <v>6.0384263310070887</v>
      </c>
      <c r="V253" s="58">
        <f t="shared" si="565"/>
        <v>7.7270587902897789</v>
      </c>
      <c r="W253" s="58">
        <f t="shared" si="565"/>
        <v>8.9304096468157219</v>
      </c>
      <c r="X253" s="212">
        <f t="shared" si="565"/>
        <v>7.9889352885130362</v>
      </c>
      <c r="Y253" s="58">
        <f t="shared" si="565"/>
        <v>6.9170792917481965</v>
      </c>
      <c r="Z253" s="58">
        <f t="shared" si="565"/>
        <v>9.945677451118982</v>
      </c>
      <c r="AA253" s="58">
        <f t="shared" si="565"/>
        <v>10.906932066656513</v>
      </c>
      <c r="AB253" s="212">
        <f t="shared" si="565"/>
        <v>8.9436961313931835</v>
      </c>
      <c r="AC253" s="58">
        <f t="shared" si="565"/>
        <v>6.4654693585392637</v>
      </c>
      <c r="AD253" s="58">
        <f t="shared" si="565"/>
        <v>9.8846063593866198</v>
      </c>
      <c r="AE253" s="58">
        <f t="shared" si="565"/>
        <v>7.5871520907512551</v>
      </c>
      <c r="AF253" s="212">
        <f t="shared" si="565"/>
        <v>10.630245529177133</v>
      </c>
      <c r="AG253" s="58">
        <f t="shared" si="565"/>
        <v>6.278568533357082</v>
      </c>
      <c r="AH253" s="58">
        <f t="shared" si="565"/>
        <v>6.5949715945297136</v>
      </c>
      <c r="AI253" s="58">
        <f t="shared" ca="1" si="565"/>
        <v>7.1096908540825146</v>
      </c>
      <c r="AJ253" s="212">
        <f t="shared" ca="1" si="565"/>
        <v>7.694187598743266</v>
      </c>
      <c r="AK253" s="58">
        <f t="shared" ca="1" si="565"/>
        <v>7.0213523057092759</v>
      </c>
      <c r="AL253" s="58">
        <f t="shared" ca="1" si="565"/>
        <v>14.699895138231625</v>
      </c>
      <c r="AM253" s="58">
        <f t="shared" ca="1" si="565"/>
        <v>15.641476910592514</v>
      </c>
      <c r="AN253" s="212">
        <f t="shared" ca="1" si="565"/>
        <v>15.845867993255533</v>
      </c>
      <c r="AO253" s="58">
        <f t="shared" ca="1" si="565"/>
        <v>10.898355913812773</v>
      </c>
      <c r="AP253" s="58">
        <f t="shared" ca="1" si="565"/>
        <v>14.48075357157893</v>
      </c>
      <c r="AQ253" s="58">
        <f t="shared" ca="1" si="565"/>
        <v>17.181771786339219</v>
      </c>
      <c r="AR253" s="212">
        <f t="shared" ca="1" si="565"/>
        <v>15.83837744648315</v>
      </c>
      <c r="AS253" s="58">
        <f t="shared" ca="1" si="565"/>
        <v>14.780843136545441</v>
      </c>
      <c r="AT253" s="58">
        <f t="shared" ca="1" si="565"/>
        <v>19.567644064114077</v>
      </c>
      <c r="AU253" s="58">
        <f t="shared" ca="1" si="565"/>
        <v>23.371145134333258</v>
      </c>
      <c r="AV253" s="212">
        <f t="shared" ca="1" si="565"/>
        <v>21.87751350994926</v>
      </c>
      <c r="AW253" s="58">
        <f t="shared" ref="AW253:AZ253" ca="1" si="566">+AW$219/AW256</f>
        <v>20.592024346248323</v>
      </c>
      <c r="AX253" s="58">
        <f t="shared" ca="1" si="566"/>
        <v>26.286528992938493</v>
      </c>
      <c r="AY253" s="58">
        <f t="shared" ca="1" si="566"/>
        <v>30.85795113053592</v>
      </c>
      <c r="AZ253" s="58">
        <f t="shared" ca="1" si="566"/>
        <v>31.558651591988667</v>
      </c>
    </row>
    <row r="254" spans="1:60">
      <c r="B254" s="3"/>
      <c r="F254" s="58"/>
      <c r="G254" s="58"/>
      <c r="H254" s="58"/>
      <c r="I254" s="58"/>
      <c r="J254" s="58"/>
      <c r="K254" s="58"/>
      <c r="L254" s="58"/>
      <c r="M254" s="58"/>
      <c r="N254" s="58"/>
      <c r="O254" s="82"/>
      <c r="P254" s="82"/>
      <c r="Q254" s="58"/>
      <c r="R254" s="58"/>
      <c r="S254" s="58"/>
      <c r="T254" s="212"/>
      <c r="U254" s="58"/>
      <c r="V254" s="58"/>
      <c r="W254" s="58"/>
      <c r="X254" s="212"/>
      <c r="Y254" s="58"/>
      <c r="Z254" s="58"/>
      <c r="AA254" s="58"/>
      <c r="AB254" s="212"/>
      <c r="AC254" s="58"/>
      <c r="AD254" s="58"/>
      <c r="AE254" s="58"/>
      <c r="AF254" s="212"/>
      <c r="AG254" s="58"/>
      <c r="AH254" s="58"/>
      <c r="AI254" s="58"/>
      <c r="AJ254" s="212"/>
      <c r="AK254" s="58"/>
      <c r="AL254" s="58"/>
      <c r="AM254" s="58"/>
      <c r="AN254" s="212"/>
      <c r="AO254" s="58"/>
      <c r="AP254" s="58"/>
      <c r="AQ254" s="58"/>
      <c r="AR254" s="212"/>
      <c r="AS254" s="58"/>
      <c r="AT254" s="58"/>
      <c r="AU254" s="58"/>
      <c r="AV254" s="212"/>
      <c r="AW254" s="58"/>
      <c r="AX254" s="58"/>
      <c r="AY254" s="58"/>
      <c r="AZ254" s="58"/>
    </row>
    <row r="255" spans="1:60" s="8" customFormat="1">
      <c r="A255" s="296"/>
      <c r="B255" s="3" t="s">
        <v>104</v>
      </c>
      <c r="E255" s="81"/>
      <c r="F255" s="67">
        <v>349.39837999999997</v>
      </c>
      <c r="G255" s="67">
        <v>349.86228</v>
      </c>
      <c r="H255" s="67">
        <v>350.62466000000001</v>
      </c>
      <c r="I255" s="59">
        <v>352.6521370207418</v>
      </c>
      <c r="J255" s="67">
        <v>346.65237999999999</v>
      </c>
      <c r="K255" s="67">
        <v>347.25123000000002</v>
      </c>
      <c r="L255" s="58">
        <f t="shared" ref="L255:M256" ca="1" si="567">+L$138/L248</f>
        <v>347.95923165787644</v>
      </c>
      <c r="M255" s="58">
        <f t="shared" ca="1" si="567"/>
        <v>348.67938030641938</v>
      </c>
      <c r="N255" s="58">
        <f t="shared" ref="N255" ca="1" si="568">+N$138/N248</f>
        <v>349.41082199059969</v>
      </c>
      <c r="O255" s="58"/>
      <c r="P255" s="58"/>
      <c r="Q255" s="67">
        <v>349.18054000000001</v>
      </c>
      <c r="R255" s="67">
        <v>349.31905</v>
      </c>
      <c r="S255" s="67">
        <v>349.46375</v>
      </c>
      <c r="T255" s="217">
        <v>349.63019000000003</v>
      </c>
      <c r="U255" s="67">
        <v>349.68419999999998</v>
      </c>
      <c r="V255" s="67">
        <v>349.75727999999998</v>
      </c>
      <c r="W255" s="67">
        <v>349.85689000000002</v>
      </c>
      <c r="X255" s="217">
        <v>350.13458000000003</v>
      </c>
      <c r="Y255" s="67">
        <v>350.35287</v>
      </c>
      <c r="Z255" s="67">
        <v>350.50662</v>
      </c>
      <c r="AA255" s="67">
        <v>350.69520999999997</v>
      </c>
      <c r="AB255" s="217">
        <v>350.93673999999999</v>
      </c>
      <c r="AC255" s="67">
        <v>351.12842000000001</v>
      </c>
      <c r="AD255" s="67">
        <v>351.41733999999997</v>
      </c>
      <c r="AE255" s="67">
        <v>348.50397999999996</v>
      </c>
      <c r="AF255" s="217">
        <v>345.88703000000004</v>
      </c>
      <c r="AG255" s="67">
        <v>345.99297000000001</v>
      </c>
      <c r="AH255" s="67">
        <v>346.52133999999995</v>
      </c>
      <c r="AI255" s="67">
        <v>346.78733999999997</v>
      </c>
      <c r="AJ255" s="217">
        <v>347.12362999999999</v>
      </c>
      <c r="AK255" s="67">
        <v>347.34019000000001</v>
      </c>
      <c r="AL255" s="67">
        <v>346.78268000000003</v>
      </c>
      <c r="AM255" s="67">
        <v>347.03924000000001</v>
      </c>
      <c r="AN255" s="217">
        <v>347.83969000000002</v>
      </c>
      <c r="AO255" s="58">
        <f t="shared" ref="AO255:AV255" si="569">+AK255*(1+AO260)</f>
        <v>348.05669672831289</v>
      </c>
      <c r="AP255" s="58">
        <f t="shared" si="569"/>
        <v>347.49803667520189</v>
      </c>
      <c r="AQ255" s="58">
        <f t="shared" si="569"/>
        <v>347.75512591705615</v>
      </c>
      <c r="AR255" s="212">
        <f t="shared" si="569"/>
        <v>348.55722711616062</v>
      </c>
      <c r="AS255" s="58">
        <f t="shared" si="569"/>
        <v>348.77468149431479</v>
      </c>
      <c r="AT255" s="58">
        <f t="shared" si="569"/>
        <v>348.21486901571882</v>
      </c>
      <c r="AU255" s="58">
        <f t="shared" si="569"/>
        <v>348.47248859116786</v>
      </c>
      <c r="AV255" s="212">
        <f t="shared" si="569"/>
        <v>349.27624439553392</v>
      </c>
      <c r="AW255" s="58">
        <f t="shared" ref="AW255" si="570">+AS255*(1+AW260)</f>
        <v>349.49414734695875</v>
      </c>
      <c r="AX255" s="58">
        <f t="shared" ref="AX255" si="571">+AT255*(1+AX260)</f>
        <v>348.93318006561014</v>
      </c>
      <c r="AY255" s="58">
        <f t="shared" ref="AY255" si="572">+AU255*(1+AY260)</f>
        <v>349.19133106864655</v>
      </c>
      <c r="AZ255" s="58">
        <f t="shared" ref="AZ255" si="573">+AV255*(1+AZ260)</f>
        <v>349.99674489145769</v>
      </c>
      <c r="BC255"/>
      <c r="BD255"/>
      <c r="BE255"/>
      <c r="BF255"/>
      <c r="BG255"/>
      <c r="BH255"/>
    </row>
    <row r="256" spans="1:60">
      <c r="B256" s="3" t="s">
        <v>103</v>
      </c>
      <c r="F256" s="67">
        <v>349.79459000000003</v>
      </c>
      <c r="G256" s="67">
        <v>351.39149681528642</v>
      </c>
      <c r="H256" s="67">
        <v>353.54986267166043</v>
      </c>
      <c r="I256" s="67">
        <v>350.344697</v>
      </c>
      <c r="J256" s="67">
        <v>347.57085999999998</v>
      </c>
      <c r="K256" s="67">
        <v>349.52391</v>
      </c>
      <c r="L256" s="58">
        <f t="shared" ca="1" si="567"/>
        <v>351.35973990506318</v>
      </c>
      <c r="M256" s="58">
        <f t="shared" ca="1" si="567"/>
        <v>352.08692636492344</v>
      </c>
      <c r="N256" s="58">
        <f t="shared" ref="N256" ca="1" si="574">+N$138/N249</f>
        <v>352.82551622409994</v>
      </c>
      <c r="O256" s="58"/>
      <c r="P256" s="58"/>
      <c r="Q256" s="67">
        <v>349.72390000000001</v>
      </c>
      <c r="R256" s="67">
        <v>349.82601</v>
      </c>
      <c r="S256" s="67">
        <v>349.79732000000001</v>
      </c>
      <c r="T256" s="217">
        <v>349.83114999999998</v>
      </c>
      <c r="U256" s="67">
        <v>349.89911000000001</v>
      </c>
      <c r="V256" s="67">
        <v>349.94400000000002</v>
      </c>
      <c r="W256" s="67">
        <v>350.41728999999998</v>
      </c>
      <c r="X256" s="217">
        <v>351.17725999999999</v>
      </c>
      <c r="Y256" s="67">
        <v>351.43937</v>
      </c>
      <c r="Z256" s="67">
        <v>351.48579000000001</v>
      </c>
      <c r="AA256" s="67">
        <v>352.31630000000001</v>
      </c>
      <c r="AB256" s="217">
        <v>352.69029999999998</v>
      </c>
      <c r="AC256" s="67">
        <v>352.67370999999997</v>
      </c>
      <c r="AD256" s="67">
        <v>352.68366000000003</v>
      </c>
      <c r="AE256" s="67">
        <v>349.28787</v>
      </c>
      <c r="AF256" s="217">
        <v>346.79673000000003</v>
      </c>
      <c r="AG256" s="67">
        <v>346.81987999999996</v>
      </c>
      <c r="AH256" s="67">
        <v>347.47302999999999</v>
      </c>
      <c r="AI256" s="67">
        <v>347.64578999999998</v>
      </c>
      <c r="AJ256" s="217">
        <v>348.16048999999998</v>
      </c>
      <c r="AK256" s="67">
        <v>348.69783000000001</v>
      </c>
      <c r="AL256" s="67">
        <v>348.24387000000002</v>
      </c>
      <c r="AM256" s="67">
        <v>349.91176999999999</v>
      </c>
      <c r="AN256" s="217">
        <v>351.23903000000001</v>
      </c>
      <c r="AO256" s="58">
        <f t="shared" ref="AO256:AV256" si="575">+AO255*(1+AO262)</f>
        <v>351.45815747437211</v>
      </c>
      <c r="AP256" s="58">
        <f t="shared" si="575"/>
        <v>350.89403779281866</v>
      </c>
      <c r="AQ256" s="58">
        <f t="shared" si="575"/>
        <v>351.15363949592597</v>
      </c>
      <c r="AR256" s="212">
        <f t="shared" si="575"/>
        <v>351.96357940570249</v>
      </c>
      <c r="AS256" s="58">
        <f t="shared" si="575"/>
        <v>352.18315890467267</v>
      </c>
      <c r="AT256" s="58">
        <f t="shared" si="575"/>
        <v>351.61787553530229</v>
      </c>
      <c r="AU256" s="58">
        <f t="shared" si="575"/>
        <v>351.87801275480626</v>
      </c>
      <c r="AV256" s="212">
        <f t="shared" si="575"/>
        <v>352.68962343983878</v>
      </c>
      <c r="AW256" s="58">
        <f t="shared" ref="AW256:AZ256" si="576">+AW255*(1+AW262)</f>
        <v>352.90965589586068</v>
      </c>
      <c r="AX256" s="58">
        <f t="shared" si="576"/>
        <v>352.34320643817341</v>
      </c>
      <c r="AY256" s="58">
        <f t="shared" si="576"/>
        <v>352.60388027875791</v>
      </c>
      <c r="AZ256" s="58">
        <f t="shared" si="576"/>
        <v>353.41716518558604</v>
      </c>
    </row>
    <row r="257" spans="2:52">
      <c r="B257" s="3" t="s">
        <v>392</v>
      </c>
      <c r="F257" s="67">
        <f>F256</f>
        <v>349.79459000000003</v>
      </c>
      <c r="G257" s="67">
        <f t="shared" ref="G257:M257" si="577">G256</f>
        <v>351.39149681528642</v>
      </c>
      <c r="H257" s="67">
        <f t="shared" si="577"/>
        <v>353.54986267166043</v>
      </c>
      <c r="I257" s="67">
        <f t="shared" si="577"/>
        <v>350.344697</v>
      </c>
      <c r="J257" s="67">
        <f t="shared" si="577"/>
        <v>347.57085999999998</v>
      </c>
      <c r="K257" s="67">
        <f t="shared" si="577"/>
        <v>349.52391</v>
      </c>
      <c r="L257" s="67">
        <f t="shared" ca="1" si="577"/>
        <v>351.35973990506318</v>
      </c>
      <c r="M257" s="67">
        <f t="shared" ca="1" si="577"/>
        <v>352.08692636492344</v>
      </c>
      <c r="N257" s="67">
        <f t="shared" ref="N257" ca="1" si="578">N256</f>
        <v>352.82551622409994</v>
      </c>
      <c r="O257" s="58"/>
      <c r="P257" s="58"/>
      <c r="Q257" s="67"/>
      <c r="R257" s="67"/>
      <c r="S257" s="67"/>
      <c r="T257" s="217"/>
      <c r="U257" s="67"/>
      <c r="V257" s="67"/>
      <c r="W257" s="67"/>
      <c r="X257" s="217"/>
      <c r="Y257" s="67"/>
      <c r="Z257" s="67"/>
      <c r="AA257" s="67"/>
      <c r="AB257" s="217"/>
      <c r="AC257" s="67"/>
      <c r="AD257" s="67"/>
      <c r="AE257" s="67"/>
      <c r="AF257" s="217"/>
      <c r="AG257" s="67"/>
      <c r="AH257" s="67"/>
      <c r="AI257" s="67"/>
      <c r="AJ257" s="217"/>
      <c r="AK257" s="67"/>
      <c r="AL257" s="67"/>
      <c r="AM257" s="67"/>
      <c r="AN257" s="217"/>
      <c r="AO257" s="58"/>
      <c r="AP257" s="58"/>
      <c r="AQ257" s="58"/>
      <c r="AR257" s="212"/>
      <c r="AS257" s="58"/>
      <c r="AT257" s="58"/>
      <c r="AU257" s="58"/>
      <c r="AV257" s="212"/>
      <c r="AW257" s="58"/>
      <c r="AX257" s="58"/>
      <c r="AY257" s="58"/>
      <c r="AZ257" s="58"/>
    </row>
    <row r="258" spans="2:52">
      <c r="B258" s="3" t="s">
        <v>393</v>
      </c>
      <c r="F258" s="67"/>
      <c r="G258" s="67"/>
      <c r="H258" s="67"/>
      <c r="I258" s="67"/>
      <c r="J258" s="67"/>
      <c r="K258" s="58">
        <f>K257</f>
        <v>349.52391</v>
      </c>
      <c r="L258" s="58"/>
      <c r="M258" s="58"/>
      <c r="N258" s="58"/>
      <c r="O258" s="58"/>
      <c r="P258" s="58"/>
      <c r="Q258" s="67"/>
      <c r="R258" s="67"/>
      <c r="S258" s="67"/>
      <c r="T258" s="217"/>
      <c r="U258" s="67"/>
      <c r="V258" s="67"/>
      <c r="W258" s="67"/>
      <c r="X258" s="217"/>
      <c r="Y258" s="67"/>
      <c r="Z258" s="67"/>
      <c r="AA258" s="67"/>
      <c r="AB258" s="217"/>
      <c r="AC258" s="67"/>
      <c r="AD258" s="67"/>
      <c r="AE258" s="67"/>
      <c r="AF258" s="217"/>
      <c r="AG258" s="67"/>
      <c r="AH258" s="67"/>
      <c r="AI258" s="67"/>
      <c r="AJ258" s="217"/>
      <c r="AK258" s="67"/>
      <c r="AL258" s="67"/>
      <c r="AM258" s="67"/>
      <c r="AN258" s="217"/>
      <c r="AO258" s="67"/>
      <c r="AP258" s="67"/>
      <c r="AQ258" s="67"/>
      <c r="AR258" s="217"/>
      <c r="AS258" s="67"/>
      <c r="AT258" s="67"/>
      <c r="AU258" s="67"/>
      <c r="AV258" s="217"/>
      <c r="AW258" s="67"/>
      <c r="AX258" s="67"/>
      <c r="AY258" s="67"/>
      <c r="AZ258" s="67"/>
    </row>
    <row r="259" spans="2:52">
      <c r="B259" s="3" t="s">
        <v>394</v>
      </c>
      <c r="F259" s="67"/>
      <c r="G259" s="67"/>
      <c r="H259" s="67"/>
      <c r="I259" s="67"/>
      <c r="J259" s="67"/>
      <c r="K259" s="58">
        <f>K255</f>
        <v>347.25123000000002</v>
      </c>
      <c r="L259" s="58"/>
      <c r="M259" s="58"/>
      <c r="N259" s="58"/>
      <c r="O259" s="58"/>
      <c r="P259" s="58"/>
      <c r="Q259" s="67"/>
      <c r="R259" s="67"/>
      <c r="S259" s="67"/>
      <c r="T259" s="217"/>
      <c r="U259" s="67"/>
      <c r="V259" s="67"/>
      <c r="W259" s="67"/>
      <c r="X259" s="217"/>
      <c r="Y259" s="67"/>
      <c r="Z259" s="67"/>
      <c r="AA259" s="67"/>
      <c r="AB259" s="217"/>
      <c r="AC259" s="67"/>
      <c r="AD259" s="67"/>
      <c r="AE259" s="67"/>
      <c r="AF259" s="217"/>
      <c r="AG259" s="67"/>
      <c r="AH259" s="67"/>
      <c r="AI259" s="67"/>
      <c r="AJ259" s="217"/>
      <c r="AK259" s="67"/>
      <c r="AL259" s="67"/>
      <c r="AM259" s="67"/>
      <c r="AN259" s="217"/>
      <c r="AO259" s="67"/>
      <c r="AP259" s="67"/>
      <c r="AQ259" s="67"/>
      <c r="AR259" s="217"/>
      <c r="AS259" s="67"/>
      <c r="AT259" s="67"/>
      <c r="AU259" s="67"/>
      <c r="AV259" s="217"/>
      <c r="AW259" s="67"/>
      <c r="AX259" s="67"/>
      <c r="AY259" s="67"/>
      <c r="AZ259" s="67"/>
    </row>
    <row r="260" spans="2:52">
      <c r="B260" s="3" t="s">
        <v>102</v>
      </c>
      <c r="F260" s="67"/>
      <c r="G260" s="4">
        <f t="shared" ref="G260:N260" si="579">G255/F255-1</f>
        <v>1.3277107924771769E-3</v>
      </c>
      <c r="H260" s="4">
        <f t="shared" si="579"/>
        <v>2.1790860106438714E-3</v>
      </c>
      <c r="I260" s="4">
        <f t="shared" si="579"/>
        <v>5.7824712635494713E-3</v>
      </c>
      <c r="J260" s="4">
        <f t="shared" si="579"/>
        <v>-1.7013244472098399E-2</v>
      </c>
      <c r="K260" s="4">
        <f t="shared" si="579"/>
        <v>1.7275231169624483E-3</v>
      </c>
      <c r="L260" s="4">
        <f t="shared" ca="1" si="579"/>
        <v>2.0388744422199512E-3</v>
      </c>
      <c r="M260" s="4">
        <f t="shared" ca="1" si="579"/>
        <v>2.0696351268272295E-3</v>
      </c>
      <c r="N260" s="4">
        <f t="shared" ca="1" si="579"/>
        <v>2.0977486065780759E-3</v>
      </c>
      <c r="O260" s="58"/>
      <c r="P260" s="58"/>
      <c r="Q260" s="67"/>
      <c r="R260" s="4"/>
      <c r="S260" s="67"/>
      <c r="T260" s="217"/>
      <c r="U260" s="4">
        <f t="shared" ref="U260:AN260" si="580">U255/Q255-1</f>
        <v>1.4424056964914556E-3</v>
      </c>
      <c r="V260" s="4">
        <f t="shared" si="580"/>
        <v>1.2545264851715476E-3</v>
      </c>
      <c r="W260" s="4">
        <f t="shared" si="580"/>
        <v>1.1249807741147144E-3</v>
      </c>
      <c r="X260" s="215">
        <f t="shared" si="580"/>
        <v>1.4426385776353801E-3</v>
      </c>
      <c r="Y260" s="4">
        <f t="shared" si="580"/>
        <v>1.912211075021375E-3</v>
      </c>
      <c r="Z260" s="4">
        <f t="shared" si="580"/>
        <v>2.1424571920276581E-3</v>
      </c>
      <c r="AA260" s="4">
        <f t="shared" si="580"/>
        <v>2.3961797636740112E-3</v>
      </c>
      <c r="AB260" s="215">
        <f t="shared" si="580"/>
        <v>2.2910047902151565E-3</v>
      </c>
      <c r="AC260" s="4">
        <f t="shared" si="580"/>
        <v>2.2136253657634164E-3</v>
      </c>
      <c r="AD260" s="4">
        <f t="shared" si="580"/>
        <v>2.5982961463038023E-3</v>
      </c>
      <c r="AE260" s="4">
        <f t="shared" si="580"/>
        <v>-6.2482461622445085E-3</v>
      </c>
      <c r="AF260" s="215">
        <f t="shared" si="580"/>
        <v>-1.4389231517908163E-2</v>
      </c>
      <c r="AG260" s="4">
        <f t="shared" si="580"/>
        <v>-1.4625560642456681E-2</v>
      </c>
      <c r="AH260" s="4">
        <f t="shared" si="580"/>
        <v>-1.3932152579608115E-2</v>
      </c>
      <c r="AI260" s="4">
        <f t="shared" si="580"/>
        <v>-4.9257400159389286E-3</v>
      </c>
      <c r="AJ260" s="215">
        <f t="shared" si="580"/>
        <v>3.575155737987501E-3</v>
      </c>
      <c r="AK260" s="4">
        <f t="shared" si="580"/>
        <v>3.8937785354424825E-3</v>
      </c>
      <c r="AL260" s="4">
        <f t="shared" si="580"/>
        <v>7.5418154622197697E-4</v>
      </c>
      <c r="AM260" s="4">
        <f t="shared" si="580"/>
        <v>7.2638176468631244E-4</v>
      </c>
      <c r="AN260" s="215">
        <f t="shared" si="580"/>
        <v>2.0628385339251931E-3</v>
      </c>
      <c r="AO260" s="234">
        <f t="shared" ref="AO260:AV260" si="581">AN260</f>
        <v>2.0628385339251931E-3</v>
      </c>
      <c r="AP260" s="66">
        <f t="shared" si="581"/>
        <v>2.0628385339251931E-3</v>
      </c>
      <c r="AQ260" s="66">
        <f t="shared" si="581"/>
        <v>2.0628385339251931E-3</v>
      </c>
      <c r="AR260" s="246">
        <f t="shared" si="581"/>
        <v>2.0628385339251931E-3</v>
      </c>
      <c r="AS260" s="234">
        <f t="shared" si="581"/>
        <v>2.0628385339251931E-3</v>
      </c>
      <c r="AT260" s="66">
        <f t="shared" si="581"/>
        <v>2.0628385339251931E-3</v>
      </c>
      <c r="AU260" s="66">
        <f t="shared" si="581"/>
        <v>2.0628385339251931E-3</v>
      </c>
      <c r="AV260" s="246">
        <f t="shared" si="581"/>
        <v>2.0628385339251931E-3</v>
      </c>
      <c r="AW260" s="234">
        <f t="shared" ref="AW260" si="582">AV260</f>
        <v>2.0628385339251931E-3</v>
      </c>
      <c r="AX260" s="66">
        <f t="shared" ref="AX260" si="583">AW260</f>
        <v>2.0628385339251931E-3</v>
      </c>
      <c r="AY260" s="66">
        <f t="shared" ref="AY260" si="584">AX260</f>
        <v>2.0628385339251931E-3</v>
      </c>
      <c r="AZ260" s="66">
        <f t="shared" ref="AZ260" si="585">AY260</f>
        <v>2.0628385339251931E-3</v>
      </c>
    </row>
    <row r="261" spans="2:52">
      <c r="B261" s="3" t="s">
        <v>101</v>
      </c>
      <c r="F261" s="67"/>
      <c r="G261" s="67"/>
      <c r="H261" s="67"/>
      <c r="I261" s="67"/>
      <c r="J261" s="67"/>
      <c r="K261" s="67"/>
      <c r="L261" s="67"/>
      <c r="M261" s="67"/>
      <c r="N261" s="67"/>
      <c r="O261" s="58"/>
      <c r="P261" s="58"/>
      <c r="Q261" s="67"/>
      <c r="R261" s="4">
        <f t="shared" ref="R261:AV261" si="586">R255/Q255-1</f>
        <v>3.9667159000322805E-4</v>
      </c>
      <c r="S261" s="4">
        <f t="shared" si="586"/>
        <v>4.1423449422528513E-4</v>
      </c>
      <c r="T261" s="215">
        <f t="shared" si="586"/>
        <v>4.7627257476645646E-4</v>
      </c>
      <c r="U261" s="4">
        <f t="shared" si="586"/>
        <v>1.5447750664776549E-4</v>
      </c>
      <c r="V261" s="4">
        <f t="shared" si="586"/>
        <v>2.0898856739881566E-4</v>
      </c>
      <c r="W261" s="4">
        <f t="shared" si="586"/>
        <v>2.8479750299981177E-4</v>
      </c>
      <c r="X261" s="215">
        <f t="shared" si="586"/>
        <v>7.9372454262660597E-4</v>
      </c>
      <c r="Y261" s="4">
        <f t="shared" si="586"/>
        <v>6.2344599039598769E-4</v>
      </c>
      <c r="Z261" s="4">
        <f t="shared" si="586"/>
        <v>4.388432724984348E-4</v>
      </c>
      <c r="AA261" s="4">
        <f t="shared" si="586"/>
        <v>5.3804975209881256E-4</v>
      </c>
      <c r="AB261" s="215">
        <f t="shared" si="586"/>
        <v>6.8871770447054281E-4</v>
      </c>
      <c r="AC261" s="4">
        <f t="shared" si="586"/>
        <v>5.4619530574084862E-4</v>
      </c>
      <c r="AD261" s="4">
        <f t="shared" si="586"/>
        <v>8.2283285414486151E-4</v>
      </c>
      <c r="AE261" s="4">
        <f t="shared" si="586"/>
        <v>-8.2903137335227362E-3</v>
      </c>
      <c r="AF261" s="215">
        <f t="shared" si="586"/>
        <v>-7.5090964527863013E-3</v>
      </c>
      <c r="AG261" s="4">
        <f t="shared" si="586"/>
        <v>3.0628497402740429E-4</v>
      </c>
      <c r="AH261" s="4">
        <f t="shared" si="586"/>
        <v>1.5271119525923638E-3</v>
      </c>
      <c r="AI261" s="4">
        <f t="shared" si="586"/>
        <v>7.6762949144781878E-4</v>
      </c>
      <c r="AJ261" s="215">
        <f t="shared" si="586"/>
        <v>9.6972974849673932E-4</v>
      </c>
      <c r="AK261" s="4">
        <f t="shared" si="586"/>
        <v>6.238699451259766E-4</v>
      </c>
      <c r="AL261" s="4">
        <f t="shared" si="586"/>
        <v>-1.6050834773827516E-3</v>
      </c>
      <c r="AM261" s="4">
        <f t="shared" si="586"/>
        <v>7.3982933634386683E-4</v>
      </c>
      <c r="AN261" s="215">
        <f t="shared" si="586"/>
        <v>2.3065115057305796E-3</v>
      </c>
      <c r="AO261" s="4">
        <f t="shared" si="586"/>
        <v>6.2386994512575455E-4</v>
      </c>
      <c r="AP261" s="4">
        <f t="shared" si="586"/>
        <v>-1.6050834773826406E-3</v>
      </c>
      <c r="AQ261" s="4">
        <f t="shared" si="586"/>
        <v>7.3982933634408887E-4</v>
      </c>
      <c r="AR261" s="215">
        <f t="shared" si="586"/>
        <v>2.3065115057305796E-3</v>
      </c>
      <c r="AS261" s="4">
        <f t="shared" si="586"/>
        <v>6.2386994512575455E-4</v>
      </c>
      <c r="AT261" s="4">
        <f t="shared" si="586"/>
        <v>-1.6050834773827516E-3</v>
      </c>
      <c r="AU261" s="4">
        <f t="shared" si="586"/>
        <v>7.3982933634408887E-4</v>
      </c>
      <c r="AV261" s="215">
        <f t="shared" si="586"/>
        <v>2.3065115057305796E-3</v>
      </c>
      <c r="AW261" s="4">
        <f t="shared" ref="AW261" si="587">AW255/AV255-1</f>
        <v>6.238699451259766E-4</v>
      </c>
      <c r="AX261" s="4">
        <f t="shared" ref="AX261" si="588">AX255/AW255-1</f>
        <v>-1.6050834773828626E-3</v>
      </c>
      <c r="AY261" s="4">
        <f t="shared" ref="AY261" si="589">AY255/AX255-1</f>
        <v>7.3982933634408887E-4</v>
      </c>
      <c r="AZ261" s="4">
        <f t="shared" ref="AZ261" si="590">AZ255/AY255-1</f>
        <v>2.3065115057303576E-3</v>
      </c>
    </row>
    <row r="262" spans="2:52">
      <c r="B262" s="3" t="s">
        <v>100</v>
      </c>
      <c r="F262" s="67"/>
      <c r="G262" s="4">
        <f t="shared" ref="G262:M262" si="591">G256/G255-1</f>
        <v>4.3709107917733192E-3</v>
      </c>
      <c r="H262" s="4">
        <f t="shared" si="591"/>
        <v>8.3428321090148749E-3</v>
      </c>
      <c r="I262" s="4">
        <f t="shared" si="591"/>
        <v>-6.5431051694040399E-3</v>
      </c>
      <c r="J262" s="4">
        <f t="shared" si="591"/>
        <v>2.6495707313476391E-3</v>
      </c>
      <c r="K262" s="4">
        <f t="shared" si="591"/>
        <v>6.544771634070079E-3</v>
      </c>
      <c r="L262" s="4">
        <f t="shared" ca="1" si="591"/>
        <v>9.7727203011248598E-3</v>
      </c>
      <c r="M262" s="4">
        <f t="shared" ca="1" si="591"/>
        <v>9.7727203011246377E-3</v>
      </c>
      <c r="N262" s="4">
        <f t="shared" ref="N262" ca="1" si="592">N256/N255-1</f>
        <v>9.7727203011248598E-3</v>
      </c>
      <c r="O262" s="58"/>
      <c r="P262" s="58"/>
      <c r="Q262" s="67"/>
      <c r="R262" s="4">
        <f t="shared" ref="R262:AM262" si="593">R256/R255-1</f>
        <v>1.4512807131474847E-3</v>
      </c>
      <c r="S262" s="4">
        <f t="shared" si="593"/>
        <v>9.5451960324921536E-4</v>
      </c>
      <c r="T262" s="215">
        <f t="shared" si="593"/>
        <v>5.7477873978784011E-4</v>
      </c>
      <c r="U262" s="4">
        <f t="shared" si="593"/>
        <v>6.1458310098094771E-4</v>
      </c>
      <c r="V262" s="4">
        <f t="shared" si="593"/>
        <v>5.3385593575083767E-4</v>
      </c>
      <c r="W262" s="4">
        <f t="shared" si="593"/>
        <v>1.6017978093840757E-3</v>
      </c>
      <c r="X262" s="215">
        <f t="shared" si="593"/>
        <v>2.9779406535623831E-3</v>
      </c>
      <c r="Y262" s="4">
        <f t="shared" si="593"/>
        <v>3.1011591256553395E-3</v>
      </c>
      <c r="Z262" s="4">
        <f t="shared" si="593"/>
        <v>2.7935848971982757E-3</v>
      </c>
      <c r="AA262" s="4">
        <f t="shared" si="593"/>
        <v>4.6225039686171865E-3</v>
      </c>
      <c r="AB262" s="215">
        <f t="shared" si="593"/>
        <v>4.9967979984084643E-3</v>
      </c>
      <c r="AC262" s="4">
        <f t="shared" si="593"/>
        <v>4.4009254505801287E-3</v>
      </c>
      <c r="AD262" s="4">
        <f t="shared" si="593"/>
        <v>3.6034647578859769E-3</v>
      </c>
      <c r="AE262" s="4">
        <f t="shared" si="593"/>
        <v>2.2492999936472025E-3</v>
      </c>
      <c r="AF262" s="215">
        <f t="shared" si="593"/>
        <v>2.6300494701982924E-3</v>
      </c>
      <c r="AG262" s="4">
        <f t="shared" si="593"/>
        <v>2.3899618538489875E-3</v>
      </c>
      <c r="AH262" s="4">
        <f t="shared" si="593"/>
        <v>2.7464109425412442E-3</v>
      </c>
      <c r="AI262" s="4">
        <f t="shared" si="593"/>
        <v>2.4754363870376217E-3</v>
      </c>
      <c r="AJ262" s="215">
        <f t="shared" si="593"/>
        <v>2.987004946911842E-3</v>
      </c>
      <c r="AK262" s="4">
        <f t="shared" si="593"/>
        <v>3.9086752385320001E-3</v>
      </c>
      <c r="AL262" s="4">
        <f t="shared" si="593"/>
        <v>4.2135610694282732E-3</v>
      </c>
      <c r="AM262" s="4">
        <f t="shared" si="593"/>
        <v>8.2772484172106697E-3</v>
      </c>
      <c r="AN262" s="215">
        <f t="shared" ref="AN262" si="594">AN256/AN255-1</f>
        <v>9.7727203011248598E-3</v>
      </c>
      <c r="AO262" s="234">
        <f t="shared" ref="AO262:AV262" si="595">AN262</f>
        <v>9.7727203011248598E-3</v>
      </c>
      <c r="AP262" s="66">
        <f t="shared" si="595"/>
        <v>9.7727203011248598E-3</v>
      </c>
      <c r="AQ262" s="66">
        <f t="shared" si="595"/>
        <v>9.7727203011248598E-3</v>
      </c>
      <c r="AR262" s="246">
        <f t="shared" si="595"/>
        <v>9.7727203011248598E-3</v>
      </c>
      <c r="AS262" s="234">
        <f t="shared" si="595"/>
        <v>9.7727203011248598E-3</v>
      </c>
      <c r="AT262" s="66">
        <f t="shared" si="595"/>
        <v>9.7727203011248598E-3</v>
      </c>
      <c r="AU262" s="66">
        <f t="shared" si="595"/>
        <v>9.7727203011248598E-3</v>
      </c>
      <c r="AV262" s="246">
        <f t="shared" si="595"/>
        <v>9.7727203011248598E-3</v>
      </c>
      <c r="AW262" s="234">
        <f t="shared" ref="AW262" si="596">AV262</f>
        <v>9.7727203011248598E-3</v>
      </c>
      <c r="AX262" s="66">
        <f t="shared" ref="AX262" si="597">AW262</f>
        <v>9.7727203011248598E-3</v>
      </c>
      <c r="AY262" s="66">
        <f t="shared" ref="AY262" si="598">AX262</f>
        <v>9.7727203011248598E-3</v>
      </c>
      <c r="AZ262" s="66">
        <f t="shared" ref="AZ262" si="599">AY262</f>
        <v>9.7727203011248598E-3</v>
      </c>
    </row>
    <row r="263" spans="2:52">
      <c r="F263" s="2"/>
      <c r="G263" s="2"/>
      <c r="H263" s="2"/>
      <c r="I263" s="2"/>
      <c r="J263" s="2"/>
      <c r="K263" s="80"/>
      <c r="L263" s="80"/>
      <c r="M263" s="80"/>
      <c r="N263" s="80"/>
      <c r="O263" s="2"/>
      <c r="P263" s="2"/>
      <c r="Q263" s="2"/>
      <c r="R263" s="2"/>
      <c r="S263" s="2"/>
      <c r="T263" s="221"/>
      <c r="U263" s="2"/>
      <c r="V263" s="2"/>
      <c r="W263" s="2"/>
      <c r="X263" s="221"/>
      <c r="Y263" s="2"/>
      <c r="Z263" s="2"/>
      <c r="AA263" s="2"/>
      <c r="AB263" s="221"/>
      <c r="AC263" s="2"/>
      <c r="AD263" s="2"/>
      <c r="AE263" s="2"/>
      <c r="AF263" s="221"/>
      <c r="AG263" s="2"/>
      <c r="AH263" s="2"/>
      <c r="AI263" s="2"/>
      <c r="AJ263" s="221"/>
      <c r="AK263" s="80"/>
      <c r="AL263" s="80"/>
      <c r="AM263" s="80"/>
      <c r="AN263" s="239"/>
      <c r="AO263" s="80"/>
      <c r="AP263" s="80"/>
      <c r="AQ263" s="80"/>
      <c r="AR263" s="239"/>
      <c r="AS263" s="80"/>
      <c r="AT263" s="80"/>
      <c r="AU263" s="80"/>
      <c r="AV263" s="239"/>
      <c r="AW263" s="80"/>
      <c r="AX263" s="80"/>
      <c r="AY263" s="80"/>
      <c r="AZ263" s="80"/>
    </row>
    <row r="264" spans="2:52">
      <c r="B264" s="57" t="s">
        <v>99</v>
      </c>
      <c r="C264" s="57"/>
      <c r="D264" s="57"/>
      <c r="E264" s="57"/>
      <c r="F264" s="57"/>
      <c r="G264" s="76"/>
      <c r="H264" s="76"/>
      <c r="I264" s="76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225"/>
      <c r="U264" s="57"/>
      <c r="V264" s="57"/>
      <c r="W264" s="57"/>
      <c r="X264" s="225"/>
      <c r="Y264" s="57"/>
      <c r="Z264" s="57"/>
      <c r="AA264" s="57"/>
      <c r="AB264" s="225"/>
      <c r="AC264" s="57"/>
      <c r="AD264" s="57"/>
      <c r="AE264" s="57"/>
      <c r="AF264" s="225"/>
      <c r="AG264" s="57"/>
      <c r="AH264" s="57"/>
      <c r="AI264" s="57"/>
      <c r="AJ264" s="225"/>
      <c r="AK264" s="57"/>
      <c r="AL264" s="57"/>
      <c r="AM264" s="75"/>
      <c r="AN264" s="240"/>
      <c r="AO264" s="75"/>
      <c r="AP264" s="75"/>
      <c r="AQ264" s="57"/>
      <c r="AR264" s="225"/>
      <c r="AS264" s="57"/>
      <c r="AT264" s="57"/>
      <c r="AU264" s="57"/>
      <c r="AV264" s="225"/>
      <c r="AW264" s="57"/>
      <c r="AX264" s="57"/>
      <c r="AY264" s="57"/>
      <c r="AZ264" s="57"/>
    </row>
    <row r="265" spans="2:52">
      <c r="B265" s="3" t="s">
        <v>98</v>
      </c>
      <c r="C265" s="1" t="s">
        <v>88</v>
      </c>
      <c r="F265" s="67">
        <v>10.105</v>
      </c>
      <c r="G265" s="67">
        <v>23.975999999999999</v>
      </c>
      <c r="H265" s="67">
        <v>34.610999999999997</v>
      </c>
      <c r="I265" s="67">
        <v>49.77</v>
      </c>
      <c r="J265" s="67">
        <v>103.354</v>
      </c>
      <c r="K265" s="67">
        <v>183</v>
      </c>
      <c r="L265" s="58">
        <f t="shared" ref="L265:N267" ca="1" si="600">SUM(OFFSET($P265,0,L$1,1,4))</f>
        <v>205.6113892175357</v>
      </c>
      <c r="M265" s="58">
        <f t="shared" ca="1" si="600"/>
        <v>251.12710895843293</v>
      </c>
      <c r="N265" s="58">
        <f t="shared" ca="1" si="600"/>
        <v>302.16022720482783</v>
      </c>
      <c r="O265" s="58"/>
      <c r="P265" s="58"/>
      <c r="Q265" s="67">
        <v>0.84499999999999997</v>
      </c>
      <c r="R265" s="67">
        <v>2.4929999999999999</v>
      </c>
      <c r="S265" s="67">
        <v>2.403</v>
      </c>
      <c r="T265" s="217">
        <v>4.3639999999999999</v>
      </c>
      <c r="U265" s="67">
        <v>4.4059999999999997</v>
      </c>
      <c r="V265" s="67">
        <v>4.0419999999999998</v>
      </c>
      <c r="W265" s="67">
        <v>6.3570000000000002</v>
      </c>
      <c r="X265" s="217">
        <v>9.1709999999999994</v>
      </c>
      <c r="Y265" s="67">
        <v>6.4020000000000001</v>
      </c>
      <c r="Z265" s="67">
        <v>8.4619999999999997</v>
      </c>
      <c r="AA265" s="67">
        <v>8.3759999999999994</v>
      </c>
      <c r="AB265" s="217">
        <v>11.371</v>
      </c>
      <c r="AC265" s="67">
        <v>8.7119999999999997</v>
      </c>
      <c r="AD265" s="67">
        <v>12.715</v>
      </c>
      <c r="AE265" s="67">
        <v>11.805</v>
      </c>
      <c r="AF265" s="217">
        <v>16.538</v>
      </c>
      <c r="AG265" s="67">
        <v>12.420999999999999</v>
      </c>
      <c r="AH265" s="67">
        <v>20.321999999999999</v>
      </c>
      <c r="AI265" s="67">
        <v>28.370999999999999</v>
      </c>
      <c r="AJ265" s="217">
        <v>42.24</v>
      </c>
      <c r="AK265" s="67">
        <v>36.350999999999999</v>
      </c>
      <c r="AL265" s="67">
        <v>48</v>
      </c>
      <c r="AM265" s="67">
        <v>53</v>
      </c>
      <c r="AN265" s="217">
        <v>46</v>
      </c>
      <c r="AO265" s="58">
        <f ca="1">Operating_Model!AO141</f>
        <v>42.756665549334059</v>
      </c>
      <c r="AP265" s="58">
        <f ca="1">Operating_Model!AP141</f>
        <v>51.18450445628168</v>
      </c>
      <c r="AQ265" s="58">
        <f ca="1">Operating_Model!AQ141</f>
        <v>55.898962027464044</v>
      </c>
      <c r="AR265" s="212">
        <f ca="1">Operating_Model!AR141</f>
        <v>55.771257184455905</v>
      </c>
      <c r="AS265" s="58">
        <f ca="1">Operating_Model!AS141</f>
        <v>54.168424014235839</v>
      </c>
      <c r="AT265" s="58">
        <f ca="1">Operating_Model!AT141</f>
        <v>62.469691397987447</v>
      </c>
      <c r="AU265" s="58">
        <f ca="1">Operating_Model!AU141</f>
        <v>68.378665246783669</v>
      </c>
      <c r="AV265" s="212">
        <f ca="1">Operating_Model!AV141</f>
        <v>66.110328299426001</v>
      </c>
      <c r="AW265" s="58">
        <f ca="1">Operating_Model!AW141</f>
        <v>65.775518953924617</v>
      </c>
      <c r="AX265" s="58">
        <f ca="1">Operating_Model!AX141</f>
        <v>74.594687433931853</v>
      </c>
      <c r="AY265" s="58">
        <f ca="1">Operating_Model!AY141</f>
        <v>81.148152113810653</v>
      </c>
      <c r="AZ265" s="58">
        <f ca="1">Operating_Model!AZ141</f>
        <v>80.641868703160739</v>
      </c>
    </row>
    <row r="266" spans="2:52">
      <c r="B266" s="3" t="s">
        <v>97</v>
      </c>
      <c r="C266" s="1" t="s">
        <v>88</v>
      </c>
      <c r="F266" s="67">
        <v>54.511000000000003</v>
      </c>
      <c r="G266" s="67">
        <v>164.70400000000001</v>
      </c>
      <c r="H266" s="67">
        <v>426.05200000000002</v>
      </c>
      <c r="I266" s="67">
        <v>486.76</v>
      </c>
      <c r="J266" s="67">
        <v>429.23399999999998</v>
      </c>
      <c r="K266" s="67">
        <v>973</v>
      </c>
      <c r="L266" s="58">
        <f t="shared" ca="1" si="600"/>
        <v>1051.4732206501753</v>
      </c>
      <c r="M266" s="58">
        <f t="shared" ca="1" si="600"/>
        <v>1217.0628933487033</v>
      </c>
      <c r="N266" s="58">
        <f t="shared" ca="1" si="600"/>
        <v>1384.4986483012165</v>
      </c>
      <c r="O266" s="58"/>
      <c r="P266" s="58"/>
      <c r="Q266" s="67">
        <v>13.994</v>
      </c>
      <c r="R266" s="67">
        <v>17.8</v>
      </c>
      <c r="S266" s="67">
        <v>18.294</v>
      </c>
      <c r="T266" s="217">
        <v>4.423</v>
      </c>
      <c r="U266" s="67">
        <v>29.54</v>
      </c>
      <c r="V266" s="67">
        <v>22.135000000000002</v>
      </c>
      <c r="W266" s="67">
        <v>49.167000000000002</v>
      </c>
      <c r="X266" s="217">
        <v>63.860999999999997</v>
      </c>
      <c r="Y266" s="67">
        <v>76.947000000000003</v>
      </c>
      <c r="Z266" s="67">
        <v>97.03</v>
      </c>
      <c r="AA266" s="67">
        <v>102.68</v>
      </c>
      <c r="AB266" s="217">
        <v>149.39500000000001</v>
      </c>
      <c r="AC266" s="67">
        <v>117.855</v>
      </c>
      <c r="AD266" s="67">
        <v>130.41800000000001</v>
      </c>
      <c r="AE266" s="67">
        <v>138.13300000000001</v>
      </c>
      <c r="AF266" s="217">
        <v>100.35299999999999</v>
      </c>
      <c r="AG266" s="67">
        <v>105.036</v>
      </c>
      <c r="AH266" s="67">
        <v>93.843000000000004</v>
      </c>
      <c r="AI266" s="67">
        <v>116.646</v>
      </c>
      <c r="AJ266" s="217">
        <v>113.709</v>
      </c>
      <c r="AK266" s="67">
        <v>187.35499999999999</v>
      </c>
      <c r="AL266" s="67">
        <v>236</v>
      </c>
      <c r="AM266" s="67">
        <v>252</v>
      </c>
      <c r="AN266" s="217">
        <v>298</v>
      </c>
      <c r="AO266" s="58">
        <f t="shared" ref="AO266:AV266" ca="1" si="601">SUM($AG$266:$AJ$266)/SUM($AG$266:$AJ$267)*(AO268-AO265)</f>
        <v>215.57514375438979</v>
      </c>
      <c r="AP266" s="58">
        <f t="shared" ca="1" si="601"/>
        <v>258.06752618322417</v>
      </c>
      <c r="AQ266" s="58">
        <f t="shared" ca="1" si="601"/>
        <v>281.83738418253301</v>
      </c>
      <c r="AR266" s="212">
        <f t="shared" ca="1" si="601"/>
        <v>295.99316653002836</v>
      </c>
      <c r="AS266" s="58">
        <f t="shared" ca="1" si="601"/>
        <v>258.73784711715723</v>
      </c>
      <c r="AT266" s="58">
        <f t="shared" ca="1" si="601"/>
        <v>298.38921394760615</v>
      </c>
      <c r="AU266" s="58">
        <f t="shared" ca="1" si="601"/>
        <v>326.61368604794484</v>
      </c>
      <c r="AV266" s="212">
        <f t="shared" ca="1" si="601"/>
        <v>333.32214623599509</v>
      </c>
      <c r="AW266" s="58">
        <f t="shared" ref="AW266:AZ266" ca="1" si="602">SUM($AG$266:$AJ$266)/SUM($AG$266:$AJ$267)*(AW268-AW265)</f>
        <v>296.72521923427547</v>
      </c>
      <c r="AX266" s="58">
        <f t="shared" ca="1" si="602"/>
        <v>336.51007752672405</v>
      </c>
      <c r="AY266" s="58">
        <f t="shared" ca="1" si="602"/>
        <v>366.07393768027578</v>
      </c>
      <c r="AZ266" s="58">
        <f t="shared" ca="1" si="602"/>
        <v>385.18941385994123</v>
      </c>
    </row>
    <row r="267" spans="2:52">
      <c r="B267" s="3" t="str">
        <f>+B118</f>
        <v>Research &amp; Development</v>
      </c>
      <c r="C267" s="1" t="s">
        <v>88</v>
      </c>
      <c r="F267" s="67">
        <v>147.69200000000001</v>
      </c>
      <c r="G267" s="67">
        <v>326.04700000000003</v>
      </c>
      <c r="H267" s="67">
        <v>502.077</v>
      </c>
      <c r="I267" s="67">
        <v>850.58799999999997</v>
      </c>
      <c r="J267" s="67">
        <v>1227.4000000000001</v>
      </c>
      <c r="K267" s="67">
        <v>2088</v>
      </c>
      <c r="L267" s="58">
        <f t="shared" ca="1" si="600"/>
        <v>3006.700846219137</v>
      </c>
      <c r="M267" s="58">
        <f t="shared" ca="1" si="600"/>
        <v>3480.206589636884</v>
      </c>
      <c r="N267" s="58">
        <f t="shared" ca="1" si="600"/>
        <v>3958.9912283857129</v>
      </c>
      <c r="O267" s="58"/>
      <c r="P267" s="58"/>
      <c r="Q267" s="67">
        <v>20.32</v>
      </c>
      <c r="R267" s="67">
        <v>33.570999999999998</v>
      </c>
      <c r="S267" s="67">
        <v>36.023000000000003</v>
      </c>
      <c r="T267" s="217">
        <v>57.777999999999999</v>
      </c>
      <c r="U267" s="67">
        <v>77.001999999999995</v>
      </c>
      <c r="V267" s="67">
        <v>57.106999999999999</v>
      </c>
      <c r="W267" s="67">
        <v>87.62</v>
      </c>
      <c r="X267" s="217">
        <v>104.319</v>
      </c>
      <c r="Y267" s="67">
        <v>85.617999999999995</v>
      </c>
      <c r="Z267" s="67">
        <v>115.06</v>
      </c>
      <c r="AA267" s="67">
        <v>123.137</v>
      </c>
      <c r="AB267" s="217">
        <v>178.261</v>
      </c>
      <c r="AC267" s="67">
        <v>164.50899999999999</v>
      </c>
      <c r="AD267" s="67">
        <v>211.59200000000001</v>
      </c>
      <c r="AE267" s="67">
        <v>250.35900000000001</v>
      </c>
      <c r="AF267" s="217">
        <v>224.12899999999999</v>
      </c>
      <c r="AG267" s="67">
        <v>191.60499999999999</v>
      </c>
      <c r="AH267" s="67">
        <v>286.76600000000002</v>
      </c>
      <c r="AI267" s="67">
        <v>273.04500000000002</v>
      </c>
      <c r="AJ267" s="217">
        <v>475.98399999999998</v>
      </c>
      <c r="AK267" s="67">
        <v>407.10500000000002</v>
      </c>
      <c r="AL267" s="67">
        <v>512</v>
      </c>
      <c r="AM267" s="67">
        <v>536</v>
      </c>
      <c r="AN267" s="217">
        <v>633</v>
      </c>
      <c r="AO267" s="58">
        <f t="shared" ref="AO267:AV267" ca="1" si="603">AO268-SUM(AO265:AO266)</f>
        <v>616.4398240683123</v>
      </c>
      <c r="AP267" s="58">
        <f t="shared" ca="1" si="603"/>
        <v>737.94732392422156</v>
      </c>
      <c r="AQ267" s="58">
        <f t="shared" ca="1" si="603"/>
        <v>805.91753063746341</v>
      </c>
      <c r="AR267" s="212">
        <f t="shared" ca="1" si="603"/>
        <v>846.39616758913962</v>
      </c>
      <c r="AS267" s="58">
        <f t="shared" ca="1" si="603"/>
        <v>739.86411503189117</v>
      </c>
      <c r="AT267" s="58">
        <f t="shared" ca="1" si="603"/>
        <v>853.2476951949094</v>
      </c>
      <c r="AU267" s="58">
        <f t="shared" ca="1" si="603"/>
        <v>933.95592673284841</v>
      </c>
      <c r="AV267" s="212">
        <f t="shared" ca="1" si="603"/>
        <v>953.13885267723526</v>
      </c>
      <c r="AW267" s="58">
        <f t="shared" ref="AW267:AZ267" ca="1" si="604">AW268-SUM(AW265:AW266)</f>
        <v>848.48948146733392</v>
      </c>
      <c r="AX267" s="58">
        <f t="shared" ca="1" si="604"/>
        <v>962.25478213818349</v>
      </c>
      <c r="AY267" s="58">
        <f t="shared" ca="1" si="604"/>
        <v>1046.7930105927549</v>
      </c>
      <c r="AZ267" s="58">
        <f t="shared" ca="1" si="604"/>
        <v>1101.4539541874406</v>
      </c>
    </row>
    <row r="268" spans="2:52">
      <c r="B268" s="74" t="s">
        <v>87</v>
      </c>
      <c r="C268" s="36" t="s">
        <v>88</v>
      </c>
      <c r="D268" s="36"/>
      <c r="E268" s="36"/>
      <c r="F268" s="72">
        <f t="shared" ref="F268:M268" si="605">SUM(F265:F267)</f>
        <v>212.30799999999999</v>
      </c>
      <c r="G268" s="72">
        <f t="shared" si="605"/>
        <v>514.72700000000009</v>
      </c>
      <c r="H268" s="72">
        <f t="shared" si="605"/>
        <v>962.74</v>
      </c>
      <c r="I268" s="72">
        <f t="shared" si="605"/>
        <v>1387.1179999999999</v>
      </c>
      <c r="J268" s="72">
        <f t="shared" si="605"/>
        <v>1759.9880000000001</v>
      </c>
      <c r="K268" s="72">
        <f t="shared" ref="K268" si="606">SUM(K265:K267)</f>
        <v>3244</v>
      </c>
      <c r="L268" s="72">
        <f t="shared" ca="1" si="605"/>
        <v>4263.7854560868482</v>
      </c>
      <c r="M268" s="72">
        <f t="shared" ca="1" si="605"/>
        <v>4948.3965919440197</v>
      </c>
      <c r="N268" s="72">
        <f t="shared" ref="N268" ca="1" si="607">SUM(N265:N267)</f>
        <v>5645.6501038917577</v>
      </c>
      <c r="O268" s="58"/>
      <c r="P268" s="58"/>
      <c r="Q268" s="72">
        <f t="shared" ref="Q268:AM268" si="608">SUM(Q265:Q267)</f>
        <v>35.158999999999999</v>
      </c>
      <c r="R268" s="72">
        <f t="shared" si="608"/>
        <v>53.863999999999997</v>
      </c>
      <c r="S268" s="72">
        <f t="shared" si="608"/>
        <v>56.72</v>
      </c>
      <c r="T268" s="220">
        <f t="shared" si="608"/>
        <v>66.564999999999998</v>
      </c>
      <c r="U268" s="72">
        <f t="shared" si="608"/>
        <v>110.94799999999999</v>
      </c>
      <c r="V268" s="72">
        <f t="shared" si="608"/>
        <v>83.283999999999992</v>
      </c>
      <c r="W268" s="72">
        <f t="shared" si="608"/>
        <v>143.14400000000001</v>
      </c>
      <c r="X268" s="220">
        <f t="shared" si="608"/>
        <v>177.351</v>
      </c>
      <c r="Y268" s="72">
        <f t="shared" si="608"/>
        <v>168.96699999999998</v>
      </c>
      <c r="Z268" s="72">
        <f t="shared" si="608"/>
        <v>220.55200000000002</v>
      </c>
      <c r="AA268" s="72">
        <f t="shared" si="608"/>
        <v>234.19300000000001</v>
      </c>
      <c r="AB268" s="220">
        <f t="shared" si="608"/>
        <v>339.02700000000004</v>
      </c>
      <c r="AC268" s="72">
        <f t="shared" si="608"/>
        <v>291.07600000000002</v>
      </c>
      <c r="AD268" s="72">
        <f t="shared" si="608"/>
        <v>354.72500000000002</v>
      </c>
      <c r="AE268" s="72">
        <f t="shared" si="608"/>
        <v>400.29700000000003</v>
      </c>
      <c r="AF268" s="220">
        <f t="shared" si="608"/>
        <v>341.02</v>
      </c>
      <c r="AG268" s="72">
        <f t="shared" si="608"/>
        <v>309.06200000000001</v>
      </c>
      <c r="AH268" s="72">
        <f t="shared" si="608"/>
        <v>400.93100000000004</v>
      </c>
      <c r="AI268" s="72">
        <f t="shared" si="608"/>
        <v>418.06200000000001</v>
      </c>
      <c r="AJ268" s="220">
        <f t="shared" si="608"/>
        <v>631.93299999999999</v>
      </c>
      <c r="AK268" s="72">
        <f t="shared" si="608"/>
        <v>630.81100000000004</v>
      </c>
      <c r="AL268" s="72">
        <f t="shared" si="608"/>
        <v>796</v>
      </c>
      <c r="AM268" s="72">
        <f t="shared" si="608"/>
        <v>841</v>
      </c>
      <c r="AN268" s="220">
        <f t="shared" ref="AN268" si="609">SUM(AN265:AN267)</f>
        <v>977</v>
      </c>
      <c r="AO268" s="72">
        <f ca="1">Operating_Model!AO139</f>
        <v>874.77163337203615</v>
      </c>
      <c r="AP268" s="72">
        <f ca="1">Operating_Model!AP139</f>
        <v>1047.1993545637274</v>
      </c>
      <c r="AQ268" s="72">
        <f ca="1">Operating_Model!AQ139</f>
        <v>1143.6538768474604</v>
      </c>
      <c r="AR268" s="220">
        <f ca="1">Operating_Model!AR139</f>
        <v>1198.160591303624</v>
      </c>
      <c r="AS268" s="72">
        <f ca="1">Operating_Model!AS139</f>
        <v>1052.7703861632842</v>
      </c>
      <c r="AT268" s="72">
        <f ca="1">Operating_Model!AT139</f>
        <v>1214.106600540503</v>
      </c>
      <c r="AU268" s="72">
        <f ca="1">Operating_Model!AU139</f>
        <v>1328.9482780275769</v>
      </c>
      <c r="AV268" s="220">
        <f ca="1">Operating_Model!AV139</f>
        <v>1352.5713272126563</v>
      </c>
      <c r="AW268" s="72">
        <f ca="1">Operating_Model!AW139</f>
        <v>1210.990219655534</v>
      </c>
      <c r="AX268" s="72">
        <f ca="1">Operating_Model!AX139</f>
        <v>1373.3595470988394</v>
      </c>
      <c r="AY268" s="72">
        <f ca="1">Operating_Model!AY139</f>
        <v>1494.0151003868411</v>
      </c>
      <c r="AZ268" s="72">
        <f ca="1">Operating_Model!AZ139</f>
        <v>1567.2852367505425</v>
      </c>
    </row>
    <row r="269" spans="2:52">
      <c r="B269" s="52" t="s">
        <v>96</v>
      </c>
      <c r="F269" s="4">
        <f t="shared" ref="F269:N269" si="610">F268/F94</f>
        <v>1.0082591241168701E-2</v>
      </c>
      <c r="G269" s="4">
        <f t="shared" si="610"/>
        <v>1.7069338524045231E-2</v>
      </c>
      <c r="H269" s="4">
        <f t="shared" si="610"/>
        <v>2.0791100940739524E-2</v>
      </c>
      <c r="I269" s="4">
        <f t="shared" si="610"/>
        <v>2.2135679247175813E-2</v>
      </c>
      <c r="J269" s="4">
        <f t="shared" si="610"/>
        <v>2.642680191697561E-2</v>
      </c>
      <c r="K269" s="4">
        <f t="shared" ca="1" si="610"/>
        <v>4.0519566240031911E-2</v>
      </c>
      <c r="L269" s="4">
        <f t="shared" ca="1" si="610"/>
        <v>4.2897767297957239E-2</v>
      </c>
      <c r="M269" s="4">
        <f t="shared" ca="1" si="610"/>
        <v>4.0762177022457491E-2</v>
      </c>
      <c r="N269" s="4">
        <f t="shared" ca="1" si="610"/>
        <v>3.8651209161828112E-2</v>
      </c>
      <c r="O269" s="58"/>
      <c r="P269" s="58"/>
      <c r="Q269" s="4">
        <f t="shared" ref="Q269:AZ269" si="611">Q268/Q94</f>
        <v>8.7352458048628595E-3</v>
      </c>
      <c r="R269" s="4">
        <f t="shared" si="611"/>
        <v>1.0457642203245446E-2</v>
      </c>
      <c r="S269" s="4">
        <f t="shared" si="611"/>
        <v>9.612451967567234E-3</v>
      </c>
      <c r="T269" s="215">
        <f t="shared" si="611"/>
        <v>1.1130216279653974E-2</v>
      </c>
      <c r="U269" s="4">
        <f t="shared" si="611"/>
        <v>1.9691532669633523E-2</v>
      </c>
      <c r="V269" s="4">
        <f t="shared" si="611"/>
        <v>1.1668659565296391E-2</v>
      </c>
      <c r="W269" s="4">
        <f t="shared" si="611"/>
        <v>1.7053691586016804E-2</v>
      </c>
      <c r="X269" s="215">
        <f t="shared" si="611"/>
        <v>1.9728398446347072E-2</v>
      </c>
      <c r="Y269" s="4">
        <f t="shared" si="611"/>
        <v>1.8847942506047974E-2</v>
      </c>
      <c r="Z269" s="4">
        <f t="shared" si="611"/>
        <v>1.9492728402730752E-2</v>
      </c>
      <c r="AA269" s="4">
        <f t="shared" si="611"/>
        <v>1.8349872962555375E-2</v>
      </c>
      <c r="AB269" s="215">
        <f t="shared" si="611"/>
        <v>2.5561061758241858E-2</v>
      </c>
      <c r="AC269" s="4">
        <f t="shared" si="611"/>
        <v>2.4232025574601471E-2</v>
      </c>
      <c r="AD269" s="4">
        <f t="shared" si="611"/>
        <v>2.2670444217728659E-2</v>
      </c>
      <c r="AE269" s="4">
        <f t="shared" si="611"/>
        <v>2.3067049109090576E-2</v>
      </c>
      <c r="AF269" s="215">
        <f t="shared" si="611"/>
        <v>1.9319427766304069E-2</v>
      </c>
      <c r="AG269" s="4">
        <f t="shared" si="611"/>
        <v>2.0694333077253969E-2</v>
      </c>
      <c r="AH269" s="4">
        <f t="shared" si="611"/>
        <v>2.3254666448503679E-2</v>
      </c>
      <c r="AI269" s="4">
        <f t="shared" si="611"/>
        <v>2.4262758749819313E-2</v>
      </c>
      <c r="AJ269" s="215">
        <f t="shared" si="611"/>
        <v>3.6756336462657559E-2</v>
      </c>
      <c r="AK269" s="4">
        <f t="shared" si="611"/>
        <v>3.9561926312212475E-2</v>
      </c>
      <c r="AL269" s="4">
        <f t="shared" si="611"/>
        <v>4.0395723818293129E-2</v>
      </c>
      <c r="AM269" s="4">
        <f t="shared" si="611"/>
        <v>3.7927959066306548E-2</v>
      </c>
      <c r="AN269" s="215">
        <f t="shared" si="611"/>
        <v>4.3936051414444045E-2</v>
      </c>
      <c r="AO269" s="4">
        <f t="shared" ca="1" si="611"/>
        <v>4.2323092071805422E-2</v>
      </c>
      <c r="AP269" s="4">
        <f t="shared" ca="1" si="611"/>
        <v>4.2323091519370026E-2</v>
      </c>
      <c r="AQ269" s="4">
        <f t="shared" ca="1" si="611"/>
        <v>4.232308920598047E-2</v>
      </c>
      <c r="AR269" s="215">
        <f t="shared" ca="1" si="611"/>
        <v>4.4441745396270195E-2</v>
      </c>
      <c r="AS269" s="4">
        <f t="shared" ca="1" si="611"/>
        <v>4.0204433188613234E-2</v>
      </c>
      <c r="AT269" s="4">
        <f t="shared" ca="1" si="611"/>
        <v>4.0204432670972519E-2</v>
      </c>
      <c r="AU269" s="4">
        <f t="shared" ca="1" si="611"/>
        <v>4.0204431714426017E-2</v>
      </c>
      <c r="AV269" s="215">
        <f t="shared" ca="1" si="611"/>
        <v>4.2323084332840634E-2</v>
      </c>
      <c r="AW269" s="4">
        <f t="shared" ca="1" si="611"/>
        <v>3.8085773789983006E-2</v>
      </c>
      <c r="AX269" s="4">
        <f t="shared" ca="1" si="611"/>
        <v>3.8085773616546886E-2</v>
      </c>
      <c r="AY269" s="4">
        <f t="shared" ca="1" si="611"/>
        <v>3.808577330767593E-2</v>
      </c>
      <c r="AZ269" s="4">
        <f t="shared" ca="1" si="611"/>
        <v>4.0204426680773168E-2</v>
      </c>
    </row>
    <row r="270" spans="2:52">
      <c r="B270" s="52" t="s">
        <v>95</v>
      </c>
      <c r="F270" s="4">
        <f t="shared" ref="F270:N270" ca="1" si="612">F268/F216</f>
        <v>2.0022473743302318E-2</v>
      </c>
      <c r="G270" s="4">
        <f t="shared" ca="1" si="612"/>
        <v>4.7349448472713149E-2</v>
      </c>
      <c r="H270" s="4">
        <f t="shared" ca="1" si="612"/>
        <v>7.2901104110142959E-2</v>
      </c>
      <c r="I270" s="4">
        <f t="shared" ca="1" si="612"/>
        <v>4.1015496329262734E-2</v>
      </c>
      <c r="J270" s="4">
        <f t="shared" ca="1" si="612"/>
        <v>0.13350797711809381</v>
      </c>
      <c r="K270" s="4">
        <f t="shared" ca="1" si="612"/>
        <v>0.14574806090831235</v>
      </c>
      <c r="L270" s="4">
        <f t="shared" ca="1" si="612"/>
        <v>0.20779187982928796</v>
      </c>
      <c r="M270" s="4">
        <f t="shared" ca="1" si="612"/>
        <v>0.17656662911170046</v>
      </c>
      <c r="N270" s="4">
        <f t="shared" ca="1" si="612"/>
        <v>0.14640067250376168</v>
      </c>
      <c r="O270" s="58"/>
      <c r="P270" s="58"/>
      <c r="Q270" s="4">
        <f t="shared" ref="Q270:AZ270" si="613">Q268/Q216</f>
        <v>1.8475788199226788E-2</v>
      </c>
      <c r="R270" s="4">
        <f t="shared" si="613"/>
        <v>1.9221271578610803E-2</v>
      </c>
      <c r="S270" s="4">
        <f t="shared" si="613"/>
        <v>1.8608234012321718E-2</v>
      </c>
      <c r="T270" s="215">
        <f t="shared" si="613"/>
        <v>2.3355460174317735E-2</v>
      </c>
      <c r="U270" s="4">
        <f t="shared" si="613"/>
        <v>5.2386546495727777E-2</v>
      </c>
      <c r="V270" s="4">
        <f t="shared" si="613"/>
        <v>3.0601296891810063E-2</v>
      </c>
      <c r="W270" s="4">
        <f t="shared" si="613"/>
        <v>4.5304282518143862E-2</v>
      </c>
      <c r="X270" s="215">
        <f t="shared" si="613"/>
        <v>6.1757245771210841E-2</v>
      </c>
      <c r="Y270" s="4">
        <f t="shared" si="613"/>
        <v>6.5509392353444509E-2</v>
      </c>
      <c r="Z270" s="4">
        <f t="shared" si="613"/>
        <v>6.2084774012627388E-2</v>
      </c>
      <c r="AA270" s="4">
        <f t="shared" si="613"/>
        <v>6.1273736433427074E-2</v>
      </c>
      <c r="AB270" s="215">
        <f t="shared" si="613"/>
        <v>0.10424158754366118</v>
      </c>
      <c r="AC270" s="4">
        <f t="shared" si="613"/>
        <v>0.12337064002895698</v>
      </c>
      <c r="AD270" s="4">
        <f t="shared" si="613"/>
        <v>9.8375435995439686E-2</v>
      </c>
      <c r="AE270" s="4">
        <f t="shared" si="613"/>
        <v>0.13989418566330725</v>
      </c>
      <c r="AF270" s="215">
        <f t="shared" si="613"/>
        <v>1.3644759163318828E-2</v>
      </c>
      <c r="AG270" s="4">
        <f t="shared" si="613"/>
        <v>0.13148782450024446</v>
      </c>
      <c r="AH270" s="4">
        <f t="shared" si="613"/>
        <v>0.1433640862292081</v>
      </c>
      <c r="AI270" s="4">
        <f t="shared" ca="1" si="613"/>
        <v>0.12161651505159343</v>
      </c>
      <c r="AJ270" s="215">
        <f t="shared" ca="1" si="613"/>
        <v>0.13743625500434101</v>
      </c>
      <c r="AK270" s="4">
        <f t="shared" ca="1" si="613"/>
        <v>0.26464788767848124</v>
      </c>
      <c r="AL270" s="4">
        <f t="shared" ca="1" si="613"/>
        <v>0.14301113905856988</v>
      </c>
      <c r="AM270" s="4">
        <f t="shared" ca="1" si="613"/>
        <v>9.2672176308539939E-2</v>
      </c>
      <c r="AN270" s="215">
        <f t="shared" ca="1" si="613"/>
        <v>0.18669978979552837</v>
      </c>
      <c r="AO270" s="4">
        <f t="shared" ca="1" si="613"/>
        <v>0.22838105604166903</v>
      </c>
      <c r="AP270" s="4">
        <f t="shared" ca="1" si="613"/>
        <v>0.20609251257208433</v>
      </c>
      <c r="AQ270" s="4">
        <f t="shared" ca="1" si="613"/>
        <v>0.18955248670935052</v>
      </c>
      <c r="AR270" s="215">
        <f t="shared" ca="1" si="613"/>
        <v>0.21493474024825907</v>
      </c>
      <c r="AS270" s="4">
        <f t="shared" ca="1" si="613"/>
        <v>0.20223944623137546</v>
      </c>
      <c r="AT270" s="4">
        <f t="shared" ca="1" si="613"/>
        <v>0.17646043058825098</v>
      </c>
      <c r="AU270" s="4">
        <f t="shared" ca="1" si="613"/>
        <v>0.16159799043445849</v>
      </c>
      <c r="AV270" s="215">
        <f t="shared" ca="1" si="613"/>
        <v>0.17529500196838183</v>
      </c>
      <c r="AW270" s="4">
        <f t="shared" ca="1" si="613"/>
        <v>0.16663953745058679</v>
      </c>
      <c r="AX270" s="4">
        <f t="shared" ca="1" si="613"/>
        <v>0.14828086308842325</v>
      </c>
      <c r="AY270" s="4">
        <f t="shared" ca="1" si="613"/>
        <v>0.13730957181987763</v>
      </c>
      <c r="AZ270" s="4">
        <f t="shared" ca="1" si="613"/>
        <v>0.14052123722208704</v>
      </c>
    </row>
    <row r="271" spans="2:52">
      <c r="B271" s="3"/>
      <c r="F271" s="2"/>
      <c r="G271" s="2"/>
      <c r="H271" s="2"/>
      <c r="I271" s="2"/>
      <c r="J271" s="2"/>
      <c r="K271" s="2"/>
      <c r="L271" s="2"/>
      <c r="M271" s="2"/>
      <c r="N271" s="2"/>
      <c r="O271" s="58"/>
      <c r="P271" s="58"/>
      <c r="Q271" s="2"/>
      <c r="R271" s="2"/>
      <c r="S271" s="2"/>
      <c r="T271" s="221"/>
      <c r="U271" s="2"/>
      <c r="V271" s="2"/>
      <c r="W271" s="2"/>
      <c r="X271" s="221"/>
      <c r="Y271" s="2"/>
      <c r="Z271" s="2"/>
      <c r="AA271" s="2"/>
      <c r="AB271" s="221"/>
      <c r="AC271" s="2"/>
      <c r="AD271" s="2"/>
      <c r="AE271" s="2"/>
      <c r="AF271" s="221"/>
      <c r="AG271" s="2"/>
      <c r="AH271" s="2"/>
      <c r="AI271" s="2"/>
      <c r="AJ271" s="221"/>
      <c r="AK271" s="2"/>
      <c r="AL271" s="2"/>
      <c r="AM271" s="2"/>
      <c r="AN271" s="221"/>
      <c r="AO271" s="2"/>
      <c r="AP271" s="2"/>
      <c r="AQ271" s="2"/>
      <c r="AR271" s="221"/>
      <c r="AS271" s="2"/>
      <c r="AT271" s="2"/>
      <c r="AU271" s="2"/>
      <c r="AV271" s="221"/>
      <c r="AW271" s="2"/>
      <c r="AX271" s="2"/>
      <c r="AY271" s="2"/>
      <c r="AZ271" s="2"/>
    </row>
    <row r="272" spans="2:52">
      <c r="B272" s="79" t="s">
        <v>94</v>
      </c>
      <c r="C272" s="57"/>
      <c r="D272" s="57"/>
      <c r="E272" s="57"/>
      <c r="F272" s="77"/>
      <c r="G272" s="77"/>
      <c r="H272" s="77"/>
      <c r="I272" s="77"/>
      <c r="J272" s="77"/>
      <c r="K272" s="77"/>
      <c r="L272" s="77"/>
      <c r="M272" s="77"/>
      <c r="N272" s="77"/>
      <c r="O272" s="78"/>
      <c r="P272" s="78"/>
      <c r="Q272" s="77"/>
      <c r="R272" s="77"/>
      <c r="S272" s="77"/>
      <c r="T272" s="226"/>
      <c r="U272" s="77"/>
      <c r="V272" s="77"/>
      <c r="W272" s="77"/>
      <c r="X272" s="226"/>
      <c r="Y272" s="77"/>
      <c r="Z272" s="77"/>
      <c r="AA272" s="77"/>
      <c r="AB272" s="226"/>
      <c r="AC272" s="77"/>
      <c r="AD272" s="77"/>
      <c r="AE272" s="77"/>
      <c r="AF272" s="226"/>
      <c r="AG272" s="77"/>
      <c r="AH272" s="77"/>
      <c r="AI272" s="77"/>
      <c r="AJ272" s="226"/>
      <c r="AK272" s="77"/>
      <c r="AL272" s="77"/>
      <c r="AM272" s="77"/>
      <c r="AN272" s="226"/>
      <c r="AO272" s="77"/>
      <c r="AP272" s="77"/>
      <c r="AQ272" s="77"/>
      <c r="AR272" s="226"/>
      <c r="AS272" s="77"/>
      <c r="AT272" s="77"/>
      <c r="AU272" s="77"/>
      <c r="AV272" s="226"/>
      <c r="AW272" s="77"/>
      <c r="AX272" s="77"/>
      <c r="AY272" s="77"/>
      <c r="AZ272" s="77"/>
    </row>
    <row r="273" spans="2:52">
      <c r="B273" s="3" t="s">
        <v>93</v>
      </c>
      <c r="F273" s="58">
        <f ca="1">'BIDU_BS + CFS'!F224</f>
        <v>1071.722</v>
      </c>
      <c r="G273" s="58">
        <f ca="1">'BIDU_BS + CFS'!G224</f>
        <v>1469.6469999999999</v>
      </c>
      <c r="H273" s="58">
        <f ca="1">'BIDU_BS + CFS'!H224</f>
        <v>1958.7539999999999</v>
      </c>
      <c r="I273" s="58">
        <f ca="1">'BIDU_BS + CFS'!I224</f>
        <v>2547.88</v>
      </c>
      <c r="J273" s="58">
        <f ca="1">'BIDU_BS + CFS'!J224</f>
        <v>3074.893</v>
      </c>
      <c r="K273" s="58">
        <f t="shared" ref="K273:N275" ca="1" si="614">SUM(OFFSET($P273,0,K$1,1,4))</f>
        <v>3388.01</v>
      </c>
      <c r="L273" s="58">
        <f t="shared" ca="1" si="614"/>
        <v>3819.0107201926417</v>
      </c>
      <c r="M273" s="58">
        <f t="shared" ca="1" si="614"/>
        <v>4410.0050997604467</v>
      </c>
      <c r="N273" s="58">
        <f t="shared" ca="1" si="614"/>
        <v>5179.8625297606613</v>
      </c>
      <c r="O273" s="58"/>
      <c r="P273" s="58"/>
      <c r="Q273" s="58">
        <f>'BIDU_BS + CFS'!Q224</f>
        <v>228.43600000000001</v>
      </c>
      <c r="R273" s="58">
        <f>'BIDU_BS + CFS'!R224</f>
        <v>245.92500000000001</v>
      </c>
      <c r="S273" s="58">
        <f>'BIDU_BS + CFS'!S224</f>
        <v>279.87299999999999</v>
      </c>
      <c r="T273" s="212">
        <f>'BIDU_BS + CFS'!T224</f>
        <v>317.488</v>
      </c>
      <c r="U273" s="58">
        <f>'BIDU_BS + CFS'!U224</f>
        <v>333.101</v>
      </c>
      <c r="V273" s="58">
        <f>'BIDU_BS + CFS'!V224</f>
        <v>356.97899999999998</v>
      </c>
      <c r="W273" s="58">
        <f>'BIDU_BS + CFS'!W224</f>
        <v>369.40300000000002</v>
      </c>
      <c r="X273" s="212">
        <f>'BIDU_BS + CFS'!X224</f>
        <v>410.16399999999999</v>
      </c>
      <c r="Y273" s="58">
        <f>'BIDU_BS + CFS'!Y224</f>
        <v>430.49700000000001</v>
      </c>
      <c r="Z273" s="58">
        <f>'BIDU_BS + CFS'!Z224</f>
        <v>461.92700000000002</v>
      </c>
      <c r="AA273" s="58">
        <f>'BIDU_BS + CFS'!AA224</f>
        <v>512.75800000000004</v>
      </c>
      <c r="AB273" s="212">
        <f>'BIDU_BS + CFS'!AB224</f>
        <v>553.572</v>
      </c>
      <c r="AC273" s="58">
        <f>'BIDU_BS + CFS'!AC224</f>
        <v>582.43700000000001</v>
      </c>
      <c r="AD273" s="58">
        <f>'BIDU_BS + CFS'!AD224</f>
        <v>616.072</v>
      </c>
      <c r="AE273" s="58">
        <f>'BIDU_BS + CFS'!AE224</f>
        <v>657.32500000000005</v>
      </c>
      <c r="AF273" s="212">
        <f>'BIDU_BS + CFS'!AF224</f>
        <v>692.04600000000005</v>
      </c>
      <c r="AG273" s="58">
        <f>'BIDU_BS + CFS'!AG224</f>
        <v>707.33199999999999</v>
      </c>
      <c r="AH273" s="58">
        <f>'BIDU_BS + CFS'!AH224</f>
        <v>753.77499999999998</v>
      </c>
      <c r="AI273" s="58">
        <f>'BIDU_BS + CFS'!AI224</f>
        <v>802.25699999999995</v>
      </c>
      <c r="AJ273" s="212">
        <f>'BIDU_BS + CFS'!AJ224</f>
        <v>811.529</v>
      </c>
      <c r="AK273" s="58">
        <f>'BIDU_BS + CFS'!AK224</f>
        <v>823.01</v>
      </c>
      <c r="AL273" s="58">
        <f>'BIDU_BS + CFS'!AL224</f>
        <v>828</v>
      </c>
      <c r="AM273" s="58">
        <f>'BIDU_BS + CFS'!AM224</f>
        <v>852</v>
      </c>
      <c r="AN273" s="212">
        <f>'BIDU_BS + CFS'!AN224</f>
        <v>885</v>
      </c>
      <c r="AO273" s="58">
        <f>'BIDU_BS + CFS'!AO224</f>
        <v>915.60582186100521</v>
      </c>
      <c r="AP273" s="58">
        <f ca="1">'BIDU_BS + CFS'!AP224</f>
        <v>932.09393749294713</v>
      </c>
      <c r="AQ273" s="58">
        <f ca="1">'BIDU_BS + CFS'!AQ224</f>
        <v>965.3368290169708</v>
      </c>
      <c r="AR273" s="212">
        <f ca="1">'BIDU_BS + CFS'!AR224</f>
        <v>1005.9741318217189</v>
      </c>
      <c r="AS273" s="58">
        <f ca="1">'BIDU_BS + CFS'!AS224</f>
        <v>1042.990417298038</v>
      </c>
      <c r="AT273" s="58">
        <f ca="1">'BIDU_BS + CFS'!AT224</f>
        <v>1073.5136262370975</v>
      </c>
      <c r="AU273" s="58">
        <f ca="1">'BIDU_BS + CFS'!AU224</f>
        <v>1119.3637736413798</v>
      </c>
      <c r="AV273" s="212">
        <f ca="1">'BIDU_BS + CFS'!AV224</f>
        <v>1174.137282583931</v>
      </c>
      <c r="AW273" s="58">
        <f ca="1">'BIDU_BS + CFS'!AW224</f>
        <v>1219.5251120331689</v>
      </c>
      <c r="AX273" s="58">
        <f ca="1">'BIDU_BS + CFS'!AX224</f>
        <v>1260.4556124038602</v>
      </c>
      <c r="AY273" s="58">
        <f ca="1">'BIDU_BS + CFS'!AY224</f>
        <v>1316.9690322300742</v>
      </c>
      <c r="AZ273" s="58">
        <f ca="1">'BIDU_BS + CFS'!AZ224</f>
        <v>1382.9127730935581</v>
      </c>
    </row>
    <row r="274" spans="2:52">
      <c r="B274" s="3" t="s">
        <v>92</v>
      </c>
      <c r="F274" s="58">
        <f ca="1">'BIDU_BS + CFS'!F225</f>
        <v>209.61400000000003</v>
      </c>
      <c r="G274" s="58">
        <f ca="1">'BIDU_BS + CFS'!G225</f>
        <v>232.49300000000062</v>
      </c>
      <c r="H274" s="58">
        <f ca="1">'BIDU_BS + CFS'!H225</f>
        <v>265.15300000000025</v>
      </c>
      <c r="I274" s="58">
        <f ca="1">'BIDU_BS + CFS'!I225</f>
        <v>338.37399999999991</v>
      </c>
      <c r="J274" s="58">
        <f ca="1">'BIDU_BS + CFS'!J225</f>
        <v>376.52900000000011</v>
      </c>
      <c r="K274" s="58">
        <f t="shared" ca="1" si="614"/>
        <v>416.04600000000005</v>
      </c>
      <c r="L274" s="58">
        <f t="shared" ca="1" si="614"/>
        <v>466.04876585401729</v>
      </c>
      <c r="M274" s="58">
        <f t="shared" ca="1" si="614"/>
        <v>538.17011386907132</v>
      </c>
      <c r="N274" s="58">
        <f t="shared" ca="1" si="614"/>
        <v>632.11881719113148</v>
      </c>
      <c r="O274" s="58"/>
      <c r="P274" s="58"/>
      <c r="Q274" s="58">
        <f ca="1">'BIDU_BS + CFS'!Q225</f>
        <v>44.678922056279504</v>
      </c>
      <c r="R274" s="58">
        <f ca="1">'BIDU_BS + CFS'!R225</f>
        <v>48.099528562444391</v>
      </c>
      <c r="S274" s="58">
        <f ca="1">'BIDU_BS + CFS'!S225</f>
        <v>54.739287820908771</v>
      </c>
      <c r="T274" s="212">
        <f ca="1">'BIDU_BS + CFS'!T225</f>
        <v>62.096261560367395</v>
      </c>
      <c r="U274" s="58">
        <f ca="1">'BIDU_BS + CFS'!U225</f>
        <v>52.69540970927045</v>
      </c>
      <c r="V274" s="58">
        <f ca="1">'BIDU_BS + CFS'!V225</f>
        <v>56.472825547223408</v>
      </c>
      <c r="W274" s="58">
        <f ca="1">'BIDU_BS + CFS'!W225</f>
        <v>58.438258764860052</v>
      </c>
      <c r="X274" s="212">
        <f ca="1">'BIDU_BS + CFS'!X225</f>
        <v>64.88650597864671</v>
      </c>
      <c r="Y274" s="58">
        <f ca="1">'BIDU_BS + CFS'!Y225</f>
        <v>58.275603287089666</v>
      </c>
      <c r="Z274" s="58">
        <f ca="1">'BIDU_BS + CFS'!Z225</f>
        <v>62.530225761376983</v>
      </c>
      <c r="AA274" s="58">
        <f ca="1">'BIDU_BS + CFS'!AA225</f>
        <v>69.41112665194305</v>
      </c>
      <c r="AB274" s="212">
        <f ca="1">'BIDU_BS + CFS'!AB225</f>
        <v>74.936044299590549</v>
      </c>
      <c r="AC274" s="58">
        <f>'BIDU_BS + CFS'!AC225</f>
        <v>85.532000000000039</v>
      </c>
      <c r="AD274" s="58">
        <f>'BIDU_BS + CFS'!AD225</f>
        <v>83.65300000000002</v>
      </c>
      <c r="AE274" s="58">
        <f>'BIDU_BS + CFS'!AE225</f>
        <v>88.550999999999931</v>
      </c>
      <c r="AF274" s="212">
        <f>'BIDU_BS + CFS'!AF225</f>
        <v>80.63799999999992</v>
      </c>
      <c r="AG274" s="58">
        <f>'BIDU_BS + CFS'!AG225</f>
        <v>88.257000000000062</v>
      </c>
      <c r="AH274" s="58">
        <f>'BIDU_BS + CFS'!AH225</f>
        <v>91.590000000000032</v>
      </c>
      <c r="AI274" s="58">
        <f>'BIDU_BS + CFS'!AI225</f>
        <v>96.633000000000038</v>
      </c>
      <c r="AJ274" s="212">
        <f>'BIDU_BS + CFS'!AJ225</f>
        <v>100.04899999999998</v>
      </c>
      <c r="AK274" s="58">
        <f>'BIDU_BS + CFS'!AK225</f>
        <v>99.046000000000049</v>
      </c>
      <c r="AL274" s="58">
        <f>'BIDU_BS + CFS'!AL225</f>
        <v>104</v>
      </c>
      <c r="AM274" s="58">
        <f>'BIDU_BS + CFS'!AM225</f>
        <v>105</v>
      </c>
      <c r="AN274" s="212">
        <f>'BIDU_BS + CFS'!AN225</f>
        <v>108</v>
      </c>
      <c r="AO274" s="58">
        <f>'BIDU_BS + CFS'!AO225</f>
        <v>111.73494775252945</v>
      </c>
      <c r="AP274" s="58">
        <f ca="1">'BIDU_BS + CFS'!AP225</f>
        <v>113.74705677880033</v>
      </c>
      <c r="AQ274" s="58">
        <f ca="1">'BIDU_BS + CFS'!AQ225</f>
        <v>117.80381642240999</v>
      </c>
      <c r="AR274" s="212">
        <f ca="1">'BIDU_BS + CFS'!AR225</f>
        <v>122.76294490027755</v>
      </c>
      <c r="AS274" s="58">
        <f ca="1">'BIDU_BS + CFS'!AS225</f>
        <v>127.28018651772665</v>
      </c>
      <c r="AT274" s="58">
        <f ca="1">'BIDU_BS + CFS'!AT225</f>
        <v>131.0050526933407</v>
      </c>
      <c r="AU274" s="58">
        <f ca="1">'BIDU_BS + CFS'!AU225</f>
        <v>136.60032491894805</v>
      </c>
      <c r="AV274" s="212">
        <f ca="1">'BIDU_BS + CFS'!AV225</f>
        <v>143.28454973905596</v>
      </c>
      <c r="AW274" s="58">
        <f ca="1">'BIDU_BS + CFS'!AW225</f>
        <v>148.82340350235282</v>
      </c>
      <c r="AX274" s="58">
        <f ca="1">'BIDU_BS + CFS'!AX225</f>
        <v>153.81831202216597</v>
      </c>
      <c r="AY274" s="58">
        <f ca="1">'BIDU_BS + CFS'!AY225</f>
        <v>160.71486495011075</v>
      </c>
      <c r="AZ274" s="58">
        <f ca="1">'BIDU_BS + CFS'!AZ225</f>
        <v>168.762236716502</v>
      </c>
    </row>
    <row r="275" spans="2:52">
      <c r="B275" s="3" t="s">
        <v>91</v>
      </c>
      <c r="F275" s="58">
        <f ca="1">'BIDU_BS + CFS'!F226</f>
        <v>182.64299999999929</v>
      </c>
      <c r="G275" s="58">
        <f ca="1">'BIDU_BS + CFS'!G226</f>
        <v>409.96000000000521</v>
      </c>
      <c r="H275" s="58">
        <f ca="1">'BIDU_BS + CFS'!H226</f>
        <v>764.63899999999774</v>
      </c>
      <c r="I275" s="58">
        <f ca="1">'BIDU_BS + CFS'!I226</f>
        <v>715.10799999999995</v>
      </c>
      <c r="J275" s="58">
        <f ca="1">'BIDU_BS + CFS'!J226</f>
        <v>531.54999999999995</v>
      </c>
      <c r="K275" s="58">
        <f t="shared" ca="1" si="614"/>
        <v>594.83600000000001</v>
      </c>
      <c r="L275" s="58">
        <f t="shared" ca="1" si="614"/>
        <v>766.44694727428896</v>
      </c>
      <c r="M275" s="58">
        <f t="shared" ca="1" si="614"/>
        <v>807.99249136867229</v>
      </c>
      <c r="N275" s="58">
        <f t="shared" ca="1" si="614"/>
        <v>659.92958741237032</v>
      </c>
      <c r="O275" s="58"/>
      <c r="P275" s="58"/>
      <c r="Q275" s="58">
        <f ca="1">'BIDU_BS + CFS'!Q226</f>
        <v>42.614077943720304</v>
      </c>
      <c r="R275" s="58">
        <f ca="1">'BIDU_BS + CFS'!R226</f>
        <v>74.10247143755555</v>
      </c>
      <c r="S275" s="58">
        <f ca="1">'BIDU_BS + CFS'!S226</f>
        <v>35.824712179090682</v>
      </c>
      <c r="T275" s="212">
        <f ca="1">'BIDU_BS + CFS'!T226</f>
        <v>30.101738439632754</v>
      </c>
      <c r="U275" s="58">
        <f ca="1">'BIDU_BS + CFS'!U226</f>
        <v>73.824590290729645</v>
      </c>
      <c r="V275" s="58">
        <f ca="1">'BIDU_BS + CFS'!V226</f>
        <v>76.331174452776963</v>
      </c>
      <c r="W275" s="58">
        <f ca="1">'BIDU_BS + CFS'!W226</f>
        <v>88.875741235145028</v>
      </c>
      <c r="X275" s="212">
        <f ca="1">'BIDU_BS + CFS'!X226</f>
        <v>170.92849402135357</v>
      </c>
      <c r="Y275" s="58">
        <f ca="1">'BIDU_BS + CFS'!Y226</f>
        <v>187.99939671291207</v>
      </c>
      <c r="Z275" s="58">
        <f ca="1">'BIDU_BS + CFS'!Z226</f>
        <v>191.07177423862026</v>
      </c>
      <c r="AA275" s="58">
        <f ca="1">'BIDU_BS + CFS'!AA226</f>
        <v>180.25887334805589</v>
      </c>
      <c r="AB275" s="212">
        <f ca="1">'BIDU_BS + CFS'!AB226</f>
        <v>205.30895570040946</v>
      </c>
      <c r="AC275" s="58">
        <f>'BIDU_BS + CFS'!AC226</f>
        <v>181.86600000000001</v>
      </c>
      <c r="AD275" s="58">
        <f>'BIDU_BS + CFS'!AD226</f>
        <v>182.37299999999999</v>
      </c>
      <c r="AE275" s="58">
        <f>'BIDU_BS + CFS'!AE226</f>
        <v>184.23699999999999</v>
      </c>
      <c r="AF275" s="212">
        <f>'BIDU_BS + CFS'!AF226</f>
        <v>166.63200000000001</v>
      </c>
      <c r="AG275" s="58">
        <f>'BIDU_BS + CFS'!AG226</f>
        <v>141.875</v>
      </c>
      <c r="AH275" s="58">
        <f>'BIDU_BS + CFS'!AH226</f>
        <v>137.54400000000001</v>
      </c>
      <c r="AI275" s="58">
        <f>'BIDU_BS + CFS'!AI226</f>
        <v>125.839</v>
      </c>
      <c r="AJ275" s="212">
        <f>'BIDU_BS + CFS'!AJ226</f>
        <v>126.292</v>
      </c>
      <c r="AK275" s="58">
        <f>'BIDU_BS + CFS'!AK226</f>
        <v>67.835999999999999</v>
      </c>
      <c r="AL275" s="58">
        <f>'BIDU_BS + CFS'!AL226</f>
        <v>70</v>
      </c>
      <c r="AM275" s="58">
        <f>'BIDU_BS + CFS'!AM226</f>
        <v>347</v>
      </c>
      <c r="AN275" s="212">
        <f>'BIDU_BS + CFS'!AN226</f>
        <v>110</v>
      </c>
      <c r="AO275" s="58">
        <f>'BIDU_BS + CFS'!AO226</f>
        <v>170.48149173934419</v>
      </c>
      <c r="AP275" s="58">
        <f ca="1">'BIDU_BS + CFS'!AP226</f>
        <v>192.9744112905891</v>
      </c>
      <c r="AQ275" s="58">
        <f ca="1">'BIDU_BS + CFS'!AQ226</f>
        <v>196.72470720718295</v>
      </c>
      <c r="AR275" s="212">
        <f ca="1">'BIDU_BS + CFS'!AR226</f>
        <v>206.26633703717269</v>
      </c>
      <c r="AS275" s="58">
        <f ca="1">'BIDU_BS + CFS'!AS226</f>
        <v>204.43415940802689</v>
      </c>
      <c r="AT275" s="58">
        <f ca="1">'BIDU_BS + CFS'!AT226</f>
        <v>204.49508863195666</v>
      </c>
      <c r="AU275" s="58">
        <f ca="1">'BIDU_BS + CFS'!AU226</f>
        <v>199.10104157768515</v>
      </c>
      <c r="AV275" s="212">
        <f ca="1">'BIDU_BS + CFS'!AV226</f>
        <v>199.96220175100365</v>
      </c>
      <c r="AW275" s="58">
        <f ca="1">'BIDU_BS + CFS'!AW226</f>
        <v>190.51037999159644</v>
      </c>
      <c r="AX275" s="58">
        <f ca="1">'BIDU_BS + CFS'!AX226</f>
        <v>175.30704972411689</v>
      </c>
      <c r="AY275" s="58">
        <f ca="1">'BIDU_BS + CFS'!AY226</f>
        <v>151.36479863522442</v>
      </c>
      <c r="AZ275" s="58">
        <f ca="1">'BIDU_BS + CFS'!AZ226</f>
        <v>142.74735906143258</v>
      </c>
    </row>
    <row r="276" spans="2:52">
      <c r="B276" s="74" t="s">
        <v>87</v>
      </c>
      <c r="C276" s="36"/>
      <c r="D276" s="36"/>
      <c r="E276" s="36"/>
      <c r="F276" s="72">
        <f t="shared" ref="F276:M276" ca="1" si="615">SUM(F273:F275)</f>
        <v>1463.9789999999994</v>
      </c>
      <c r="G276" s="72">
        <f t="shared" ca="1" si="615"/>
        <v>2112.1000000000058</v>
      </c>
      <c r="H276" s="72">
        <f t="shared" ca="1" si="615"/>
        <v>2988.545999999998</v>
      </c>
      <c r="I276" s="72">
        <f t="shared" ca="1" si="615"/>
        <v>3601.3620000000001</v>
      </c>
      <c r="J276" s="72">
        <f t="shared" ca="1" si="615"/>
        <v>3982.9719999999998</v>
      </c>
      <c r="K276" s="72">
        <f t="shared" ca="1" si="615"/>
        <v>4398.8920000000007</v>
      </c>
      <c r="L276" s="72">
        <f t="shared" ca="1" si="615"/>
        <v>5051.5064333209484</v>
      </c>
      <c r="M276" s="72">
        <f t="shared" ca="1" si="615"/>
        <v>5756.1677049981899</v>
      </c>
      <c r="N276" s="72">
        <f t="shared" ref="N276" ca="1" si="616">SUM(N273:N275)</f>
        <v>6471.910934364163</v>
      </c>
      <c r="O276" s="58"/>
      <c r="P276" s="58"/>
      <c r="Q276" s="72">
        <f t="shared" ref="Q276:AV276" ca="1" si="617">SUM(Q273:Q275)</f>
        <v>315.72899999999981</v>
      </c>
      <c r="R276" s="72">
        <f t="shared" ca="1" si="617"/>
        <v>368.12699999999995</v>
      </c>
      <c r="S276" s="72">
        <f t="shared" ca="1" si="617"/>
        <v>370.43699999999944</v>
      </c>
      <c r="T276" s="220">
        <f t="shared" ca="1" si="617"/>
        <v>409.68600000000015</v>
      </c>
      <c r="U276" s="72">
        <f t="shared" ca="1" si="617"/>
        <v>459.62100000000009</v>
      </c>
      <c r="V276" s="72">
        <f t="shared" ca="1" si="617"/>
        <v>489.78300000000036</v>
      </c>
      <c r="W276" s="72">
        <f t="shared" ca="1" si="617"/>
        <v>516.7170000000051</v>
      </c>
      <c r="X276" s="220">
        <f t="shared" ca="1" si="617"/>
        <v>645.97900000000027</v>
      </c>
      <c r="Y276" s="72">
        <f t="shared" ca="1" si="617"/>
        <v>676.77200000000175</v>
      </c>
      <c r="Z276" s="72">
        <f t="shared" ca="1" si="617"/>
        <v>715.52899999999727</v>
      </c>
      <c r="AA276" s="72">
        <f t="shared" ca="1" si="617"/>
        <v>762.42799999999897</v>
      </c>
      <c r="AB276" s="220">
        <f t="shared" ca="1" si="617"/>
        <v>833.81700000000001</v>
      </c>
      <c r="AC276" s="72">
        <f t="shared" si="617"/>
        <v>849.83500000000004</v>
      </c>
      <c r="AD276" s="72">
        <f t="shared" si="617"/>
        <v>882.09799999999996</v>
      </c>
      <c r="AE276" s="72">
        <f t="shared" si="617"/>
        <v>930.11299999999994</v>
      </c>
      <c r="AF276" s="220">
        <f t="shared" si="617"/>
        <v>939.31600000000003</v>
      </c>
      <c r="AG276" s="72">
        <f t="shared" si="617"/>
        <v>937.46400000000006</v>
      </c>
      <c r="AH276" s="72">
        <f t="shared" si="617"/>
        <v>982.90899999999999</v>
      </c>
      <c r="AI276" s="72">
        <f t="shared" si="617"/>
        <v>1024.729</v>
      </c>
      <c r="AJ276" s="220">
        <f t="shared" si="617"/>
        <v>1037.8699999999999</v>
      </c>
      <c r="AK276" s="72">
        <f t="shared" si="617"/>
        <v>989.89200000000005</v>
      </c>
      <c r="AL276" s="72">
        <f t="shared" si="617"/>
        <v>1002</v>
      </c>
      <c r="AM276" s="72">
        <f t="shared" si="617"/>
        <v>1304</v>
      </c>
      <c r="AN276" s="220">
        <f t="shared" si="617"/>
        <v>1103</v>
      </c>
      <c r="AO276" s="72">
        <f t="shared" si="617"/>
        <v>1197.8222613528787</v>
      </c>
      <c r="AP276" s="72">
        <f t="shared" ca="1" si="617"/>
        <v>1238.8154055623365</v>
      </c>
      <c r="AQ276" s="72">
        <f t="shared" ca="1" si="617"/>
        <v>1279.8653526465637</v>
      </c>
      <c r="AR276" s="220">
        <f t="shared" ca="1" si="617"/>
        <v>1335.003413759169</v>
      </c>
      <c r="AS276" s="72">
        <f t="shared" ca="1" si="617"/>
        <v>1374.7047632237916</v>
      </c>
      <c r="AT276" s="72">
        <f t="shared" ca="1" si="617"/>
        <v>1409.0137675623948</v>
      </c>
      <c r="AU276" s="72">
        <f t="shared" ca="1" si="617"/>
        <v>1455.065140138013</v>
      </c>
      <c r="AV276" s="220">
        <f t="shared" ca="1" si="617"/>
        <v>1517.3840340739907</v>
      </c>
      <c r="AW276" s="72">
        <f t="shared" ref="AW276:AZ276" ca="1" si="618">SUM(AW273:AW275)</f>
        <v>1558.8588955271182</v>
      </c>
      <c r="AX276" s="72">
        <f t="shared" ca="1" si="618"/>
        <v>1589.580974150143</v>
      </c>
      <c r="AY276" s="72">
        <f t="shared" ca="1" si="618"/>
        <v>1629.0486958154092</v>
      </c>
      <c r="AZ276" s="72">
        <f t="shared" ca="1" si="618"/>
        <v>1694.4223688714928</v>
      </c>
    </row>
    <row r="277" spans="2:52">
      <c r="F277" s="2"/>
      <c r="G277" s="2"/>
      <c r="H277" s="2"/>
      <c r="I277" s="2"/>
      <c r="J277" s="2"/>
      <c r="K277" s="2"/>
      <c r="L277" s="2"/>
      <c r="M277" s="2"/>
      <c r="N277" s="2"/>
      <c r="O277" s="58"/>
      <c r="P277" s="58"/>
      <c r="Q277" s="2"/>
      <c r="R277" s="2"/>
      <c r="S277" s="2"/>
      <c r="T277" s="221"/>
      <c r="U277" s="2"/>
      <c r="V277" s="2"/>
      <c r="W277" s="2"/>
      <c r="X277" s="221"/>
      <c r="Y277" s="2"/>
      <c r="Z277" s="2"/>
      <c r="AA277" s="2"/>
      <c r="AB277" s="221"/>
      <c r="AC277" s="2"/>
      <c r="AD277" s="2"/>
      <c r="AE277" s="2"/>
      <c r="AF277" s="221"/>
      <c r="AG277" s="2"/>
      <c r="AH277" s="2"/>
      <c r="AI277" s="2"/>
      <c r="AJ277" s="221"/>
      <c r="AK277" s="2"/>
      <c r="AL277" s="2"/>
      <c r="AM277" s="2"/>
      <c r="AN277" s="221"/>
      <c r="AO277" s="2"/>
      <c r="AP277" s="2"/>
      <c r="AQ277" s="2"/>
      <c r="AR277" s="221"/>
      <c r="AS277" s="2"/>
      <c r="AT277" s="2"/>
      <c r="AU277" s="2"/>
      <c r="AV277" s="221"/>
      <c r="AW277" s="2"/>
      <c r="AX277" s="2"/>
      <c r="AY277" s="2"/>
      <c r="AZ277" s="2"/>
    </row>
    <row r="278" spans="2:52">
      <c r="B278" s="57" t="s">
        <v>90</v>
      </c>
      <c r="C278" s="57"/>
      <c r="D278" s="57"/>
      <c r="E278" s="57"/>
      <c r="F278" s="57"/>
      <c r="G278" s="76"/>
      <c r="H278" s="76"/>
      <c r="I278" s="76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225"/>
      <c r="U278" s="57"/>
      <c r="V278" s="57"/>
      <c r="W278" s="57"/>
      <c r="X278" s="225"/>
      <c r="Y278" s="57"/>
      <c r="Z278" s="57"/>
      <c r="AA278" s="57"/>
      <c r="AB278" s="225"/>
      <c r="AC278" s="57"/>
      <c r="AD278" s="57"/>
      <c r="AE278" s="57"/>
      <c r="AF278" s="225"/>
      <c r="AG278" s="57"/>
      <c r="AH278" s="57"/>
      <c r="AI278" s="57"/>
      <c r="AJ278" s="225"/>
      <c r="AK278" s="57"/>
      <c r="AL278" s="57"/>
      <c r="AM278" s="75"/>
      <c r="AN278" s="240"/>
      <c r="AO278" s="75"/>
      <c r="AP278" s="75"/>
      <c r="AQ278" s="57"/>
      <c r="AR278" s="225"/>
      <c r="AS278" s="57"/>
      <c r="AT278" s="57"/>
      <c r="AU278" s="57"/>
      <c r="AV278" s="225"/>
      <c r="AW278" s="57"/>
      <c r="AX278" s="57"/>
      <c r="AY278" s="57"/>
      <c r="AZ278" s="57"/>
    </row>
    <row r="279" spans="2:52">
      <c r="B279" s="1" t="s">
        <v>89</v>
      </c>
      <c r="F279" s="2"/>
      <c r="G279" s="2"/>
      <c r="H279" s="2"/>
      <c r="I279" s="2"/>
      <c r="J279" s="2"/>
      <c r="K279" s="2"/>
      <c r="L279" s="2"/>
      <c r="M279" s="2"/>
      <c r="N279" s="2"/>
      <c r="O279" s="58"/>
      <c r="P279" s="58"/>
      <c r="Q279" s="2"/>
      <c r="R279" s="2"/>
      <c r="S279" s="2"/>
      <c r="T279" s="221"/>
      <c r="U279" s="2"/>
      <c r="V279" s="2"/>
      <c r="W279" s="2"/>
      <c r="X279" s="221"/>
      <c r="Y279" s="2"/>
      <c r="Z279" s="2"/>
      <c r="AA279" s="2"/>
      <c r="AB279" s="221"/>
      <c r="AC279" s="2"/>
      <c r="AD279" s="2"/>
      <c r="AE279" s="2"/>
      <c r="AF279" s="221"/>
      <c r="AG279" s="2"/>
      <c r="AH279" s="2"/>
      <c r="AI279" s="2"/>
      <c r="AJ279" s="221"/>
      <c r="AK279" s="2"/>
      <c r="AL279" s="2"/>
      <c r="AM279" s="2"/>
      <c r="AN279" s="221"/>
      <c r="AO279" s="2"/>
      <c r="AP279" s="2"/>
      <c r="AQ279" s="2"/>
      <c r="AR279" s="221"/>
      <c r="AS279" s="2"/>
      <c r="AT279" s="2"/>
      <c r="AU279" s="2"/>
      <c r="AV279" s="221"/>
      <c r="AW279" s="2"/>
      <c r="AX279" s="2"/>
      <c r="AY279" s="2"/>
      <c r="AZ279" s="2"/>
    </row>
    <row r="280" spans="2:52">
      <c r="B280" s="3" t="s">
        <v>29</v>
      </c>
      <c r="C280" s="1" t="s">
        <v>88</v>
      </c>
      <c r="F280" s="67">
        <v>1841.59</v>
      </c>
      <c r="G280" s="67">
        <v>4012.7089999999998</v>
      </c>
      <c r="H280" s="67">
        <v>8298.5580000000009</v>
      </c>
      <c r="I280" s="67">
        <v>14503.787</v>
      </c>
      <c r="J280" s="67">
        <v>12413.245000000001</v>
      </c>
      <c r="K280" s="58">
        <f t="shared" ref="K280:N281" ca="1" si="619">SUM(OFFSET($P280,0,K$1,1,4))</f>
        <v>10059.014955000001</v>
      </c>
      <c r="L280" s="58">
        <f t="shared" ca="1" si="619"/>
        <v>14143.695542019592</v>
      </c>
      <c r="M280" s="58">
        <f t="shared" ca="1" si="619"/>
        <v>17888.358768361657</v>
      </c>
      <c r="N280" s="58">
        <f t="shared" ca="1" si="619"/>
        <v>20127.670918200522</v>
      </c>
      <c r="O280" s="58"/>
      <c r="P280" s="58"/>
      <c r="Q280" s="58">
        <f t="shared" ref="Q280:AM280" si="620">+Q282-Q281</f>
        <v>359.16464399999995</v>
      </c>
      <c r="R280" s="58">
        <f t="shared" si="620"/>
        <v>429.39527199999998</v>
      </c>
      <c r="S280" s="58">
        <f t="shared" si="620"/>
        <v>455.26639999999998</v>
      </c>
      <c r="T280" s="212">
        <f t="shared" si="620"/>
        <v>597.76368400000013</v>
      </c>
      <c r="U280" s="58">
        <f t="shared" si="620"/>
        <v>651.14024599999993</v>
      </c>
      <c r="V280" s="58">
        <f t="shared" si="620"/>
        <v>813.43747499999995</v>
      </c>
      <c r="W280" s="58">
        <f t="shared" si="620"/>
        <v>1055.4076539999999</v>
      </c>
      <c r="X280" s="212">
        <f t="shared" si="620"/>
        <v>1492.7236249999999</v>
      </c>
      <c r="Y280" s="58">
        <f t="shared" si="620"/>
        <v>1610.0348160000001</v>
      </c>
      <c r="Z280" s="58">
        <f t="shared" si="620"/>
        <v>1609.5138099999999</v>
      </c>
      <c r="AA280" s="58">
        <f t="shared" si="620"/>
        <v>2132.1782479999997</v>
      </c>
      <c r="AB280" s="212">
        <f t="shared" si="620"/>
        <v>2946.8321260000002</v>
      </c>
      <c r="AC280" s="58">
        <f t="shared" si="620"/>
        <v>2447.8823600000001</v>
      </c>
      <c r="AD280" s="58">
        <f t="shared" si="620"/>
        <v>3243.4097179999999</v>
      </c>
      <c r="AE280" s="58">
        <f t="shared" si="620"/>
        <v>5003.3019220000006</v>
      </c>
      <c r="AF280" s="212">
        <f t="shared" si="620"/>
        <v>3809.1929999999998</v>
      </c>
      <c r="AG280" s="58">
        <f t="shared" si="620"/>
        <v>3352.6725500000002</v>
      </c>
      <c r="AH280" s="58">
        <f t="shared" si="620"/>
        <v>3509.6021999999994</v>
      </c>
      <c r="AI280" s="58">
        <f t="shared" si="620"/>
        <v>2911.5065374999999</v>
      </c>
      <c r="AJ280" s="212">
        <f t="shared" si="620"/>
        <v>2639.4637125000004</v>
      </c>
      <c r="AK280" s="58">
        <f t="shared" si="620"/>
        <v>2192.0989549999999</v>
      </c>
      <c r="AL280" s="58">
        <f t="shared" si="620"/>
        <v>2182.5360000000001</v>
      </c>
      <c r="AM280" s="58">
        <f t="shared" si="620"/>
        <v>2900.3960000000002</v>
      </c>
      <c r="AN280" s="212">
        <f t="shared" ref="AN280" si="621">+AN282-AN281</f>
        <v>2783.9839999999999</v>
      </c>
      <c r="AO280" s="58">
        <f t="shared" ref="AO280:AZ280" ca="1" si="622">+AO116+AO$266*AO285</f>
        <v>3196.3388140158677</v>
      </c>
      <c r="AP280" s="58">
        <f t="shared" ca="1" si="622"/>
        <v>3326.3307294568085</v>
      </c>
      <c r="AQ280" s="58">
        <f t="shared" ca="1" si="622"/>
        <v>3666.3497273651446</v>
      </c>
      <c r="AR280" s="212">
        <f t="shared" ca="1" si="622"/>
        <v>3954.6762711817728</v>
      </c>
      <c r="AS280" s="58">
        <f t="shared" ca="1" si="622"/>
        <v>3735.1790897721362</v>
      </c>
      <c r="AT280" s="58">
        <f t="shared" ca="1" si="622"/>
        <v>4167.2460314141272</v>
      </c>
      <c r="AU280" s="58">
        <f t="shared" ca="1" si="622"/>
        <v>5026.9139474281501</v>
      </c>
      <c r="AV280" s="212">
        <f t="shared" ca="1" si="622"/>
        <v>4959.0196997472458</v>
      </c>
      <c r="AW280" s="58">
        <f t="shared" ca="1" si="622"/>
        <v>4332.9591004570193</v>
      </c>
      <c r="AX280" s="58">
        <f t="shared" ca="1" si="622"/>
        <v>4541.8491653619803</v>
      </c>
      <c r="AY280" s="58">
        <f t="shared" ca="1" si="622"/>
        <v>5748.6207673799117</v>
      </c>
      <c r="AZ280" s="58">
        <f t="shared" ca="1" si="622"/>
        <v>5504.2418850016111</v>
      </c>
    </row>
    <row r="281" spans="2:52">
      <c r="B281" s="3" t="s">
        <v>34</v>
      </c>
      <c r="C281" s="1" t="s">
        <v>88</v>
      </c>
      <c r="F281" s="67">
        <v>659.74599999999998</v>
      </c>
      <c r="G281" s="67">
        <v>1160.8240000000001</v>
      </c>
      <c r="H281" s="67">
        <v>2083.5839999999998</v>
      </c>
      <c r="I281" s="67">
        <v>2572.596</v>
      </c>
      <c r="J281" s="67">
        <v>2657.3409999999999</v>
      </c>
      <c r="K281" s="58">
        <f t="shared" ca="1" si="619"/>
        <v>3070.0430449999999</v>
      </c>
      <c r="L281" s="58">
        <f t="shared" ca="1" si="619"/>
        <v>3512.7043109961783</v>
      </c>
      <c r="M281" s="58">
        <f t="shared" ca="1" si="619"/>
        <v>4034.1363267036677</v>
      </c>
      <c r="N281" s="58">
        <f t="shared" ca="1" si="619"/>
        <v>4795.0729928520141</v>
      </c>
      <c r="O281" s="58"/>
      <c r="P281" s="58"/>
      <c r="Q281" s="58">
        <f>Q290*Q82</f>
        <v>119.384356</v>
      </c>
      <c r="R281" s="58">
        <f>R290*R82</f>
        <v>158.230728</v>
      </c>
      <c r="S281" s="58">
        <f>S290*S82</f>
        <v>187.52160000000001</v>
      </c>
      <c r="T281" s="212">
        <f>F281-SUM(Q281:S281)</f>
        <v>194.60931599999992</v>
      </c>
      <c r="U281" s="58">
        <f>U290*U82</f>
        <v>196.96175400000001</v>
      </c>
      <c r="V281" s="58">
        <f>V290*V82</f>
        <v>264.62852500000002</v>
      </c>
      <c r="W281" s="58">
        <f>W290*W82</f>
        <v>328.99134599999996</v>
      </c>
      <c r="X281" s="212">
        <f>G281-SUM(U281:W281)</f>
        <v>370.24237500000004</v>
      </c>
      <c r="Y281" s="58">
        <f>Y290*Y82</f>
        <v>398.85518400000001</v>
      </c>
      <c r="Z281" s="58">
        <f>Z290*Z82</f>
        <v>539.36018999999999</v>
      </c>
      <c r="AA281" s="58">
        <f>AA290*AA82</f>
        <v>567.82975199999998</v>
      </c>
      <c r="AB281" s="212">
        <f>H281-SUM(Y281:AA281)</f>
        <v>577.53887399999985</v>
      </c>
      <c r="AC281" s="58">
        <f>AC290*AC82</f>
        <v>508.98464000000001</v>
      </c>
      <c r="AD281" s="58">
        <f>AD290*AD82</f>
        <v>646.43428199999994</v>
      </c>
      <c r="AE281" s="58">
        <f>AE290*AE82</f>
        <v>698.55707799999993</v>
      </c>
      <c r="AF281" s="212">
        <f>I281-SUM(AC281:AE281)</f>
        <v>718.62000000000035</v>
      </c>
      <c r="AG281" s="58">
        <f>AG290*AG82</f>
        <v>593.27144999999996</v>
      </c>
      <c r="AH281" s="58">
        <f>AH290*AH82</f>
        <v>684.88679999999999</v>
      </c>
      <c r="AI281" s="58">
        <f>AI290*AI82</f>
        <v>684.47846250000009</v>
      </c>
      <c r="AJ281" s="212">
        <f>J281-SUM(AG281:AI281)</f>
        <v>694.70428749999974</v>
      </c>
      <c r="AK281" s="58">
        <f>AK290*AK82</f>
        <v>624.95904499999995</v>
      </c>
      <c r="AL281" s="58">
        <f>AL290*AL82</f>
        <v>751.46399999999994</v>
      </c>
      <c r="AM281" s="58">
        <f>AM290*AM82</f>
        <v>845.60399999999993</v>
      </c>
      <c r="AN281" s="212">
        <f>AN290*AN82</f>
        <v>848.01599999999996</v>
      </c>
      <c r="AO281" s="58">
        <f t="shared" ref="AO281:AZ281" ca="1" si="623">+AO117+AO$266*AO286</f>
        <v>742.29629986841212</v>
      </c>
      <c r="AP281" s="58">
        <f t="shared" ca="1" si="623"/>
        <v>875.98104977663127</v>
      </c>
      <c r="AQ281" s="58">
        <f t="shared" ca="1" si="623"/>
        <v>945.90088948382231</v>
      </c>
      <c r="AR281" s="212">
        <f t="shared" ca="1" si="623"/>
        <v>948.52607186731268</v>
      </c>
      <c r="AS281" s="58">
        <f t="shared" ca="1" si="623"/>
        <v>882.04874252678087</v>
      </c>
      <c r="AT281" s="58">
        <f t="shared" ca="1" si="623"/>
        <v>1004.4192679649054</v>
      </c>
      <c r="AU281" s="58">
        <f t="shared" ca="1" si="623"/>
        <v>1084.1839187949927</v>
      </c>
      <c r="AV281" s="212">
        <f t="shared" ca="1" si="623"/>
        <v>1063.4843974169892</v>
      </c>
      <c r="AW281" s="58">
        <f t="shared" ca="1" si="623"/>
        <v>1054.655380997697</v>
      </c>
      <c r="AX281" s="58">
        <f t="shared" ca="1" si="623"/>
        <v>1186.0417548948662</v>
      </c>
      <c r="AY281" s="58">
        <f t="shared" ca="1" si="623"/>
        <v>1272.3161417055412</v>
      </c>
      <c r="AZ281" s="58">
        <f t="shared" ca="1" si="623"/>
        <v>1282.0597152539099</v>
      </c>
    </row>
    <row r="282" spans="2:52">
      <c r="B282" s="74" t="s">
        <v>87</v>
      </c>
      <c r="C282" s="36"/>
      <c r="D282" s="36"/>
      <c r="E282" s="36"/>
      <c r="F282" s="72">
        <f t="shared" ref="F282:M282" si="624">SUM(F280:F281)</f>
        <v>2501.3359999999998</v>
      </c>
      <c r="G282" s="72">
        <f t="shared" si="624"/>
        <v>5173.5329999999994</v>
      </c>
      <c r="H282" s="72">
        <f t="shared" si="624"/>
        <v>10382.142</v>
      </c>
      <c r="I282" s="72">
        <f t="shared" si="624"/>
        <v>17076.383000000002</v>
      </c>
      <c r="J282" s="72">
        <f t="shared" si="624"/>
        <v>15070.586000000001</v>
      </c>
      <c r="K282" s="72">
        <f t="shared" ca="1" si="624"/>
        <v>13129.058000000001</v>
      </c>
      <c r="L282" s="72">
        <f t="shared" ca="1" si="624"/>
        <v>17656.39985301577</v>
      </c>
      <c r="M282" s="72">
        <f t="shared" ca="1" si="624"/>
        <v>21922.495095065326</v>
      </c>
      <c r="N282" s="72">
        <f t="shared" ref="N282" ca="1" si="625">SUM(N280:N281)</f>
        <v>24922.743911052537</v>
      </c>
      <c r="O282" s="58"/>
      <c r="P282" s="58"/>
      <c r="Q282" s="73">
        <v>478.54899999999998</v>
      </c>
      <c r="R282" s="73">
        <v>587.62599999999998</v>
      </c>
      <c r="S282" s="73">
        <v>642.78800000000001</v>
      </c>
      <c r="T282" s="227">
        <v>792.37300000000005</v>
      </c>
      <c r="U282" s="73">
        <v>848.10199999999998</v>
      </c>
      <c r="V282" s="73">
        <v>1078.066</v>
      </c>
      <c r="W282" s="73">
        <v>1384.3989999999999</v>
      </c>
      <c r="X282" s="227">
        <v>1862.9659999999999</v>
      </c>
      <c r="Y282" s="73">
        <v>2008.89</v>
      </c>
      <c r="Z282" s="73">
        <v>2148.8739999999998</v>
      </c>
      <c r="AA282" s="73">
        <v>2700.0079999999998</v>
      </c>
      <c r="AB282" s="227">
        <v>3524.3710000000001</v>
      </c>
      <c r="AC282" s="73">
        <v>2956.8670000000002</v>
      </c>
      <c r="AD282" s="73">
        <v>3889.8440000000001</v>
      </c>
      <c r="AE282" s="73">
        <v>5701.8590000000004</v>
      </c>
      <c r="AF282" s="227">
        <v>4527.8130000000001</v>
      </c>
      <c r="AG282" s="73">
        <v>3945.944</v>
      </c>
      <c r="AH282" s="73">
        <v>4194.4889999999996</v>
      </c>
      <c r="AI282" s="73">
        <v>3595.9850000000001</v>
      </c>
      <c r="AJ282" s="227">
        <v>3334.1680000000001</v>
      </c>
      <c r="AK282" s="73">
        <v>2817.058</v>
      </c>
      <c r="AL282" s="73">
        <v>2934</v>
      </c>
      <c r="AM282" s="73">
        <v>3746</v>
      </c>
      <c r="AN282" s="227">
        <v>3632</v>
      </c>
      <c r="AO282" s="72">
        <f t="shared" ref="AO282:AV282" ca="1" si="626">SUM(AO280:AO281)</f>
        <v>3938.6351138842797</v>
      </c>
      <c r="AP282" s="72">
        <f t="shared" ca="1" si="626"/>
        <v>4202.3117792334397</v>
      </c>
      <c r="AQ282" s="72">
        <f t="shared" ca="1" si="626"/>
        <v>4612.2506168489672</v>
      </c>
      <c r="AR282" s="220">
        <f t="shared" ca="1" si="626"/>
        <v>4903.2023430490854</v>
      </c>
      <c r="AS282" s="72">
        <f t="shared" ca="1" si="626"/>
        <v>4617.2278322989168</v>
      </c>
      <c r="AT282" s="72">
        <f t="shared" ca="1" si="626"/>
        <v>5171.6652993790321</v>
      </c>
      <c r="AU282" s="72">
        <f t="shared" ca="1" si="626"/>
        <v>6111.0978662231428</v>
      </c>
      <c r="AV282" s="220">
        <f t="shared" ca="1" si="626"/>
        <v>6022.5040971642347</v>
      </c>
      <c r="AW282" s="72">
        <f t="shared" ref="AW282:AZ282" ca="1" si="627">SUM(AW280:AW281)</f>
        <v>5387.614481454716</v>
      </c>
      <c r="AX282" s="72">
        <f t="shared" ca="1" si="627"/>
        <v>5727.8909202568466</v>
      </c>
      <c r="AY282" s="72">
        <f t="shared" ca="1" si="627"/>
        <v>7020.9369090854525</v>
      </c>
      <c r="AZ282" s="72">
        <f t="shared" ca="1" si="627"/>
        <v>6786.3016002555214</v>
      </c>
    </row>
    <row r="283" spans="2:52">
      <c r="B283" s="3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67"/>
      <c r="R283" s="67"/>
      <c r="S283" s="67"/>
      <c r="T283" s="217"/>
      <c r="U283" s="67"/>
      <c r="V283" s="67"/>
      <c r="W283" s="67"/>
      <c r="X283" s="217"/>
      <c r="Y283" s="67"/>
      <c r="Z283" s="67"/>
      <c r="AA283" s="67"/>
      <c r="AB283" s="217"/>
      <c r="AC283" s="67"/>
      <c r="AD283" s="67"/>
      <c r="AE283" s="67"/>
      <c r="AF283" s="217"/>
      <c r="AG283" s="67"/>
      <c r="AH283" s="67"/>
      <c r="AI283" s="67"/>
      <c r="AJ283" s="217"/>
      <c r="AK283" s="67"/>
      <c r="AL283" s="67"/>
      <c r="AM283" s="67"/>
      <c r="AN283" s="212"/>
      <c r="AO283" s="58"/>
      <c r="AP283" s="58"/>
      <c r="AQ283" s="58"/>
      <c r="AR283" s="212"/>
      <c r="AS283" s="58"/>
      <c r="AT283" s="58"/>
      <c r="AU283" s="58"/>
      <c r="AV283" s="212"/>
      <c r="AW283" s="58"/>
      <c r="AX283" s="58"/>
      <c r="AY283" s="58"/>
      <c r="AZ283" s="58"/>
    </row>
    <row r="284" spans="2:52">
      <c r="B284" s="11" t="s">
        <v>86</v>
      </c>
      <c r="O284" s="58"/>
      <c r="P284" s="58"/>
      <c r="AM284" s="70"/>
      <c r="AN284" s="236"/>
      <c r="AO284" s="70"/>
      <c r="AP284" s="70"/>
    </row>
    <row r="285" spans="2:52">
      <c r="B285" s="3" t="s">
        <v>29</v>
      </c>
      <c r="F285" s="4">
        <f t="shared" ref="F285:M286" si="628">+F280/F$282</f>
        <v>0.73624255198022182</v>
      </c>
      <c r="G285" s="4">
        <f t="shared" si="628"/>
        <v>0.77562257745335739</v>
      </c>
      <c r="H285" s="4">
        <f t="shared" si="628"/>
        <v>0.79931077806487338</v>
      </c>
      <c r="I285" s="4">
        <f t="shared" si="628"/>
        <v>0.84934772193853925</v>
      </c>
      <c r="J285" s="4">
        <f t="shared" si="628"/>
        <v>0.82367367798438629</v>
      </c>
      <c r="K285" s="4">
        <f t="shared" ca="1" si="628"/>
        <v>0.76616425603421057</v>
      </c>
      <c r="L285" s="4">
        <f t="shared" ca="1" si="628"/>
        <v>0.80105206382737215</v>
      </c>
      <c r="M285" s="4">
        <f t="shared" ca="1" si="628"/>
        <v>0.81598188029191354</v>
      </c>
      <c r="N285" s="4">
        <f t="shared" ref="N285" ca="1" si="629">+N280/N$282</f>
        <v>0.80760252522895215</v>
      </c>
      <c r="O285" s="58"/>
      <c r="P285" s="58"/>
      <c r="Q285" s="4">
        <f t="shared" ref="Q285:AJ285" si="630">+Q280/Q$282</f>
        <v>0.75052845999051288</v>
      </c>
      <c r="R285" s="4">
        <f t="shared" si="630"/>
        <v>0.73072885134422239</v>
      </c>
      <c r="S285" s="4">
        <f t="shared" si="630"/>
        <v>0.70826835597428695</v>
      </c>
      <c r="T285" s="215">
        <f t="shared" si="630"/>
        <v>0.75439683583362893</v>
      </c>
      <c r="U285" s="4">
        <f t="shared" si="630"/>
        <v>0.76776171498239598</v>
      </c>
      <c r="V285" s="4">
        <f t="shared" si="630"/>
        <v>0.75453402203575659</v>
      </c>
      <c r="W285" s="4">
        <f t="shared" si="630"/>
        <v>0.76235800083646399</v>
      </c>
      <c r="X285" s="215">
        <f t="shared" si="630"/>
        <v>0.80126187219734546</v>
      </c>
      <c r="Y285" s="4">
        <f t="shared" si="630"/>
        <v>0.80145494078819646</v>
      </c>
      <c r="Z285" s="4">
        <f t="shared" si="630"/>
        <v>0.74900334314622452</v>
      </c>
      <c r="AA285" s="4">
        <f t="shared" si="630"/>
        <v>0.78969330757538492</v>
      </c>
      <c r="AB285" s="215">
        <f t="shared" si="630"/>
        <v>0.83612994375450267</v>
      </c>
      <c r="AC285" s="4">
        <f t="shared" si="630"/>
        <v>0.82786353258364342</v>
      </c>
      <c r="AD285" s="4">
        <f t="shared" si="630"/>
        <v>0.83381485684258794</v>
      </c>
      <c r="AE285" s="4">
        <f t="shared" si="630"/>
        <v>0.8774860833984145</v>
      </c>
      <c r="AF285" s="215">
        <f t="shared" si="630"/>
        <v>0.84128761501413585</v>
      </c>
      <c r="AG285" s="4">
        <f t="shared" si="630"/>
        <v>0.84965031181385242</v>
      </c>
      <c r="AH285" s="4">
        <f t="shared" si="630"/>
        <v>0.8367174642727635</v>
      </c>
      <c r="AI285" s="4">
        <f t="shared" si="630"/>
        <v>0.80965480598500827</v>
      </c>
      <c r="AJ285" s="215">
        <f t="shared" si="630"/>
        <v>0.79164088687192735</v>
      </c>
      <c r="AK285" s="71">
        <f t="shared" ref="AK285:AZ285" ca="1" si="631">+AK116/SUM(AK$116:AK$117)</f>
        <v>0.7781518715624598</v>
      </c>
      <c r="AL285" s="71">
        <f t="shared" ca="1" si="631"/>
        <v>0.74387730061349688</v>
      </c>
      <c r="AM285" s="71">
        <f t="shared" ca="1" si="631"/>
        <v>0.7742648158035238</v>
      </c>
      <c r="AN285" s="241">
        <f t="shared" ca="1" si="631"/>
        <v>0.76651541850220262</v>
      </c>
      <c r="AO285" s="71">
        <f t="shared" ca="1" si="631"/>
        <v>0.81153463613531851</v>
      </c>
      <c r="AP285" s="71">
        <f t="shared" ca="1" si="631"/>
        <v>0.79154782039127469</v>
      </c>
      <c r="AQ285" s="71">
        <f t="shared" ca="1" si="631"/>
        <v>0.79491554816462895</v>
      </c>
      <c r="AR285" s="241">
        <f t="shared" ca="1" si="631"/>
        <v>0.80654967804623245</v>
      </c>
      <c r="AS285" s="71">
        <f t="shared" ca="1" si="631"/>
        <v>0.80896573126485538</v>
      </c>
      <c r="AT285" s="71">
        <f t="shared" ca="1" si="631"/>
        <v>0.80578417012301495</v>
      </c>
      <c r="AU285" s="71">
        <f t="shared" ca="1" si="631"/>
        <v>0.82258770150165283</v>
      </c>
      <c r="AV285" s="241">
        <f t="shared" ca="1" si="631"/>
        <v>0.82341491508196019</v>
      </c>
      <c r="AW285" s="71">
        <f t="shared" ca="1" si="631"/>
        <v>0.80424446020997997</v>
      </c>
      <c r="AX285" s="71">
        <f t="shared" ca="1" si="631"/>
        <v>0.79293569458517499</v>
      </c>
      <c r="AY285" s="71">
        <f t="shared" ca="1" si="631"/>
        <v>0.81878257016394795</v>
      </c>
      <c r="AZ285" s="71">
        <f t="shared" ca="1" si="631"/>
        <v>0.811081235292337</v>
      </c>
    </row>
    <row r="286" spans="2:52">
      <c r="B286" s="3" t="s">
        <v>34</v>
      </c>
      <c r="F286" s="4">
        <f t="shared" si="628"/>
        <v>0.26375744801977824</v>
      </c>
      <c r="G286" s="4">
        <f t="shared" si="628"/>
        <v>0.22437742254664272</v>
      </c>
      <c r="H286" s="4">
        <f t="shared" si="628"/>
        <v>0.20068922193512667</v>
      </c>
      <c r="I286" s="4">
        <f t="shared" si="628"/>
        <v>0.15065227806146067</v>
      </c>
      <c r="J286" s="4">
        <f t="shared" si="628"/>
        <v>0.17632632201561371</v>
      </c>
      <c r="K286" s="4">
        <f t="shared" ca="1" si="628"/>
        <v>0.23383574396578946</v>
      </c>
      <c r="L286" s="4">
        <f t="shared" ca="1" si="628"/>
        <v>0.1989479361726279</v>
      </c>
      <c r="M286" s="4">
        <f t="shared" ca="1" si="628"/>
        <v>0.18401811970808638</v>
      </c>
      <c r="N286" s="4">
        <f t="shared" ref="N286" ca="1" si="632">+N281/N$282</f>
        <v>0.19239747477104774</v>
      </c>
      <c r="O286" s="58"/>
      <c r="P286" s="58"/>
      <c r="Q286" s="4">
        <f t="shared" ref="Q286:AJ286" si="633">+Q281/Q$282</f>
        <v>0.24947154000948701</v>
      </c>
      <c r="R286" s="4">
        <f t="shared" si="633"/>
        <v>0.26927114865577767</v>
      </c>
      <c r="S286" s="4">
        <f t="shared" si="633"/>
        <v>0.291731644025713</v>
      </c>
      <c r="T286" s="215">
        <f t="shared" si="633"/>
        <v>0.24560316416637104</v>
      </c>
      <c r="U286" s="4">
        <f t="shared" si="633"/>
        <v>0.23223828501760405</v>
      </c>
      <c r="V286" s="4">
        <f t="shared" si="633"/>
        <v>0.24546597796424338</v>
      </c>
      <c r="W286" s="4">
        <f t="shared" si="633"/>
        <v>0.23764199916353593</v>
      </c>
      <c r="X286" s="215">
        <f t="shared" si="633"/>
        <v>0.19873812780265451</v>
      </c>
      <c r="Y286" s="4">
        <f t="shared" si="633"/>
        <v>0.19854505921180352</v>
      </c>
      <c r="Z286" s="4">
        <f t="shared" si="633"/>
        <v>0.25099665685377553</v>
      </c>
      <c r="AA286" s="4">
        <f t="shared" si="633"/>
        <v>0.21030669242461505</v>
      </c>
      <c r="AB286" s="215">
        <f t="shared" si="633"/>
        <v>0.16387005624549739</v>
      </c>
      <c r="AC286" s="4">
        <f t="shared" si="633"/>
        <v>0.17213646741635658</v>
      </c>
      <c r="AD286" s="4">
        <f t="shared" si="633"/>
        <v>0.16618514315741195</v>
      </c>
      <c r="AE286" s="4">
        <f t="shared" si="633"/>
        <v>0.12251391660158553</v>
      </c>
      <c r="AF286" s="215">
        <f t="shared" si="633"/>
        <v>0.1587123849858641</v>
      </c>
      <c r="AG286" s="4">
        <f t="shared" si="633"/>
        <v>0.15034968818614758</v>
      </c>
      <c r="AH286" s="4">
        <f t="shared" si="633"/>
        <v>0.16328253572723639</v>
      </c>
      <c r="AI286" s="4">
        <f t="shared" si="633"/>
        <v>0.19034519401499173</v>
      </c>
      <c r="AJ286" s="215">
        <f t="shared" si="633"/>
        <v>0.20835911312807265</v>
      </c>
      <c r="AK286" s="71">
        <f t="shared" ref="AK286:AZ286" ca="1" si="634">+AK117/SUM(AK$116:AK$117)</f>
        <v>0.22184812843754015</v>
      </c>
      <c r="AL286" s="71">
        <f t="shared" ca="1" si="634"/>
        <v>0.25612269938650306</v>
      </c>
      <c r="AM286" s="71">
        <f t="shared" ca="1" si="634"/>
        <v>0.22573518419647623</v>
      </c>
      <c r="AN286" s="241">
        <f t="shared" ca="1" si="634"/>
        <v>0.23348458149779736</v>
      </c>
      <c r="AO286" s="71">
        <f t="shared" ca="1" si="634"/>
        <v>0.18846536386468155</v>
      </c>
      <c r="AP286" s="71">
        <f t="shared" ca="1" si="634"/>
        <v>0.20845217960872536</v>
      </c>
      <c r="AQ286" s="71">
        <f t="shared" ca="1" si="634"/>
        <v>0.20508445183537102</v>
      </c>
      <c r="AR286" s="241">
        <f t="shared" ca="1" si="634"/>
        <v>0.19345032195376749</v>
      </c>
      <c r="AS286" s="71">
        <f t="shared" ca="1" si="634"/>
        <v>0.19103426873514467</v>
      </c>
      <c r="AT286" s="71">
        <f t="shared" ca="1" si="634"/>
        <v>0.19421582987698513</v>
      </c>
      <c r="AU286" s="71">
        <f t="shared" ca="1" si="634"/>
        <v>0.17741229849834719</v>
      </c>
      <c r="AV286" s="241">
        <f t="shared" ca="1" si="634"/>
        <v>0.17658508491803981</v>
      </c>
      <c r="AW286" s="71">
        <f t="shared" ca="1" si="634"/>
        <v>0.19575553979002006</v>
      </c>
      <c r="AX286" s="71">
        <f t="shared" ca="1" si="634"/>
        <v>0.2070643054148249</v>
      </c>
      <c r="AY286" s="71">
        <f t="shared" ca="1" si="634"/>
        <v>0.18121742983605207</v>
      </c>
      <c r="AZ286" s="71">
        <f t="shared" ca="1" si="634"/>
        <v>0.18891876470766303</v>
      </c>
    </row>
    <row r="287" spans="2:52">
      <c r="B287" s="3"/>
      <c r="F287" s="4"/>
      <c r="G287" s="4"/>
      <c r="H287" s="4"/>
      <c r="I287" s="4"/>
      <c r="J287" s="4"/>
      <c r="K287" s="4"/>
      <c r="L287" s="4"/>
      <c r="M287" s="4"/>
      <c r="N287" s="4"/>
      <c r="O287" s="58"/>
      <c r="P287" s="58"/>
      <c r="Q287" s="4"/>
      <c r="R287" s="4"/>
      <c r="S287" s="4"/>
      <c r="T287" s="215"/>
      <c r="U287" s="4"/>
      <c r="V287" s="4"/>
      <c r="W287" s="4"/>
      <c r="X287" s="215"/>
      <c r="Y287" s="4"/>
      <c r="Z287" s="4"/>
      <c r="AA287" s="4"/>
      <c r="AB287" s="215"/>
      <c r="AC287" s="4"/>
      <c r="AD287" s="4"/>
      <c r="AE287" s="4"/>
      <c r="AF287" s="215"/>
      <c r="AG287" s="4"/>
      <c r="AH287" s="4"/>
      <c r="AI287" s="4"/>
      <c r="AJ287" s="215"/>
      <c r="AK287" s="71"/>
      <c r="AL287" s="71"/>
      <c r="AM287" s="71"/>
      <c r="AN287" s="241"/>
      <c r="AO287" s="71"/>
      <c r="AP287" s="71"/>
      <c r="AQ287" s="71"/>
      <c r="AR287" s="241"/>
      <c r="AS287" s="71"/>
      <c r="AT287" s="71"/>
      <c r="AU287" s="71"/>
      <c r="AV287" s="241"/>
      <c r="AW287" s="71"/>
      <c r="AX287" s="71"/>
      <c r="AY287" s="71"/>
      <c r="AZ287" s="71"/>
    </row>
    <row r="288" spans="2:52">
      <c r="B288" s="11" t="s">
        <v>85</v>
      </c>
      <c r="F288" s="4"/>
      <c r="G288" s="4"/>
      <c r="H288" s="4"/>
      <c r="I288" s="4"/>
      <c r="J288" s="4"/>
      <c r="K288" s="4"/>
      <c r="L288" s="4"/>
      <c r="M288" s="4"/>
      <c r="N288" s="4"/>
      <c r="O288" s="58"/>
      <c r="P288" s="58"/>
      <c r="Q288" s="4"/>
      <c r="R288" s="4"/>
      <c r="S288" s="4"/>
      <c r="T288" s="215"/>
      <c r="U288" s="4"/>
      <c r="V288" s="4"/>
      <c r="W288" s="4"/>
      <c r="X288" s="215"/>
      <c r="Y288" s="4"/>
      <c r="Z288" s="4"/>
      <c r="AA288" s="4"/>
      <c r="AB288" s="215"/>
      <c r="AC288" s="4"/>
      <c r="AD288" s="4"/>
      <c r="AE288" s="4"/>
      <c r="AF288" s="215"/>
      <c r="AG288" s="4"/>
      <c r="AH288" s="4"/>
      <c r="AI288" s="4"/>
      <c r="AJ288" s="215"/>
      <c r="AK288" s="71"/>
      <c r="AL288" s="71"/>
      <c r="AM288" s="71"/>
      <c r="AN288" s="241"/>
      <c r="AO288" s="71"/>
      <c r="AP288" s="71"/>
      <c r="AQ288" s="71"/>
      <c r="AR288" s="241"/>
      <c r="AS288" s="71"/>
      <c r="AT288" s="71"/>
      <c r="AU288" s="71"/>
      <c r="AV288" s="241"/>
      <c r="AW288" s="71"/>
      <c r="AX288" s="71"/>
      <c r="AY288" s="71"/>
      <c r="AZ288" s="71"/>
    </row>
    <row r="289" spans="2:52">
      <c r="B289" s="3" t="s">
        <v>29</v>
      </c>
      <c r="F289" s="4">
        <f t="shared" ref="F289:M290" si="635">F280/F$82</f>
        <v>8.2560201445116208E-2</v>
      </c>
      <c r="G289" s="4">
        <f t="shared" si="635"/>
        <v>0.12561728483952064</v>
      </c>
      <c r="H289" s="4">
        <f t="shared" si="635"/>
        <v>0.16917769309087496</v>
      </c>
      <c r="I289" s="4">
        <f t="shared" si="635"/>
        <v>0.21849064823243755</v>
      </c>
      <c r="J289" s="4">
        <f t="shared" si="635"/>
        <v>0.17595119638498796</v>
      </c>
      <c r="K289" s="4">
        <f t="shared" ca="1" si="635"/>
        <v>0.11860726291832979</v>
      </c>
      <c r="L289" s="4">
        <f t="shared" ca="1" si="635"/>
        <v>0.13432969162050457</v>
      </c>
      <c r="M289" s="4">
        <f t="shared" ca="1" si="635"/>
        <v>0.13910193954874417</v>
      </c>
      <c r="N289" s="4">
        <f t="shared" ref="N289" ca="1" si="636">N280/N$82</f>
        <v>0.13008059384008727</v>
      </c>
      <c r="O289" s="58"/>
      <c r="P289" s="58"/>
      <c r="Q289" s="4">
        <f t="shared" ref="Q289:AV289" si="637">Q280/Q$82</f>
        <v>8.4237251587636813E-2</v>
      </c>
      <c r="R289" s="4">
        <f t="shared" si="637"/>
        <v>7.86981330705879E-2</v>
      </c>
      <c r="S289" s="4">
        <f t="shared" si="637"/>
        <v>7.2834233496301221E-2</v>
      </c>
      <c r="T289" s="215">
        <f t="shared" si="637"/>
        <v>9.4353754948822074E-2</v>
      </c>
      <c r="U289" s="4">
        <f t="shared" si="637"/>
        <v>0.10909543442632012</v>
      </c>
      <c r="V289" s="4">
        <f t="shared" si="637"/>
        <v>0.10758595138222533</v>
      </c>
      <c r="W289" s="4">
        <f t="shared" si="637"/>
        <v>0.11869638418391709</v>
      </c>
      <c r="X289" s="215">
        <f t="shared" si="637"/>
        <v>0.15675073635556683</v>
      </c>
      <c r="Y289" s="4">
        <f t="shared" si="637"/>
        <v>0.16953888274396856</v>
      </c>
      <c r="Z289" s="4">
        <f t="shared" si="637"/>
        <v>0.13428525648138767</v>
      </c>
      <c r="AA289" s="4">
        <f t="shared" si="637"/>
        <v>0.15770833793154254</v>
      </c>
      <c r="AB289" s="215">
        <f t="shared" si="637"/>
        <v>0.20973552288720707</v>
      </c>
      <c r="AC289" s="4">
        <f t="shared" si="637"/>
        <v>0.19237377065052494</v>
      </c>
      <c r="AD289" s="4">
        <f t="shared" si="637"/>
        <v>0.19567801789633429</v>
      </c>
      <c r="AE289" s="4">
        <f t="shared" si="637"/>
        <v>0.27216884492866028</v>
      </c>
      <c r="AF289" s="215">
        <f t="shared" si="637"/>
        <v>0.20371329830148402</v>
      </c>
      <c r="AG289" s="4">
        <f t="shared" si="637"/>
        <v>0.21191854188331496</v>
      </c>
      <c r="AH289" s="4">
        <f t="shared" si="637"/>
        <v>0.19216326333052405</v>
      </c>
      <c r="AI289" s="4">
        <f t="shared" si="637"/>
        <v>0.15951049030450681</v>
      </c>
      <c r="AJ289" s="215">
        <f t="shared" si="637"/>
        <v>0.14492685677905448</v>
      </c>
      <c r="AK289" s="4">
        <f t="shared" si="637"/>
        <v>0.12978076240979919</v>
      </c>
      <c r="AL289" s="4">
        <f t="shared" si="637"/>
        <v>0.10455763150330555</v>
      </c>
      <c r="AM289" s="4">
        <f t="shared" si="637"/>
        <v>0.12347890501937078</v>
      </c>
      <c r="AN289" s="215">
        <f t="shared" si="637"/>
        <v>0.11818577007980981</v>
      </c>
      <c r="AO289" s="4">
        <f t="shared" ca="1" si="637"/>
        <v>0.14598400224752403</v>
      </c>
      <c r="AP289" s="4">
        <f t="shared" ca="1" si="637"/>
        <v>0.12690630838056599</v>
      </c>
      <c r="AQ289" s="4">
        <f t="shared" ca="1" si="637"/>
        <v>0.12808150783021802</v>
      </c>
      <c r="AR289" s="215">
        <f t="shared" ca="1" si="637"/>
        <v>0.13847034992605214</v>
      </c>
      <c r="AS289" s="4">
        <f t="shared" ca="1" si="637"/>
        <v>0.13465469959864435</v>
      </c>
      <c r="AT289" s="4">
        <f t="shared" ca="1" si="637"/>
        <v>0.13026749658675921</v>
      </c>
      <c r="AU289" s="4">
        <f t="shared" ca="1" si="637"/>
        <v>0.14356121254438248</v>
      </c>
      <c r="AV289" s="215">
        <f t="shared" ca="1" si="637"/>
        <v>0.14648150915541708</v>
      </c>
      <c r="AW289" s="4">
        <f t="shared" ref="AW289:AZ289" ca="1" si="638">AW280/AW$82</f>
        <v>0.12864016618480664</v>
      </c>
      <c r="AX289" s="4">
        <f t="shared" ca="1" si="638"/>
        <v>0.1188997919624571</v>
      </c>
      <c r="AY289" s="4">
        <f t="shared" ca="1" si="638"/>
        <v>0.13833794210404768</v>
      </c>
      <c r="AZ289" s="4">
        <f t="shared" ca="1" si="638"/>
        <v>0.13328866365597813</v>
      </c>
    </row>
    <row r="290" spans="2:52">
      <c r="B290" s="3" t="s">
        <v>34</v>
      </c>
      <c r="F290" s="4">
        <f t="shared" si="635"/>
        <v>2.9577029991805798E-2</v>
      </c>
      <c r="G290" s="4">
        <f t="shared" si="635"/>
        <v>3.6339430309188063E-2</v>
      </c>
      <c r="H290" s="4">
        <f t="shared" si="635"/>
        <v>4.2476769395485038E-2</v>
      </c>
      <c r="I290" s="4">
        <f t="shared" si="635"/>
        <v>3.8754579592224836E-2</v>
      </c>
      <c r="J290" s="4">
        <f t="shared" si="635"/>
        <v>3.7666406177665895E-2</v>
      </c>
      <c r="K290" s="4">
        <f t="shared" ca="1" si="635"/>
        <v>3.6199310194673505E-2</v>
      </c>
      <c r="L290" s="4">
        <f t="shared" ca="1" si="635"/>
        <v>3.3361895089460906E-2</v>
      </c>
      <c r="M290" s="4">
        <f t="shared" ca="1" si="635"/>
        <v>3.1369909040566558E-2</v>
      </c>
      <c r="N290" s="4">
        <f t="shared" ref="N290" ca="1" si="639">N281/N$82</f>
        <v>3.0989474388352103E-2</v>
      </c>
      <c r="O290" s="58"/>
      <c r="P290" s="58"/>
      <c r="Q290" s="60">
        <v>2.8000000000000001E-2</v>
      </c>
      <c r="R290" s="60">
        <v>2.9000000000000001E-2</v>
      </c>
      <c r="S290" s="60">
        <v>0.03</v>
      </c>
      <c r="T290" s="215">
        <f>T281/T$82</f>
        <v>3.0718024871885439E-2</v>
      </c>
      <c r="U290" s="60">
        <v>3.3000000000000002E-2</v>
      </c>
      <c r="V290" s="60">
        <v>3.5000000000000003E-2</v>
      </c>
      <c r="W290" s="60">
        <v>3.6999999999999998E-2</v>
      </c>
      <c r="X290" s="215">
        <f>X281/X$82</f>
        <v>3.8879109259950195E-2</v>
      </c>
      <c r="Y290" s="60">
        <v>4.2000000000000003E-2</v>
      </c>
      <c r="Z290" s="60">
        <v>4.4999999999999998E-2</v>
      </c>
      <c r="AA290" s="60">
        <v>4.2000000000000003E-2</v>
      </c>
      <c r="AB290" s="215">
        <f>AB281/AB$82</f>
        <v>4.1105299707214729E-2</v>
      </c>
      <c r="AC290" s="60">
        <v>0.04</v>
      </c>
      <c r="AD290" s="60">
        <v>3.9E-2</v>
      </c>
      <c r="AE290" s="60">
        <v>3.7999999999999999E-2</v>
      </c>
      <c r="AF290" s="215">
        <f>AF281/AF$82</f>
        <v>3.843135551950571E-2</v>
      </c>
      <c r="AG290" s="60">
        <v>3.7499999999999999E-2</v>
      </c>
      <c r="AH290" s="60">
        <v>3.7499999999999999E-2</v>
      </c>
      <c r="AI290" s="60">
        <v>3.7499999999999999E-2</v>
      </c>
      <c r="AJ290" s="215">
        <f>AJ281/AJ$82</f>
        <v>3.8144608051059743E-2</v>
      </c>
      <c r="AK290" s="60">
        <v>3.6999999999999998E-2</v>
      </c>
      <c r="AL290" s="60">
        <v>3.5999999999999997E-2</v>
      </c>
      <c r="AM290" s="60">
        <v>3.5999999999999997E-2</v>
      </c>
      <c r="AN290" s="228">
        <v>3.5999999999999997E-2</v>
      </c>
      <c r="AO290" s="4">
        <f t="shared" ref="AO290:AV290" ca="1" si="640">AO281/AO$82</f>
        <v>3.3902346094584292E-2</v>
      </c>
      <c r="AP290" s="4">
        <f t="shared" ca="1" si="640"/>
        <v>3.342046545583241E-2</v>
      </c>
      <c r="AQ290" s="4">
        <f t="shared" ca="1" si="640"/>
        <v>3.3044423252579246E-2</v>
      </c>
      <c r="AR290" s="215">
        <f t="shared" ca="1" si="640"/>
        <v>3.3212007274163416E-2</v>
      </c>
      <c r="AS290" s="4">
        <f t="shared" ca="1" si="640"/>
        <v>3.1798209831901611E-2</v>
      </c>
      <c r="AT290" s="4">
        <f t="shared" ca="1" si="640"/>
        <v>3.1397998240313335E-2</v>
      </c>
      <c r="AU290" s="4">
        <f t="shared" ca="1" si="640"/>
        <v>3.096268598012521E-2</v>
      </c>
      <c r="AV290" s="215">
        <f t="shared" ca="1" si="640"/>
        <v>3.1413627879885178E-2</v>
      </c>
      <c r="AW290" s="4">
        <f t="shared" ref="AW290:AZ290" ca="1" si="641">AW281/AW$82</f>
        <v>3.1311406439293275E-2</v>
      </c>
      <c r="AX290" s="4">
        <f t="shared" ca="1" si="641"/>
        <v>3.1049053542170635E-2</v>
      </c>
      <c r="AY290" s="4">
        <f t="shared" ca="1" si="641"/>
        <v>3.0617708816010065E-2</v>
      </c>
      <c r="AZ290" s="4">
        <f t="shared" ca="1" si="641"/>
        <v>3.1045878750168242E-2</v>
      </c>
    </row>
    <row r="291" spans="2:52">
      <c r="B291" s="3"/>
      <c r="F291" s="38"/>
      <c r="G291" s="38"/>
      <c r="H291" s="38"/>
      <c r="I291" s="38"/>
      <c r="O291" s="58"/>
      <c r="P291" s="58"/>
      <c r="AM291" s="70"/>
      <c r="AN291" s="236"/>
      <c r="AO291" s="70"/>
      <c r="AP291" s="70"/>
    </row>
    <row r="292" spans="2:52">
      <c r="B292" s="1" t="s">
        <v>84</v>
      </c>
      <c r="F292" s="67">
        <f>2304.825</f>
        <v>2304.8249999999998</v>
      </c>
      <c r="G292" s="67">
        <f>4106.832</f>
        <v>4106.8320000000003</v>
      </c>
      <c r="H292" s="67">
        <f>6980.962</f>
        <v>6980.9620000000004</v>
      </c>
      <c r="I292" s="67">
        <f>10175.762</f>
        <v>10175.762000000001</v>
      </c>
      <c r="J292" s="67">
        <v>10150.753000000001</v>
      </c>
      <c r="K292" s="67">
        <v>12928</v>
      </c>
      <c r="L292" s="58">
        <f ca="1">SUM(OFFSET($P292,0,L$1,1,4))</f>
        <v>15826.972408045356</v>
      </c>
      <c r="M292" s="58">
        <f ca="1">SUM(OFFSET($P292,0,M$1,1,4))</f>
        <v>18966.027798242132</v>
      </c>
      <c r="N292" s="58">
        <f ca="1">SUM(OFFSET($P292,0,N$1,1,4))</f>
        <v>22041.169476145325</v>
      </c>
      <c r="O292" s="58"/>
      <c r="P292" s="58"/>
      <c r="Q292" s="67">
        <v>443.16199999999998</v>
      </c>
      <c r="R292" s="67">
        <v>545.54899999999998</v>
      </c>
      <c r="S292" s="67">
        <v>614.54100000000005</v>
      </c>
      <c r="T292" s="217">
        <v>701.57500000000005</v>
      </c>
      <c r="U292" s="67">
        <v>810.68200000000002</v>
      </c>
      <c r="V292" s="67">
        <v>941.76599999999996</v>
      </c>
      <c r="W292" s="67">
        <v>1090.549</v>
      </c>
      <c r="X292" s="217">
        <v>1263.835</v>
      </c>
      <c r="Y292" s="67">
        <v>1276.6500000000001</v>
      </c>
      <c r="Z292" s="67">
        <v>1737.2159999999999</v>
      </c>
      <c r="AA292" s="67">
        <v>1831.59</v>
      </c>
      <c r="AB292" s="217">
        <v>2135.5059999999999</v>
      </c>
      <c r="AC292" s="67">
        <v>2286.3330000000001</v>
      </c>
      <c r="AD292" s="67">
        <v>2712.681</v>
      </c>
      <c r="AE292" s="67">
        <v>2689.97</v>
      </c>
      <c r="AF292" s="217">
        <v>2486.7779999999998</v>
      </c>
      <c r="AG292" s="67">
        <v>2100.7069999999999</v>
      </c>
      <c r="AH292" s="67">
        <v>2464.9520000000002</v>
      </c>
      <c r="AI292" s="67">
        <v>2613.5729999999999</v>
      </c>
      <c r="AJ292" s="217">
        <v>2971.5210000000002</v>
      </c>
      <c r="AK292" s="67">
        <v>2834.8249999999998</v>
      </c>
      <c r="AL292" s="67">
        <v>3148</v>
      </c>
      <c r="AM292" s="67">
        <v>3242</v>
      </c>
      <c r="AN292" s="217">
        <v>3704</v>
      </c>
      <c r="AO292" s="58">
        <f t="shared" ref="AO292:AZ292" ca="1" si="642">+AO267+AO118</f>
        <v>3560.5218578074059</v>
      </c>
      <c r="AP292" s="58">
        <f t="shared" ca="1" si="642"/>
        <v>3731.8246002340929</v>
      </c>
      <c r="AQ292" s="58">
        <f t="shared" ca="1" si="642"/>
        <v>4127.0794097909202</v>
      </c>
      <c r="AR292" s="212">
        <f t="shared" ca="1" si="642"/>
        <v>4407.5465402129366</v>
      </c>
      <c r="AS292" s="58">
        <f t="shared" ca="1" si="642"/>
        <v>4374.8949836570664</v>
      </c>
      <c r="AT292" s="58">
        <f t="shared" ca="1" si="642"/>
        <v>4683.3441870196566</v>
      </c>
      <c r="AU292" s="58">
        <f t="shared" ca="1" si="642"/>
        <v>4871.5590973442086</v>
      </c>
      <c r="AV292" s="212">
        <f t="shared" ca="1" si="642"/>
        <v>5036.2295302212015</v>
      </c>
      <c r="AW292" s="58">
        <f t="shared" ca="1" si="642"/>
        <v>5132.6390245196781</v>
      </c>
      <c r="AX292" s="58">
        <f t="shared" ca="1" si="642"/>
        <v>5389.6691903801357</v>
      </c>
      <c r="AY292" s="58">
        <f t="shared" ca="1" si="642"/>
        <v>5579.1620213510578</v>
      </c>
      <c r="AZ292" s="58">
        <f t="shared" ca="1" si="642"/>
        <v>5939.6992398944531</v>
      </c>
    </row>
    <row r="294" spans="2:52">
      <c r="B294" s="57" t="s">
        <v>83</v>
      </c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225"/>
      <c r="U294" s="57"/>
      <c r="V294" s="57"/>
      <c r="W294" s="57"/>
      <c r="X294" s="225"/>
      <c r="Y294" s="57"/>
      <c r="Z294" s="57"/>
      <c r="AA294" s="57"/>
      <c r="AB294" s="225"/>
      <c r="AC294" s="57"/>
      <c r="AD294" s="57"/>
      <c r="AE294" s="57"/>
      <c r="AF294" s="225"/>
      <c r="AG294" s="57"/>
      <c r="AH294" s="57"/>
      <c r="AI294" s="57"/>
      <c r="AJ294" s="225"/>
      <c r="AK294" s="57"/>
      <c r="AL294" s="57"/>
      <c r="AM294" s="57"/>
      <c r="AN294" s="225"/>
      <c r="AO294" s="57"/>
      <c r="AP294" s="57"/>
      <c r="AQ294" s="57"/>
      <c r="AR294" s="225"/>
      <c r="AS294" s="57"/>
      <c r="AT294" s="57"/>
      <c r="AU294" s="57"/>
      <c r="AV294" s="225"/>
      <c r="AW294" s="57"/>
      <c r="AX294" s="57"/>
      <c r="AY294" s="57"/>
      <c r="AZ294" s="57"/>
    </row>
    <row r="295" spans="2:52">
      <c r="B295" s="68" t="s">
        <v>401</v>
      </c>
      <c r="G295" s="58"/>
      <c r="H295" s="58"/>
      <c r="I295" s="60"/>
      <c r="J295" s="60"/>
      <c r="K295" s="58"/>
      <c r="L295" s="58"/>
      <c r="M295" s="58"/>
      <c r="N295" s="58"/>
      <c r="Q295" s="58"/>
      <c r="R295" s="58"/>
      <c r="S295" s="58"/>
      <c r="T295" s="212"/>
      <c r="U295" s="58"/>
      <c r="V295" s="58"/>
      <c r="W295" s="58"/>
      <c r="X295" s="212"/>
      <c r="Y295" s="58"/>
      <c r="Z295" s="58"/>
      <c r="AA295" s="58"/>
      <c r="AB295" s="212"/>
      <c r="AC295" s="58"/>
      <c r="AD295" s="60"/>
      <c r="AE295" s="60"/>
      <c r="AF295" s="228"/>
      <c r="AG295" s="60"/>
      <c r="AH295" s="60"/>
      <c r="AI295" s="60"/>
      <c r="AJ295" s="228"/>
      <c r="AK295" s="60"/>
      <c r="AL295" s="60"/>
      <c r="AM295" s="60"/>
      <c r="AN295" s="212"/>
      <c r="AO295" s="58"/>
      <c r="AP295" s="58"/>
      <c r="AQ295" s="58"/>
      <c r="AR295" s="212"/>
      <c r="AS295" s="58"/>
      <c r="AT295" s="58"/>
      <c r="AU295" s="58"/>
      <c r="AV295" s="212"/>
      <c r="AW295" s="58"/>
      <c r="AX295" s="58"/>
      <c r="AY295" s="58"/>
      <c r="AZ295" s="58"/>
    </row>
    <row r="296" spans="2:52">
      <c r="B296" s="3" t="s">
        <v>82</v>
      </c>
      <c r="G296" s="58">
        <f>G301+G306+G316</f>
        <v>30598.882000000005</v>
      </c>
      <c r="H296" s="58">
        <f t="shared" ref="H296:N296" si="643">H301+H306+H316</f>
        <v>46178.765999999996</v>
      </c>
      <c r="I296" s="58">
        <f t="shared" si="643"/>
        <v>61063.145000000011</v>
      </c>
      <c r="J296" s="58">
        <f t="shared" si="643"/>
        <v>59311.957000000002</v>
      </c>
      <c r="K296" s="58">
        <f t="shared" ca="1" si="643"/>
        <v>67431.434999999998</v>
      </c>
      <c r="L296" s="58">
        <f t="shared" ca="1" si="643"/>
        <v>80204.121417156624</v>
      </c>
      <c r="M296" s="58">
        <f t="shared" ca="1" si="643"/>
        <v>96017.137769724592</v>
      </c>
      <c r="N296" s="58">
        <f t="shared" ca="1" si="643"/>
        <v>113195.27277975794</v>
      </c>
      <c r="Q296" s="58">
        <f t="shared" ref="Q296:T296" si="644">Q301+Q306+Q316</f>
        <v>4263.7269999999999</v>
      </c>
      <c r="R296" s="58">
        <f t="shared" si="644"/>
        <v>5456.232</v>
      </c>
      <c r="S296" s="58">
        <f t="shared" si="644"/>
        <v>6250.72</v>
      </c>
      <c r="T296" s="212">
        <f t="shared" si="644"/>
        <v>6335.3459999999995</v>
      </c>
      <c r="U296" s="58">
        <f t="shared" ref="U296:AZ296" ca="1" si="645">U301+U306+U316</f>
        <v>5813.3745507117928</v>
      </c>
      <c r="V296" s="58">
        <f t="shared" ca="1" si="645"/>
        <v>7316.7870228187703</v>
      </c>
      <c r="W296" s="58">
        <f t="shared" ca="1" si="645"/>
        <v>8531.6968099652076</v>
      </c>
      <c r="X296" s="212">
        <f t="shared" ca="1" si="645"/>
        <v>8937.0236165042279</v>
      </c>
      <c r="Y296" s="58">
        <f t="shared" ca="1" si="645"/>
        <v>9165.8669289591744</v>
      </c>
      <c r="Z296" s="58">
        <f t="shared" ca="1" si="645"/>
        <v>11470.726045637542</v>
      </c>
      <c r="AA296" s="58">
        <f t="shared" ca="1" si="645"/>
        <v>12763.831679432154</v>
      </c>
      <c r="AB296" s="212">
        <f t="shared" ca="1" si="645"/>
        <v>12778.342345971127</v>
      </c>
      <c r="AC296" s="58">
        <f t="shared" ca="1" si="645"/>
        <v>11928.937872126513</v>
      </c>
      <c r="AD296" s="58">
        <f t="shared" ca="1" si="645"/>
        <v>15544.527223020064</v>
      </c>
      <c r="AE296" s="58">
        <f t="shared" ca="1" si="645"/>
        <v>17001.400144148232</v>
      </c>
      <c r="AF296" s="212">
        <f t="shared" ca="1" si="645"/>
        <v>16588.279760705191</v>
      </c>
      <c r="AG296" s="58">
        <f t="shared" si="645"/>
        <v>13895.166999999999</v>
      </c>
      <c r="AH296" s="58">
        <f t="shared" ca="1" si="645"/>
        <v>15364.418000000001</v>
      </c>
      <c r="AI296" s="58">
        <f t="shared" ca="1" si="645"/>
        <v>14995.103000000003</v>
      </c>
      <c r="AJ296" s="212">
        <f t="shared" ca="1" si="645"/>
        <v>15057.269000000004</v>
      </c>
      <c r="AK296" s="58">
        <f t="shared" si="645"/>
        <v>13606.751</v>
      </c>
      <c r="AL296" s="58">
        <f t="shared" si="645"/>
        <v>16547.681000000004</v>
      </c>
      <c r="AM296" s="58">
        <f t="shared" si="645"/>
        <v>18538.417000000001</v>
      </c>
      <c r="AN296" s="212">
        <f t="shared" si="645"/>
        <v>18738.585999999999</v>
      </c>
      <c r="AO296" s="58">
        <f t="shared" ca="1" si="645"/>
        <v>16781.73613230159</v>
      </c>
      <c r="AP296" s="58">
        <f t="shared" ca="1" si="645"/>
        <v>20038.649231345647</v>
      </c>
      <c r="AQ296" s="58">
        <f t="shared" ca="1" si="645"/>
        <v>21651.279206531301</v>
      </c>
      <c r="AR296" s="212">
        <f t="shared" ca="1" si="645"/>
        <v>21732.456846978086</v>
      </c>
      <c r="AS296" s="58">
        <f t="shared" ca="1" si="645"/>
        <v>20858.504100407557</v>
      </c>
      <c r="AT296" s="58">
        <f t="shared" ca="1" si="645"/>
        <v>23993.699532680224</v>
      </c>
      <c r="AU296" s="58">
        <f t="shared" ca="1" si="645"/>
        <v>26139.151345016369</v>
      </c>
      <c r="AV296" s="212">
        <f t="shared" ca="1" si="645"/>
        <v>25025.782791620437</v>
      </c>
      <c r="AW296" s="58">
        <f t="shared" ca="1" si="645"/>
        <v>24717.290896368031</v>
      </c>
      <c r="AX296" s="58">
        <f t="shared" ca="1" si="645"/>
        <v>28005.468366236895</v>
      </c>
      <c r="AY296" s="58">
        <f t="shared" ca="1" si="645"/>
        <v>30415.668841980081</v>
      </c>
      <c r="AZ296" s="58">
        <f t="shared" ca="1" si="645"/>
        <v>30056.844675172943</v>
      </c>
    </row>
    <row r="297" spans="2:52">
      <c r="B297" s="3" t="s">
        <v>81</v>
      </c>
      <c r="G297" s="58">
        <f>G302+G307+G317</f>
        <v>12449.460000000001</v>
      </c>
      <c r="H297" s="58">
        <f t="shared" ref="H297:N297" si="646">H302+H307+H317</f>
        <v>14876.803000000002</v>
      </c>
      <c r="I297" s="58">
        <f t="shared" si="646"/>
        <v>15442.11</v>
      </c>
      <c r="J297" s="58">
        <f t="shared" ca="1" si="646"/>
        <v>14536.170000000002</v>
      </c>
      <c r="K297" s="58">
        <f t="shared" ca="1" si="646"/>
        <v>22654.041999999998</v>
      </c>
      <c r="L297" s="58">
        <f t="shared" ca="1" si="646"/>
        <v>27731.073979666042</v>
      </c>
      <c r="M297" s="58">
        <f t="shared" ca="1" si="646"/>
        <v>34709.126836087453</v>
      </c>
      <c r="N297" s="58">
        <f t="shared" ca="1" si="646"/>
        <v>42849.095185062564</v>
      </c>
      <c r="Q297" s="58"/>
      <c r="R297" s="58"/>
      <c r="S297" s="58"/>
      <c r="T297" s="212"/>
      <c r="U297" s="58">
        <f t="shared" ref="U297:AZ297" ca="1" si="647">U302+U307+U317</f>
        <v>2510.963869212801</v>
      </c>
      <c r="V297" s="58">
        <f t="shared" ca="1" si="647"/>
        <v>3161.4588297903874</v>
      </c>
      <c r="W297" s="58">
        <f t="shared" ca="1" si="647"/>
        <v>3664.1727333331969</v>
      </c>
      <c r="X297" s="212">
        <f t="shared" ca="1" si="647"/>
        <v>3112.8645676636156</v>
      </c>
      <c r="Y297" s="58">
        <f t="shared" ca="1" si="647"/>
        <v>2836.8005267137492</v>
      </c>
      <c r="Z297" s="58">
        <f t="shared" ca="1" si="647"/>
        <v>4052.3251269118737</v>
      </c>
      <c r="AA297" s="58">
        <f t="shared" ca="1" si="647"/>
        <v>4419.5418317692565</v>
      </c>
      <c r="AB297" s="212">
        <f t="shared" ca="1" si="647"/>
        <v>3568.1355146051196</v>
      </c>
      <c r="AC297" s="58">
        <f t="shared" ca="1" si="647"/>
        <v>3034.4221773125637</v>
      </c>
      <c r="AD297" s="58">
        <f t="shared" ca="1" si="647"/>
        <v>4379.3721615025252</v>
      </c>
      <c r="AE297" s="58">
        <f t="shared" ca="1" si="647"/>
        <v>3611.1796732208659</v>
      </c>
      <c r="AF297" s="212">
        <f t="shared" ca="1" si="647"/>
        <v>4417.135987964044</v>
      </c>
      <c r="AG297" s="58">
        <f t="shared" si="647"/>
        <v>3438.3759999999993</v>
      </c>
      <c r="AH297" s="58">
        <f t="shared" ca="1" si="647"/>
        <v>3771.8240000000028</v>
      </c>
      <c r="AI297" s="58">
        <f t="shared" ca="1" si="647"/>
        <v>3762.8140000000026</v>
      </c>
      <c r="AJ297" s="212">
        <f t="shared" ca="1" si="647"/>
        <v>3563.155999999999</v>
      </c>
      <c r="AK297" s="58">
        <f t="shared" ca="1" si="647"/>
        <v>3598.4429999999984</v>
      </c>
      <c r="AL297" s="58">
        <f t="shared" ca="1" si="647"/>
        <v>5945.3700000000008</v>
      </c>
      <c r="AM297" s="58">
        <f t="shared" ca="1" si="647"/>
        <v>6554.8</v>
      </c>
      <c r="AN297" s="212">
        <f t="shared" ca="1" si="647"/>
        <v>6555.4290000000001</v>
      </c>
      <c r="AO297" s="58">
        <f t="shared" ca="1" si="647"/>
        <v>4844.8798074501174</v>
      </c>
      <c r="AP297" s="58">
        <f t="shared" ca="1" si="647"/>
        <v>7395.0388511970677</v>
      </c>
      <c r="AQ297" s="58">
        <f t="shared" ca="1" si="647"/>
        <v>7818.3776381459465</v>
      </c>
      <c r="AR297" s="212">
        <f t="shared" ca="1" si="647"/>
        <v>7672.7776828729138</v>
      </c>
      <c r="AS297" s="58">
        <f t="shared" ca="1" si="647"/>
        <v>6955.307094706769</v>
      </c>
      <c r="AT297" s="58">
        <f t="shared" ca="1" si="647"/>
        <v>9161.7563382743137</v>
      </c>
      <c r="AU297" s="58">
        <f t="shared" ca="1" si="647"/>
        <v>9553.3894982145794</v>
      </c>
      <c r="AV297" s="212">
        <f t="shared" ca="1" si="647"/>
        <v>9038.673904891788</v>
      </c>
      <c r="AW297" s="58">
        <f t="shared" ca="1" si="647"/>
        <v>8611.3429606986138</v>
      </c>
      <c r="AX297" s="58">
        <f t="shared" ca="1" si="647"/>
        <v>11237.893070705159</v>
      </c>
      <c r="AY297" s="58">
        <f t="shared" ca="1" si="647"/>
        <v>11423.60190849163</v>
      </c>
      <c r="AZ297" s="58">
        <f t="shared" ca="1" si="647"/>
        <v>11576.257245167159</v>
      </c>
    </row>
    <row r="298" spans="2:52">
      <c r="B298" s="52" t="s">
        <v>80</v>
      </c>
      <c r="G298" s="4">
        <f t="shared" ref="G298" si="648">G297/G296</f>
        <v>0.40685996305355204</v>
      </c>
      <c r="H298" s="4">
        <f t="shared" ref="H298:N298" si="649">H297/H296</f>
        <v>0.32215678955128429</v>
      </c>
      <c r="I298" s="4">
        <f t="shared" si="649"/>
        <v>0.25288756417639474</v>
      </c>
      <c r="J298" s="4">
        <f t="shared" ca="1" si="649"/>
        <v>0.24507992545246823</v>
      </c>
      <c r="K298" s="4">
        <f t="shared" ca="1" si="649"/>
        <v>0.3359566943814854</v>
      </c>
      <c r="L298" s="4">
        <f t="shared" ca="1" si="649"/>
        <v>0.34575622162147435</v>
      </c>
      <c r="M298" s="4">
        <f t="shared" ca="1" si="649"/>
        <v>0.36148887211499109</v>
      </c>
      <c r="N298" s="4">
        <f t="shared" ca="1" si="649"/>
        <v>0.37854138368863954</v>
      </c>
      <c r="Q298" s="4"/>
      <c r="R298" s="4"/>
      <c r="S298" s="4"/>
      <c r="T298" s="215"/>
      <c r="U298" s="4">
        <f t="shared" ref="U298:AZ298" ca="1" si="650">U297/U296</f>
        <v>0.43192879579819216</v>
      </c>
      <c r="V298" s="4">
        <f t="shared" ca="1" si="650"/>
        <v>0.43208293748755922</v>
      </c>
      <c r="W298" s="4">
        <f t="shared" ca="1" si="650"/>
        <v>0.42947760743834257</v>
      </c>
      <c r="X298" s="215">
        <f t="shared" ca="1" si="650"/>
        <v>0.34831110459583098</v>
      </c>
      <c r="Y298" s="4">
        <f t="shared" ca="1" si="650"/>
        <v>0.30949615008603237</v>
      </c>
      <c r="Z298" s="4">
        <f t="shared" ca="1" si="650"/>
        <v>0.35327538211524306</v>
      </c>
      <c r="AA298" s="4">
        <f t="shared" ca="1" si="650"/>
        <v>0.34625510134946219</v>
      </c>
      <c r="AB298" s="215">
        <f t="shared" ca="1" si="650"/>
        <v>0.27923305057874853</v>
      </c>
      <c r="AC298" s="4">
        <f t="shared" ca="1" si="650"/>
        <v>0.25437488314889112</v>
      </c>
      <c r="AD298" s="4">
        <f t="shared" ca="1" si="650"/>
        <v>0.28173080458935179</v>
      </c>
      <c r="AE298" s="4">
        <f t="shared" ca="1" si="650"/>
        <v>0.21240483975455454</v>
      </c>
      <c r="AF298" s="215">
        <f t="shared" ca="1" si="650"/>
        <v>0.26628053370714705</v>
      </c>
      <c r="AG298" s="4">
        <f t="shared" si="650"/>
        <v>0.24745121811058474</v>
      </c>
      <c r="AH298" s="4">
        <f t="shared" ca="1" si="650"/>
        <v>0.24549084774965133</v>
      </c>
      <c r="AI298" s="4">
        <f t="shared" ca="1" si="650"/>
        <v>0.25093618896782516</v>
      </c>
      <c r="AJ298" s="215">
        <f t="shared" ca="1" si="650"/>
        <v>0.2366402566096148</v>
      </c>
      <c r="AK298" s="4">
        <f t="shared" ca="1" si="650"/>
        <v>0.26446011983316209</v>
      </c>
      <c r="AL298" s="4">
        <f t="shared" ca="1" si="650"/>
        <v>0.35928720163266376</v>
      </c>
      <c r="AM298" s="4">
        <f t="shared" ca="1" si="650"/>
        <v>0.35357927270704936</v>
      </c>
      <c r="AN298" s="215">
        <f t="shared" ca="1" si="650"/>
        <v>0.3498358414023342</v>
      </c>
      <c r="AO298" s="4">
        <f t="shared" ca="1" si="650"/>
        <v>0.28869955821344745</v>
      </c>
      <c r="AP298" s="4">
        <f t="shared" ca="1" si="650"/>
        <v>0.3690387892827281</v>
      </c>
      <c r="AQ298" s="4">
        <f t="shared" ca="1" si="650"/>
        <v>0.36110465176521594</v>
      </c>
      <c r="AR298" s="215">
        <f t="shared" ca="1" si="650"/>
        <v>0.35305615637008936</v>
      </c>
      <c r="AS298" s="4">
        <f t="shared" ca="1" si="650"/>
        <v>0.33345186506307845</v>
      </c>
      <c r="AT298" s="4">
        <f t="shared" ca="1" si="650"/>
        <v>0.38184008788622587</v>
      </c>
      <c r="AU298" s="4">
        <f t="shared" ca="1" si="650"/>
        <v>0.36548200712859052</v>
      </c>
      <c r="AV298" s="215">
        <f t="shared" ca="1" si="650"/>
        <v>0.36117447274889131</v>
      </c>
      <c r="AW298" s="4">
        <f t="shared" ca="1" si="650"/>
        <v>0.348393478751507</v>
      </c>
      <c r="AX298" s="4">
        <f t="shared" ca="1" si="650"/>
        <v>0.40127495543882591</v>
      </c>
      <c r="AY298" s="4">
        <f t="shared" ca="1" si="650"/>
        <v>0.37558279477072137</v>
      </c>
      <c r="AZ298" s="4">
        <f t="shared" ca="1" si="650"/>
        <v>0.38514545922144605</v>
      </c>
    </row>
    <row r="299" spans="2:52">
      <c r="B299" s="52" t="s">
        <v>63</v>
      </c>
      <c r="G299" s="60"/>
      <c r="H299" s="60"/>
      <c r="I299" s="60"/>
      <c r="J299" s="60"/>
      <c r="K299" s="58"/>
      <c r="L299" s="58"/>
      <c r="M299" s="58"/>
      <c r="N299" s="58"/>
      <c r="Q299" s="58"/>
      <c r="R299" s="4">
        <f t="shared" ref="R299" si="651">R296/Q296-1</f>
        <v>0.27968605869934926</v>
      </c>
      <c r="S299" s="4">
        <f t="shared" ref="S299" si="652">S296/R296-1</f>
        <v>0.14561111037800445</v>
      </c>
      <c r="T299" s="215">
        <f t="shared" ref="T299" si="653">T296/S296-1</f>
        <v>1.3538600353239172E-2</v>
      </c>
      <c r="U299" s="4">
        <f t="shared" ref="U299" ca="1" si="654">U296/T296-1</f>
        <v>-8.2390361834729586E-2</v>
      </c>
      <c r="V299" s="4">
        <f t="shared" ref="V299" ca="1" si="655">V296/U296-1</f>
        <v>0.25861269715072788</v>
      </c>
      <c r="W299" s="4">
        <f t="shared" ref="W299" ca="1" si="656">W296/V296-1</f>
        <v>0.16604416437946234</v>
      </c>
      <c r="X299" s="215">
        <f t="shared" ref="X299" ca="1" si="657">X296/W296-1</f>
        <v>4.7508346295849435E-2</v>
      </c>
      <c r="Y299" s="4">
        <f t="shared" ref="Y299" ca="1" si="658">Y296/X296-1</f>
        <v>2.56062110020987E-2</v>
      </c>
      <c r="Z299" s="4">
        <f t="shared" ref="Z299" ca="1" si="659">Z296/Y296-1</f>
        <v>0.25146111486697031</v>
      </c>
      <c r="AA299" s="4">
        <f t="shared" ref="AA299" ca="1" si="660">AA296/Z296-1</f>
        <v>0.11273093164720782</v>
      </c>
      <c r="AB299" s="215">
        <f t="shared" ref="AB299" ca="1" si="661">AB296/AA296-1</f>
        <v>1.1368581867430283E-3</v>
      </c>
      <c r="AC299" s="4">
        <f t="shared" ref="AC299" ca="1" si="662">AC296/AB296-1</f>
        <v>-6.647219575490726E-2</v>
      </c>
      <c r="AD299" s="4">
        <f t="shared" ref="AD299" ca="1" si="663">AD296/AC296-1</f>
        <v>0.30309398788485931</v>
      </c>
      <c r="AE299" s="4">
        <f t="shared" ref="AE299" ca="1" si="664">AE296/AD296-1</f>
        <v>9.3722562302870793E-2</v>
      </c>
      <c r="AF299" s="215">
        <f t="shared" ref="AF299" ca="1" si="665">AF296/AE296-1</f>
        <v>-2.4299197709621301E-2</v>
      </c>
      <c r="AG299" s="4">
        <f t="shared" ref="AG299" ca="1" si="666">AG296/AF296-1</f>
        <v>-0.16235033406445898</v>
      </c>
      <c r="AH299" s="4">
        <f t="shared" ref="AH299" ca="1" si="667">AH296/AG296-1</f>
        <v>0.10573827576163719</v>
      </c>
      <c r="AI299" s="4">
        <f t="shared" ref="AI299" ca="1" si="668">AI296/AH296-1</f>
        <v>-2.4037031536111475E-2</v>
      </c>
      <c r="AJ299" s="215">
        <f t="shared" ref="AJ299" ca="1" si="669">AJ296/AI296-1</f>
        <v>4.1457534503097637E-3</v>
      </c>
      <c r="AK299" s="4">
        <f t="shared" ref="AK299" ca="1" si="670">AK296/AJ296-1</f>
        <v>-9.6333405480104162E-2</v>
      </c>
      <c r="AL299" s="4">
        <f t="shared" ref="AL299" si="671">AL296/AK296-1</f>
        <v>0.21613756289065655</v>
      </c>
      <c r="AM299" s="4">
        <f t="shared" ref="AM299" si="672">AM296/AL296-1</f>
        <v>0.12030302010293759</v>
      </c>
      <c r="AN299" s="215">
        <f t="shared" ref="AN299" si="673">AN296/AM296-1</f>
        <v>1.0797523866250103E-2</v>
      </c>
      <c r="AO299" s="4">
        <f t="shared" ref="AO299" ca="1" si="674">AO296/AN296-1</f>
        <v>-0.10442889702021318</v>
      </c>
      <c r="AP299" s="4">
        <f t="shared" ref="AP299" ca="1" si="675">AP296/AO296-1</f>
        <v>0.19407486051309863</v>
      </c>
      <c r="AQ299" s="4">
        <f t="shared" ref="AQ299" ca="1" si="676">AQ296/AP296-1</f>
        <v>8.0475982016945613E-2</v>
      </c>
      <c r="AR299" s="215">
        <f t="shared" ref="AR299" ca="1" si="677">AR296/AQ296-1</f>
        <v>3.7493230618124151E-3</v>
      </c>
      <c r="AS299" s="4">
        <f t="shared" ref="AS299" ca="1" si="678">AS296/AR296-1</f>
        <v>-4.0214171491248285E-2</v>
      </c>
      <c r="AT299" s="4">
        <f t="shared" ref="AT299" ca="1" si="679">AT296/AS296-1</f>
        <v>0.15030777936810003</v>
      </c>
      <c r="AU299" s="4">
        <f t="shared" ref="AU299" ca="1" si="680">AU296/AT296-1</f>
        <v>8.9417299296174368E-2</v>
      </c>
      <c r="AV299" s="215">
        <f t="shared" ref="AV299" ca="1" si="681">AV296/AU296-1</f>
        <v>-4.2593905926796793E-2</v>
      </c>
      <c r="AW299" s="4">
        <f t="shared" ref="AW299" ca="1" si="682">AW296/AV296-1</f>
        <v>-1.2326962869497193E-2</v>
      </c>
      <c r="AX299" s="4">
        <f t="shared" ref="AX299" ca="1" si="683">AX296/AW296-1</f>
        <v>0.13303146706713043</v>
      </c>
      <c r="AY299" s="4">
        <f t="shared" ref="AY299" ca="1" si="684">AY296/AX296-1</f>
        <v>8.6061780657412656E-2</v>
      </c>
      <c r="AZ299" s="4">
        <f t="shared" ref="AZ299" ca="1" si="685">AZ296/AY296-1</f>
        <v>-1.1797345922963443E-2</v>
      </c>
    </row>
    <row r="300" spans="2:52">
      <c r="B300" s="68" t="s">
        <v>18</v>
      </c>
      <c r="G300" s="58"/>
      <c r="H300" s="58"/>
      <c r="I300" s="60"/>
      <c r="J300" s="60"/>
      <c r="K300" s="58"/>
      <c r="L300" s="58"/>
      <c r="M300" s="58"/>
      <c r="N300" s="58"/>
      <c r="Q300" s="58"/>
      <c r="R300" s="58"/>
      <c r="S300" s="58"/>
      <c r="T300" s="212"/>
      <c r="U300" s="58"/>
      <c r="V300" s="58"/>
      <c r="W300" s="58"/>
      <c r="X300" s="212"/>
      <c r="Y300" s="58"/>
      <c r="Z300" s="58"/>
      <c r="AA300" s="58"/>
      <c r="AB300" s="212"/>
      <c r="AC300" s="58"/>
      <c r="AD300" s="60"/>
      <c r="AE300" s="60"/>
      <c r="AF300" s="228"/>
      <c r="AG300" s="60"/>
      <c r="AH300" s="60"/>
      <c r="AI300" s="60"/>
      <c r="AJ300" s="228"/>
      <c r="AK300" s="60"/>
      <c r="AL300" s="60"/>
      <c r="AM300" s="60"/>
      <c r="AN300" s="212"/>
      <c r="AO300" s="58"/>
      <c r="AP300" s="58"/>
      <c r="AQ300" s="58"/>
      <c r="AR300" s="212"/>
      <c r="AS300" s="58"/>
      <c r="AT300" s="58"/>
      <c r="AU300" s="58"/>
      <c r="AV300" s="212"/>
      <c r="AW300" s="58"/>
      <c r="AX300" s="58"/>
      <c r="AY300" s="58"/>
      <c r="AZ300" s="58"/>
    </row>
    <row r="301" spans="2:52">
      <c r="B301" s="3" t="s">
        <v>82</v>
      </c>
      <c r="G301" s="67">
        <v>29590.276000000002</v>
      </c>
      <c r="H301" s="67">
        <v>43727.459000000003</v>
      </c>
      <c r="I301" s="67">
        <v>55667.478000000003</v>
      </c>
      <c r="J301" s="67">
        <v>55375.031000000003</v>
      </c>
      <c r="K301" s="58">
        <f t="shared" ref="K301:N302" ca="1" si="686">SUM(OFFSET($P301,0,K$1,1,4))</f>
        <v>62162.542084177418</v>
      </c>
      <c r="L301" s="58">
        <f t="shared" ca="1" si="686"/>
        <v>74669.932567470314</v>
      </c>
      <c r="M301" s="58">
        <f t="shared" ca="1" si="686"/>
        <v>89734.394000721906</v>
      </c>
      <c r="N301" s="58">
        <f t="shared" ca="1" si="686"/>
        <v>103931.64327677251</v>
      </c>
      <c r="Q301" s="58">
        <f>Q80-Q361-Q353</f>
        <v>4172.9569999999994</v>
      </c>
      <c r="R301" s="58">
        <f>R80-R361-R353</f>
        <v>5350.3850000000002</v>
      </c>
      <c r="S301" s="58">
        <f>S80-S361-S353</f>
        <v>6101.9009999999998</v>
      </c>
      <c r="T301" s="212">
        <f>T80-T361-T353</f>
        <v>6151.4960000000001</v>
      </c>
      <c r="U301" s="58">
        <f t="shared" ref="U301:AF301" si="687">U80-U361-U353-U362</f>
        <v>5623.2785507117924</v>
      </c>
      <c r="V301" s="58">
        <f t="shared" si="687"/>
        <v>7114.7081028187704</v>
      </c>
      <c r="W301" s="58">
        <f t="shared" si="687"/>
        <v>8245.0122299652066</v>
      </c>
      <c r="X301" s="212">
        <f t="shared" si="687"/>
        <v>8607.2771165042286</v>
      </c>
      <c r="Y301" s="58">
        <f t="shared" si="687"/>
        <v>8653.5691289591741</v>
      </c>
      <c r="Z301" s="58">
        <f t="shared" si="687"/>
        <v>10862.541085637542</v>
      </c>
      <c r="AA301" s="58">
        <f t="shared" si="687"/>
        <v>12130.891639432159</v>
      </c>
      <c r="AB301" s="212">
        <f t="shared" si="687"/>
        <v>12080.457145971128</v>
      </c>
      <c r="AC301" s="58">
        <f t="shared" si="687"/>
        <v>11311.389820992161</v>
      </c>
      <c r="AD301" s="58">
        <f t="shared" si="687"/>
        <v>14678.845938174265</v>
      </c>
      <c r="AE301" s="58">
        <f t="shared" si="687"/>
        <v>15529.358430817852</v>
      </c>
      <c r="AF301" s="212">
        <f t="shared" si="687"/>
        <v>14792.726410015723</v>
      </c>
      <c r="AG301" s="67">
        <v>13246.699000000001</v>
      </c>
      <c r="AH301" s="58">
        <f ca="1">AH338-AH306-AH311-AH316</f>
        <v>14513.594369405577</v>
      </c>
      <c r="AI301" s="58">
        <f ca="1">AI338-AI306-AI311-AI316</f>
        <v>13909.846759044915</v>
      </c>
      <c r="AJ301" s="229">
        <f ca="1">J301-SUM(AG301:AI301)</f>
        <v>13704.890871549513</v>
      </c>
      <c r="AK301" s="67">
        <v>12420.545</v>
      </c>
      <c r="AL301" s="58">
        <f>AL338-AL306-AL311-AL316</f>
        <v>15157.260316498114</v>
      </c>
      <c r="AM301" s="58">
        <f>AM338-AM306-AM311-AM316</f>
        <v>17002.254001718098</v>
      </c>
      <c r="AN301" s="212">
        <f>AN338-AN306-AN311-AN316</f>
        <v>17582.482765961206</v>
      </c>
      <c r="AO301" s="58">
        <f t="shared" ref="AO301:AZ301" ca="1" si="688">AO85</f>
        <v>15429.569767841891</v>
      </c>
      <c r="AP301" s="58">
        <f t="shared" ca="1" si="688"/>
        <v>18649.224389548417</v>
      </c>
      <c r="AQ301" s="58">
        <f t="shared" ca="1" si="688"/>
        <v>20195.156454298623</v>
      </c>
      <c r="AR301" s="212">
        <f t="shared" ca="1" si="688"/>
        <v>20395.981955781386</v>
      </c>
      <c r="AS301" s="58">
        <f t="shared" ca="1" si="688"/>
        <v>19331.850244958681</v>
      </c>
      <c r="AT301" s="58">
        <f t="shared" ca="1" si="688"/>
        <v>22427.272851256563</v>
      </c>
      <c r="AU301" s="58">
        <f t="shared" ca="1" si="688"/>
        <v>24529.04541659739</v>
      </c>
      <c r="AV301" s="212">
        <f t="shared" ca="1" si="688"/>
        <v>23446.225487909262</v>
      </c>
      <c r="AW301" s="58">
        <f t="shared" ca="1" si="688"/>
        <v>22732.986137669712</v>
      </c>
      <c r="AX301" s="58">
        <f t="shared" ca="1" si="688"/>
        <v>25835.296257834423</v>
      </c>
      <c r="AY301" s="58">
        <f t="shared" ca="1" si="688"/>
        <v>28057.466611633678</v>
      </c>
      <c r="AZ301" s="58">
        <f t="shared" ca="1" si="688"/>
        <v>27305.894269634693</v>
      </c>
    </row>
    <row r="302" spans="2:52">
      <c r="B302" s="3" t="s">
        <v>81</v>
      </c>
      <c r="G302" s="67">
        <v>14178.852000000001</v>
      </c>
      <c r="H302" s="67">
        <v>20547.793000000001</v>
      </c>
      <c r="I302" s="67">
        <v>28117.837</v>
      </c>
      <c r="J302" s="67">
        <f>+J301-28222.224</f>
        <v>27152.807000000004</v>
      </c>
      <c r="K302" s="58">
        <f t="shared" ca="1" si="686"/>
        <v>29988.89228009076</v>
      </c>
      <c r="L302" s="58">
        <f t="shared" ca="1" si="686"/>
        <v>34103.331725652606</v>
      </c>
      <c r="M302" s="58">
        <f t="shared" ca="1" si="686"/>
        <v>43170.885692271971</v>
      </c>
      <c r="N302" s="58">
        <f t="shared" ca="1" si="686"/>
        <v>50986.755860049096</v>
      </c>
      <c r="Q302" s="58"/>
      <c r="R302" s="58"/>
      <c r="S302" s="58"/>
      <c r="T302" s="212"/>
      <c r="U302" s="58">
        <f ca="1">G302-SUM(V302:X302)</f>
        <v>2591.3990149249257</v>
      </c>
      <c r="V302" s="58">
        <f ca="1">V301*V303</f>
        <v>3484.0398791940675</v>
      </c>
      <c r="W302" s="58">
        <f ca="1">W301*W303</f>
        <v>4222.1889462577701</v>
      </c>
      <c r="X302" s="212">
        <f ca="1">X301*X303</f>
        <v>3881.2241596232375</v>
      </c>
      <c r="Y302" s="58">
        <f ca="1">H302-SUM(Z302:AB302)</f>
        <v>3644.7634045996638</v>
      </c>
      <c r="Z302" s="58">
        <f ca="1">Z301*Z303</f>
        <v>5351.0362571345977</v>
      </c>
      <c r="AA302" s="58">
        <f ca="1">AA301*AA303</f>
        <v>6072.644190830134</v>
      </c>
      <c r="AB302" s="212">
        <f ca="1">AB301*AB303</f>
        <v>5479.3491474356033</v>
      </c>
      <c r="AC302" s="58">
        <f>I302-SUM(AD302:AF302)</f>
        <v>5007.9564081743192</v>
      </c>
      <c r="AD302" s="58">
        <f>AD301*AD303</f>
        <v>7643.8423934604789</v>
      </c>
      <c r="AE302" s="58">
        <f>AE301*AE303</f>
        <v>8050.6163776835374</v>
      </c>
      <c r="AF302" s="212">
        <f>AF301*AF303</f>
        <v>7415.421820681664</v>
      </c>
      <c r="AG302" s="59">
        <f>AG301-6491.54</f>
        <v>6755.1590000000006</v>
      </c>
      <c r="AH302" s="58">
        <f ca="1">AH301*AH303</f>
        <v>7052.1160667895056</v>
      </c>
      <c r="AI302" s="58">
        <f ca="1">AI301*AI303</f>
        <v>6599.8425124567229</v>
      </c>
      <c r="AJ302" s="229">
        <f ca="1">J302-SUM(AG302:AI302)</f>
        <v>6745.6894207537771</v>
      </c>
      <c r="AK302" s="59">
        <f>AK301-6982.333</f>
        <v>5438.2120000000004</v>
      </c>
      <c r="AL302" s="58">
        <f t="shared" ref="AL302:AV302" ca="1" si="689">AL301*AL303</f>
        <v>7785.786379229944</v>
      </c>
      <c r="AM302" s="58">
        <f t="shared" si="689"/>
        <v>8501.1270008590491</v>
      </c>
      <c r="AN302" s="212">
        <f t="shared" si="689"/>
        <v>8263.7669000017668</v>
      </c>
      <c r="AO302" s="58">
        <f t="shared" ca="1" si="689"/>
        <v>6557.5671513328034</v>
      </c>
      <c r="AP302" s="58">
        <f t="shared" ca="1" si="689"/>
        <v>8671.8893411400149</v>
      </c>
      <c r="AQ302" s="58">
        <f t="shared" ca="1" si="689"/>
        <v>9491.7235335203532</v>
      </c>
      <c r="AR302" s="212">
        <f t="shared" ca="1" si="689"/>
        <v>9382.1516996594382</v>
      </c>
      <c r="AS302" s="58">
        <f t="shared" ca="1" si="689"/>
        <v>8791.1588988949607</v>
      </c>
      <c r="AT302" s="58">
        <f t="shared" ca="1" si="689"/>
        <v>10950.115969626018</v>
      </c>
      <c r="AU302" s="58">
        <f t="shared" ca="1" si="689"/>
        <v>12105.083913090812</v>
      </c>
      <c r="AV302" s="212">
        <f t="shared" ca="1" si="689"/>
        <v>11324.526910660174</v>
      </c>
      <c r="AW302" s="58">
        <f t="shared" ref="AW302:AZ302" ca="1" si="690">AW301*AW303</f>
        <v>10544.581955027408</v>
      </c>
      <c r="AX302" s="58">
        <f t="shared" ca="1" si="690"/>
        <v>12866.365065845413</v>
      </c>
      <c r="AY302" s="58">
        <f t="shared" ca="1" si="690"/>
        <v>14123.286968298044</v>
      </c>
      <c r="AZ302" s="58">
        <f t="shared" ca="1" si="690"/>
        <v>13452.521870878229</v>
      </c>
    </row>
    <row r="303" spans="2:52">
      <c r="B303" s="52" t="s">
        <v>80</v>
      </c>
      <c r="G303" s="4">
        <f t="shared" ref="G303:M303" si="691">G302/G301</f>
        <v>0.4791726849725903</v>
      </c>
      <c r="H303" s="4">
        <f t="shared" si="691"/>
        <v>0.46990594628423299</v>
      </c>
      <c r="I303" s="4">
        <f t="shared" si="691"/>
        <v>0.50510348250373405</v>
      </c>
      <c r="J303" s="4">
        <f t="shared" si="691"/>
        <v>0.49034386996550849</v>
      </c>
      <c r="K303" s="4">
        <f t="shared" ca="1" si="691"/>
        <v>0.48242705775258188</v>
      </c>
      <c r="L303" s="4">
        <f t="shared" ca="1" si="691"/>
        <v>0.45672107303481885</v>
      </c>
      <c r="M303" s="4">
        <f t="shared" ca="1" si="691"/>
        <v>0.48109630842243906</v>
      </c>
      <c r="N303" s="4">
        <f t="shared" ref="N303" ca="1" si="692">N302/N301</f>
        <v>0.4905797142480478</v>
      </c>
      <c r="Q303" s="58"/>
      <c r="R303" s="58"/>
      <c r="S303" s="58"/>
      <c r="T303" s="212"/>
      <c r="U303" s="4">
        <f ca="1">U302/U301</f>
        <v>0.46083418979785512</v>
      </c>
      <c r="V303" s="69">
        <f ca="1">V329</f>
        <v>0.48969540687322488</v>
      </c>
      <c r="W303" s="69">
        <f ca="1">W329</f>
        <v>0.5120900768240082</v>
      </c>
      <c r="X303" s="242">
        <f ca="1">X329</f>
        <v>0.45092357398149663</v>
      </c>
      <c r="Y303" s="4">
        <f ca="1">Y302/Y301</f>
        <v>0.42118614299878426</v>
      </c>
      <c r="Z303" s="69">
        <f ca="1">Z329</f>
        <v>0.49261367252361793</v>
      </c>
      <c r="AA303" s="69">
        <f ca="1">AA329</f>
        <v>0.50059339175783713</v>
      </c>
      <c r="AB303" s="242">
        <f ca="1">AB329</f>
        <v>0.45357134098712348</v>
      </c>
      <c r="AC303" s="4">
        <f>AC302/AC301</f>
        <v>0.442735728095971</v>
      </c>
      <c r="AD303" s="69">
        <f>AD329</f>
        <v>0.52073864836892003</v>
      </c>
      <c r="AE303" s="69">
        <f>AE329</f>
        <v>0.51841268353412284</v>
      </c>
      <c r="AF303" s="242">
        <f>AF329</f>
        <v>0.50128837748671529</v>
      </c>
      <c r="AG303" s="4">
        <f>AG302/AG301</f>
        <v>0.50995036574772323</v>
      </c>
      <c r="AH303" s="69">
        <f>AH329</f>
        <v>0.48589728273343868</v>
      </c>
      <c r="AI303" s="69">
        <f ca="1">AI329</f>
        <v>0.47447269741955694</v>
      </c>
      <c r="AJ303" s="215">
        <f ca="1">AJ302/AJ301</f>
        <v>0.49221037102582132</v>
      </c>
      <c r="AK303" s="4">
        <f>AK302/AK301</f>
        <v>0.4378400464713908</v>
      </c>
      <c r="AL303" s="69">
        <f ca="1">AL329</f>
        <v>0.51366712827089245</v>
      </c>
      <c r="AM303" s="69">
        <f>AM329</f>
        <v>0.5</v>
      </c>
      <c r="AN303" s="242">
        <f>AN329</f>
        <v>0.47</v>
      </c>
      <c r="AO303" s="234">
        <f>CHOOSE(Case,Scenario!AN22,Scenario!AN10,Scenario!AN34)</f>
        <v>0.42499999999999999</v>
      </c>
      <c r="AP303" s="66">
        <f>CHOOSE(Case,Scenario!AO22,Scenario!AO10,Scenario!AO34)</f>
        <v>0.46500000000000002</v>
      </c>
      <c r="AQ303" s="66">
        <f>CHOOSE(Case,Scenario!AP22,Scenario!AP10,Scenario!AP34)</f>
        <v>0.47</v>
      </c>
      <c r="AR303" s="246">
        <f>CHOOSE(Case,Scenario!AQ22,Scenario!AQ10,Scenario!AQ34)</f>
        <v>0.46</v>
      </c>
      <c r="AS303" s="234">
        <f>CHOOSE(Case,Scenario!AR22,Scenario!AR10,Scenario!AR34)</f>
        <v>0.45474999999999999</v>
      </c>
      <c r="AT303" s="66">
        <f>CHOOSE(Case,Scenario!AS22,Scenario!AS10,Scenario!AS34)</f>
        <v>0.48825000000000007</v>
      </c>
      <c r="AU303" s="66">
        <f>CHOOSE(Case,Scenario!AT22,Scenario!AT10,Scenario!AT34)</f>
        <v>0.49349999999999999</v>
      </c>
      <c r="AV303" s="246">
        <f>CHOOSE(Case,Scenario!AU22,Scenario!AU10,Scenario!AU34)</f>
        <v>0.48300000000000004</v>
      </c>
      <c r="AW303" s="234">
        <f>CHOOSE(Case,Scenario!AV22,Scenario!AV10,Scenario!AV34)</f>
        <v>0.46384500000000001</v>
      </c>
      <c r="AX303" s="66">
        <f>CHOOSE(Case,Scenario!AW22,Scenario!AW10,Scenario!AW34)</f>
        <v>0.4980150000000001</v>
      </c>
      <c r="AY303" s="66">
        <f>CHOOSE(Case,Scenario!AX22,Scenario!AX10,Scenario!AX34)</f>
        <v>0.50336999999999998</v>
      </c>
      <c r="AZ303" s="66">
        <f>CHOOSE(Case,Scenario!AY22,Scenario!AY10,Scenario!AY34)</f>
        <v>0.49266000000000004</v>
      </c>
    </row>
    <row r="304" spans="2:52">
      <c r="B304" s="52" t="s">
        <v>63</v>
      </c>
      <c r="G304" s="60"/>
      <c r="H304" s="60"/>
      <c r="I304" s="60"/>
      <c r="J304" s="60"/>
      <c r="K304" s="58"/>
      <c r="L304" s="58"/>
      <c r="M304" s="58"/>
      <c r="N304" s="58"/>
      <c r="Q304" s="58"/>
      <c r="R304" s="4">
        <f t="shared" ref="R304:AG304" si="693">R301/Q301-1</f>
        <v>0.28215675359223713</v>
      </c>
      <c r="S304" s="4">
        <f t="shared" si="693"/>
        <v>0.14046017249225984</v>
      </c>
      <c r="T304" s="215">
        <f t="shared" si="693"/>
        <v>8.1277949281708395E-3</v>
      </c>
      <c r="U304" s="4">
        <f t="shared" si="693"/>
        <v>-8.5868128547626044E-2</v>
      </c>
      <c r="V304" s="4">
        <f t="shared" si="693"/>
        <v>0.26522419948736009</v>
      </c>
      <c r="W304" s="4">
        <f t="shared" si="693"/>
        <v>0.15886865782991455</v>
      </c>
      <c r="X304" s="215">
        <f t="shared" si="693"/>
        <v>4.3937458967304721E-2</v>
      </c>
      <c r="Y304" s="4">
        <f t="shared" si="693"/>
        <v>5.3782412054774742E-3</v>
      </c>
      <c r="Z304" s="4">
        <f t="shared" si="693"/>
        <v>0.25526715321266025</v>
      </c>
      <c r="AA304" s="4">
        <f t="shared" si="693"/>
        <v>0.11676370600536834</v>
      </c>
      <c r="AB304" s="215">
        <f t="shared" si="693"/>
        <v>-4.1575256757788726E-3</v>
      </c>
      <c r="AC304" s="4">
        <f t="shared" si="693"/>
        <v>-6.3662104478840353E-2</v>
      </c>
      <c r="AD304" s="4">
        <f t="shared" si="693"/>
        <v>0.29770489484259799</v>
      </c>
      <c r="AE304" s="4">
        <f t="shared" si="693"/>
        <v>5.7941373335877788E-2</v>
      </c>
      <c r="AF304" s="215">
        <f t="shared" si="693"/>
        <v>-4.7434800612257799E-2</v>
      </c>
      <c r="AG304" s="4">
        <f t="shared" si="693"/>
        <v>-0.10451267515966167</v>
      </c>
      <c r="AH304" s="60">
        <v>0.115</v>
      </c>
      <c r="AI304" s="60">
        <v>-5.5E-2</v>
      </c>
      <c r="AJ304" s="228">
        <f ca="1">AJ301/AI301-1</f>
        <v>-1.4734589894897954E-2</v>
      </c>
      <c r="AK304" s="60">
        <f ca="1">AK301/AJ301-1</f>
        <v>-9.371441798312552E-2</v>
      </c>
      <c r="AL304" s="4">
        <f t="shared" ref="AL304:AV304" si="694">AL301/AK301-1</f>
        <v>0.22033778038710161</v>
      </c>
      <c r="AM304" s="4">
        <f t="shared" ref="AM304" si="695">AM301/AL301-1</f>
        <v>0.12172342802688285</v>
      </c>
      <c r="AN304" s="215">
        <f t="shared" ref="AN304" si="696">AN301/AM301-1</f>
        <v>3.412657899267213E-2</v>
      </c>
      <c r="AO304" s="4">
        <f t="shared" ca="1" si="694"/>
        <v>-0.12244647282050769</v>
      </c>
      <c r="AP304" s="4">
        <f t="shared" ca="1" si="694"/>
        <v>0.20866781576871229</v>
      </c>
      <c r="AQ304" s="4">
        <f t="shared" ca="1" si="694"/>
        <v>8.2895247140497341E-2</v>
      </c>
      <c r="AR304" s="215">
        <f t="shared" ca="1" si="694"/>
        <v>9.9442409340688709E-3</v>
      </c>
      <c r="AS304" s="4">
        <f t="shared" ca="1" si="694"/>
        <v>-5.2173595423341212E-2</v>
      </c>
      <c r="AT304" s="4">
        <f t="shared" ca="1" si="694"/>
        <v>0.16012034890996008</v>
      </c>
      <c r="AU304" s="4">
        <f t="shared" ca="1" si="694"/>
        <v>9.3715030769916829E-2</v>
      </c>
      <c r="AV304" s="215">
        <f t="shared" ca="1" si="694"/>
        <v>-4.4144397398989121E-2</v>
      </c>
      <c r="AW304" s="4">
        <f t="shared" ref="AW304" ca="1" si="697">AW301/AV301-1</f>
        <v>-3.0420220542848209E-2</v>
      </c>
      <c r="AX304" s="4">
        <f t="shared" ref="AX304" ca="1" si="698">AX301/AW301-1</f>
        <v>0.13646733875511519</v>
      </c>
      <c r="AY304" s="4">
        <f t="shared" ref="AY304" ca="1" si="699">AY301/AX301-1</f>
        <v>8.6012961942536048E-2</v>
      </c>
      <c r="AZ304" s="4">
        <f t="shared" ref="AZ304" ca="1" si="700">AZ301/AY301-1</f>
        <v>-2.6786892501811099E-2</v>
      </c>
    </row>
    <row r="305" spans="2:52">
      <c r="B305" s="68" t="s">
        <v>601</v>
      </c>
      <c r="G305" s="60"/>
      <c r="H305" s="60"/>
      <c r="I305" s="60"/>
      <c r="J305" s="60"/>
      <c r="K305" s="58"/>
      <c r="L305" s="58"/>
      <c r="M305" s="58"/>
      <c r="N305" s="58"/>
      <c r="Q305" s="58"/>
      <c r="R305" s="58"/>
      <c r="S305" s="58"/>
      <c r="T305" s="212"/>
      <c r="U305" s="58"/>
      <c r="V305" s="58"/>
      <c r="W305" s="58"/>
      <c r="X305" s="212"/>
      <c r="Y305" s="58"/>
      <c r="Z305" s="58"/>
      <c r="AA305" s="58"/>
      <c r="AB305" s="212"/>
      <c r="AC305" s="58"/>
      <c r="AD305" s="58"/>
      <c r="AE305" s="60"/>
      <c r="AF305" s="228"/>
      <c r="AG305" s="60"/>
      <c r="AH305" s="60"/>
      <c r="AI305" s="60"/>
      <c r="AJ305" s="228"/>
      <c r="AK305" s="60"/>
      <c r="AL305" s="60"/>
      <c r="AM305" s="60"/>
      <c r="AO305" s="58"/>
      <c r="AP305" s="58"/>
      <c r="AQ305" s="58"/>
      <c r="AR305" s="212"/>
      <c r="AS305" s="58"/>
      <c r="AT305" s="58"/>
      <c r="AU305" s="58"/>
      <c r="AV305" s="212"/>
      <c r="AW305" s="58"/>
      <c r="AX305" s="58"/>
      <c r="AY305" s="58"/>
      <c r="AZ305" s="58"/>
    </row>
    <row r="306" spans="2:52">
      <c r="B306" s="3" t="s">
        <v>82</v>
      </c>
      <c r="G306" s="67">
        <v>1319.1869999999999</v>
      </c>
      <c r="H306" s="67">
        <v>3822.4560000000001</v>
      </c>
      <c r="I306" s="67">
        <v>7005.9409999999998</v>
      </c>
      <c r="J306" s="67">
        <v>4894.4859999999999</v>
      </c>
      <c r="K306" s="58">
        <f t="shared" ref="K306:N307" ca="1" si="701">SUM(OFFSET($P306,0,K$1,1,4))</f>
        <v>6122.3167896783161</v>
      </c>
      <c r="L306" s="58">
        <f t="shared" ca="1" si="701"/>
        <v>6539.2762734472126</v>
      </c>
      <c r="M306" s="58">
        <f t="shared" ca="1" si="701"/>
        <v>7479.0389689758922</v>
      </c>
      <c r="N306" s="58">
        <f t="shared" ca="1" si="701"/>
        <v>10639.281458237821</v>
      </c>
      <c r="Q306" s="58">
        <f>Q89-Q301</f>
        <v>90.770000000000437</v>
      </c>
      <c r="R306" s="58">
        <f>R89-R301</f>
        <v>105.84699999999975</v>
      </c>
      <c r="S306" s="58">
        <f>S89-S301</f>
        <v>148.81900000000041</v>
      </c>
      <c r="T306" s="212">
        <f>T89-T301</f>
        <v>183.84999999999945</v>
      </c>
      <c r="U306" s="58">
        <f t="shared" ref="U306:AF306" ca="1" si="702">U82-U301-U311-U316</f>
        <v>249.10219772103477</v>
      </c>
      <c r="V306" s="58">
        <f t="shared" ca="1" si="702"/>
        <v>276.34486966228076</v>
      </c>
      <c r="W306" s="58">
        <f t="shared" ca="1" si="702"/>
        <v>373.28195721580227</v>
      </c>
      <c r="X306" s="212">
        <f t="shared" ca="1" si="702"/>
        <v>420.45797540088074</v>
      </c>
      <c r="Y306" s="58">
        <f t="shared" ca="1" si="702"/>
        <v>605.33205258030762</v>
      </c>
      <c r="Z306" s="58">
        <f t="shared" ca="1" si="702"/>
        <v>724.61370945496924</v>
      </c>
      <c r="AA306" s="58">
        <f t="shared" ca="1" si="702"/>
        <v>762.49391085154309</v>
      </c>
      <c r="AB306" s="212">
        <f t="shared" ca="1" si="702"/>
        <v>827.58635523024714</v>
      </c>
      <c r="AC306" s="58">
        <f t="shared" ca="1" si="702"/>
        <v>738.62768578449663</v>
      </c>
      <c r="AD306" s="58">
        <f t="shared" ca="1" si="702"/>
        <v>1023.4594288136989</v>
      </c>
      <c r="AE306" s="58">
        <f t="shared" ca="1" si="702"/>
        <v>1644.607229226342</v>
      </c>
      <c r="AF306" s="212">
        <f t="shared" ca="1" si="702"/>
        <v>1963.9256629968097</v>
      </c>
      <c r="AG306" s="67">
        <v>900.06200000000001</v>
      </c>
      <c r="AH306" s="58">
        <f>AG306*(1+AH309)</f>
        <v>1089.07502</v>
      </c>
      <c r="AI306" s="58">
        <f>AH306*(1+AI309)</f>
        <v>1317.7807742</v>
      </c>
      <c r="AJ306" s="229">
        <f>J306-SUM(AG306:AI306)</f>
        <v>1587.5682057999998</v>
      </c>
      <c r="AK306" s="67">
        <v>1362.0060000000001</v>
      </c>
      <c r="AL306" s="58">
        <f>AK306*(1+AL309)</f>
        <v>1601.4906312786081</v>
      </c>
      <c r="AM306" s="58">
        <f>AL306*(1+AM309)</f>
        <v>1769.6471475628618</v>
      </c>
      <c r="AN306" s="212">
        <f>AM306*(1+AN309)</f>
        <v>1389.1730108368465</v>
      </c>
      <c r="AO306" s="58">
        <f t="shared" ref="AO306:AZ306" si="703">AO86</f>
        <v>1562.8196371914523</v>
      </c>
      <c r="AP306" s="58">
        <f t="shared" si="703"/>
        <v>1640.9606190510251</v>
      </c>
      <c r="AQ306" s="58">
        <f t="shared" si="703"/>
        <v>1727.2301809729086</v>
      </c>
      <c r="AR306" s="212">
        <f t="shared" si="703"/>
        <v>1608.2658362318257</v>
      </c>
      <c r="AS306" s="58">
        <f t="shared" si="703"/>
        <v>1787.1364437515058</v>
      </c>
      <c r="AT306" s="58">
        <f t="shared" si="703"/>
        <v>1865.8157616978358</v>
      </c>
      <c r="AU306" s="58">
        <f t="shared" si="703"/>
        <v>1935.9777126214726</v>
      </c>
      <c r="AV306" s="212">
        <f t="shared" si="703"/>
        <v>1890.1090509050769</v>
      </c>
      <c r="AW306" s="58">
        <f t="shared" si="703"/>
        <v>2287.7840410770004</v>
      </c>
      <c r="AX306" s="58">
        <f t="shared" si="703"/>
        <v>2512.6645782663281</v>
      </c>
      <c r="AY306" s="58">
        <f t="shared" si="703"/>
        <v>2728.6870537520549</v>
      </c>
      <c r="AZ306" s="58">
        <f t="shared" si="703"/>
        <v>3110.1457851424379</v>
      </c>
    </row>
    <row r="307" spans="2:52">
      <c r="B307" s="3" t="s">
        <v>81</v>
      </c>
      <c r="G307" s="67">
        <v>-1522.279</v>
      </c>
      <c r="H307" s="67">
        <v>-5973.9780000000001</v>
      </c>
      <c r="I307" s="67">
        <v>-13145.445</v>
      </c>
      <c r="J307" s="67">
        <f>+J306-17280.521</f>
        <v>-12386.035</v>
      </c>
      <c r="K307" s="58">
        <f t="shared" ca="1" si="701"/>
        <v>-6768.8281219406845</v>
      </c>
      <c r="L307" s="58">
        <f t="shared" ca="1" si="701"/>
        <v>-5507.4576990322757</v>
      </c>
      <c r="M307" s="58">
        <f t="shared" ca="1" si="701"/>
        <v>-7325.2784162099751</v>
      </c>
      <c r="N307" s="58">
        <f t="shared" ca="1" si="701"/>
        <v>-6830.7913174967707</v>
      </c>
      <c r="Q307" s="58"/>
      <c r="R307" s="58"/>
      <c r="S307" s="58"/>
      <c r="T307" s="212"/>
      <c r="U307" s="58">
        <f ca="1">G307-SUM(V307:X307)</f>
        <v>-39.607254859593922</v>
      </c>
      <c r="V307" s="58">
        <f ca="1">(V321-V312-V317)-(V322+V332+V333+V331)*(V338-V311-V316-V306)</f>
        <v>-271.18310009985908</v>
      </c>
      <c r="W307" s="58">
        <f ca="1">(W321-W312-W317)-(W322+W332+W333+W331)*(W338-W311-W316-W306)</f>
        <v>-498.30954882682499</v>
      </c>
      <c r="X307" s="212">
        <f ca="1">(X321-X312-X317)-(X322+X332+X333+X331)*(X338-X311-X316-X306)</f>
        <v>-713.179096213722</v>
      </c>
      <c r="Y307" s="58">
        <f ca="1">H307-SUM(Z307:AB307)</f>
        <v>-647.58868451204489</v>
      </c>
      <c r="Z307" s="58">
        <f ca="1">(Z321-Z312-Z317)-(Z322+Z332+Z333+Z331)*(Z338-Z311-Z316-Z306)</f>
        <v>-1439.0543726637652</v>
      </c>
      <c r="AA307" s="58">
        <f ca="1">(AA321-AA312-AA317)-(AA322+AA332+AA333+AA331)*(AA338-AA311-AA316-AA306)</f>
        <v>-1810.1761305203572</v>
      </c>
      <c r="AB307" s="212">
        <f ca="1">(AB321-AB312-AB317)-(AB322+AB332+AB333+AB331)*(AB338-AB311-AB316-AB306)</f>
        <v>-2077.1588123038323</v>
      </c>
      <c r="AC307" s="58">
        <f ca="1">I307-SUM(AD307:AF307)</f>
        <v>-1874.7196005496917</v>
      </c>
      <c r="AD307" s="58">
        <f ca="1">(AD321-AD312-AD317)-(AD322+AD332+AD333+AD331)*(AD338-AD311-AD316-AD306)</f>
        <v>-3439.7283782270833</v>
      </c>
      <c r="AE307" s="58">
        <f ca="1">(AE321-AE312-AE317)-(AE322+AE332+AE333+AE331)*(AE338-AE311-AE316-AE306)</f>
        <v>-4643.0837641512971</v>
      </c>
      <c r="AF307" s="212">
        <f ca="1">(AF321-AF312-AF317)-(AF322+AF332+AF333+AF331)*(AF338-AF311-AF316-AF306)</f>
        <v>-3187.9132570719285</v>
      </c>
      <c r="AG307" s="59">
        <f>AG306-4268.822</f>
        <v>-3368.76</v>
      </c>
      <c r="AH307" s="58">
        <f ca="1">(AH321-AH312-AH317)-(AH322+AH332+AH333+AH331)*(AH338-AH311-AH316-AH306)</f>
        <v>-3433.8994319981516</v>
      </c>
      <c r="AI307" s="58">
        <f ca="1">(AI321-AI312-AI317)-(AI322+AI332+AI333+AI331)*(AI338-AI311-AI316-AI306)</f>
        <v>-2633.4612935721052</v>
      </c>
      <c r="AJ307" s="229">
        <f ca="1">J307-SUM(AG307:AI307)</f>
        <v>-2949.9142744297424</v>
      </c>
      <c r="AK307" s="59">
        <f>AK306-3114.395</f>
        <v>-1752.3889999999999</v>
      </c>
      <c r="AL307" s="58">
        <f ca="1">(AL321-AL312-AL317)-(AL322+AL332+AL333+AL331)*(AL338-AL311-AL316-AL306)</f>
        <v>-1691.1795486448864</v>
      </c>
      <c r="AM307" s="58">
        <f ca="1">(AM321-AM312-AM317)-(AM322+AM332+AM333+AM331)*(AM338-AM311-AM316-AM306)</f>
        <v>-1781.5522952737338</v>
      </c>
      <c r="AN307" s="212">
        <f ca="1">(AN321-AN312-AN317)-(AN322+AN332+AN333+AN331)*(AN338-AN311-AN316-AN306)</f>
        <v>-1543.7072780220642</v>
      </c>
      <c r="AO307" s="58">
        <f t="shared" ref="AO307:AV307" ca="1" si="704">+AO321-AO302-AO312-AO317</f>
        <v>-1563.8907912436998</v>
      </c>
      <c r="AP307" s="58">
        <f t="shared" ca="1" si="704"/>
        <v>-1063.0450792772217</v>
      </c>
      <c r="AQ307" s="58">
        <f t="shared" ca="1" si="704"/>
        <v>-1429.3492095081981</v>
      </c>
      <c r="AR307" s="212">
        <f t="shared" ca="1" si="704"/>
        <v>-1451.1726190031561</v>
      </c>
      <c r="AS307" s="58">
        <f t="shared" ca="1" si="704"/>
        <v>-1588.3933453006916</v>
      </c>
      <c r="AT307" s="58">
        <f t="shared" ca="1" si="704"/>
        <v>-1503.9400050912391</v>
      </c>
      <c r="AU307" s="58">
        <f t="shared" ca="1" si="704"/>
        <v>-2242.1162198838633</v>
      </c>
      <c r="AV307" s="212">
        <f t="shared" ca="1" si="704"/>
        <v>-1990.8288459341809</v>
      </c>
      <c r="AW307" s="58">
        <f t="shared" ref="AW307:AZ307" ca="1" si="705">+AW321-AW302-AW312-AW317</f>
        <v>-1644.933676069046</v>
      </c>
      <c r="AX307" s="58">
        <f t="shared" ca="1" si="705"/>
        <v>-1303.1041487695888</v>
      </c>
      <c r="AY307" s="58">
        <f t="shared" ca="1" si="705"/>
        <v>-2347.7244775710465</v>
      </c>
      <c r="AZ307" s="58">
        <f t="shared" ca="1" si="705"/>
        <v>-1535.0290150870899</v>
      </c>
    </row>
    <row r="308" spans="2:52">
      <c r="B308" s="52" t="s">
        <v>80</v>
      </c>
      <c r="G308" s="4">
        <f t="shared" ref="G308:M308" si="706">G307/G306</f>
        <v>-1.1539523964381093</v>
      </c>
      <c r="H308" s="4">
        <f t="shared" si="706"/>
        <v>-1.5628637713553799</v>
      </c>
      <c r="I308" s="4">
        <f t="shared" si="706"/>
        <v>-1.8763282476972045</v>
      </c>
      <c r="J308" s="4">
        <f t="shared" si="706"/>
        <v>-2.530609955774723</v>
      </c>
      <c r="K308" s="4">
        <f t="shared" ca="1" si="706"/>
        <v>-1.1055991309290512</v>
      </c>
      <c r="L308" s="4">
        <f t="shared" ca="1" si="706"/>
        <v>-0.84221211472519597</v>
      </c>
      <c r="M308" s="4">
        <f t="shared" ca="1" si="706"/>
        <v>-0.97944113496349761</v>
      </c>
      <c r="N308" s="4">
        <f t="shared" ref="N308" ca="1" si="707">N307/N306</f>
        <v>-0.64203502316482108</v>
      </c>
      <c r="Q308" s="58"/>
      <c r="R308" s="58"/>
      <c r="S308" s="58"/>
      <c r="T308" s="212"/>
      <c r="U308" s="4">
        <f t="shared" ref="U308:AV308" ca="1" si="708">U307/U306</f>
        <v>-0.1590000217659637</v>
      </c>
      <c r="V308" s="4">
        <f t="shared" ca="1" si="708"/>
        <v>-0.98132127595229157</v>
      </c>
      <c r="W308" s="4">
        <f t="shared" ca="1" si="708"/>
        <v>-1.3349414275031291</v>
      </c>
      <c r="X308" s="215">
        <f t="shared" ca="1" si="708"/>
        <v>-1.6961959052715072</v>
      </c>
      <c r="Y308" s="4">
        <f t="shared" ca="1" si="708"/>
        <v>-1.0698073590380897</v>
      </c>
      <c r="Z308" s="4">
        <f t="shared" ca="1" si="708"/>
        <v>-1.9859607317479198</v>
      </c>
      <c r="AA308" s="4">
        <f t="shared" ca="1" si="708"/>
        <v>-2.3740204410272292</v>
      </c>
      <c r="AB308" s="215">
        <f t="shared" ca="1" si="708"/>
        <v>-2.5098997816680231</v>
      </c>
      <c r="AC308" s="4">
        <f t="shared" ca="1" si="708"/>
        <v>-2.5381117396900059</v>
      </c>
      <c r="AD308" s="4">
        <f t="shared" ca="1" si="708"/>
        <v>-3.3608839602114018</v>
      </c>
      <c r="AE308" s="4">
        <f t="shared" ca="1" si="708"/>
        <v>-2.8232174112085726</v>
      </c>
      <c r="AF308" s="215">
        <f t="shared" ca="1" si="708"/>
        <v>-1.6232351952707831</v>
      </c>
      <c r="AG308" s="4">
        <f t="shared" si="708"/>
        <v>-3.7428088287251327</v>
      </c>
      <c r="AH308" s="4">
        <f t="shared" ca="1" si="708"/>
        <v>-3.1530421402908972</v>
      </c>
      <c r="AI308" s="4">
        <f t="shared" ca="1" si="708"/>
        <v>-1.9984062183414615</v>
      </c>
      <c r="AJ308" s="215">
        <f t="shared" ca="1" si="708"/>
        <v>-1.8581338827853608</v>
      </c>
      <c r="AK308" s="4">
        <f t="shared" si="708"/>
        <v>-1.286623553787575</v>
      </c>
      <c r="AL308" s="4">
        <f t="shared" ca="1" si="708"/>
        <v>-1.0560033980933574</v>
      </c>
      <c r="AM308" s="4">
        <f t="shared" ca="1" si="708"/>
        <v>-1.0067274132740347</v>
      </c>
      <c r="AN308" s="215">
        <f t="shared" ca="1" si="708"/>
        <v>-1.1112419158590803</v>
      </c>
      <c r="AO308" s="4">
        <f t="shared" ca="1" si="708"/>
        <v>-1.0006853983829973</v>
      </c>
      <c r="AP308" s="4">
        <f t="shared" ca="1" si="708"/>
        <v>-0.64781876355569423</v>
      </c>
      <c r="AQ308" s="4">
        <f t="shared" ca="1" si="708"/>
        <v>-0.82753834738058996</v>
      </c>
      <c r="AR308" s="215">
        <f t="shared" ca="1" si="708"/>
        <v>-0.90232136150032283</v>
      </c>
      <c r="AS308" s="4">
        <f t="shared" ca="1" si="708"/>
        <v>-0.8887924315204393</v>
      </c>
      <c r="AT308" s="4">
        <f t="shared" ca="1" si="708"/>
        <v>-0.8060495767935304</v>
      </c>
      <c r="AU308" s="4">
        <f t="shared" ca="1" si="708"/>
        <v>-1.1581312146656142</v>
      </c>
      <c r="AV308" s="215">
        <f t="shared" ca="1" si="708"/>
        <v>-1.0532878221925208</v>
      </c>
      <c r="AW308" s="4">
        <f t="shared" ref="AW308:AZ308" ca="1" si="709">AW307/AW306</f>
        <v>-0.71900740914980532</v>
      </c>
      <c r="AX308" s="4">
        <f t="shared" ca="1" si="709"/>
        <v>-0.51861444621020447</v>
      </c>
      <c r="AY308" s="4">
        <f t="shared" ca="1" si="709"/>
        <v>-0.86038612392096425</v>
      </c>
      <c r="AZ308" s="4">
        <f t="shared" ca="1" si="709"/>
        <v>-0.49355532541918734</v>
      </c>
    </row>
    <row r="309" spans="2:52">
      <c r="B309" s="52" t="s">
        <v>63</v>
      </c>
      <c r="G309" s="60"/>
      <c r="H309" s="60"/>
      <c r="I309" s="60"/>
      <c r="J309" s="60"/>
      <c r="K309" s="58"/>
      <c r="L309" s="58"/>
      <c r="M309" s="58"/>
      <c r="N309" s="58"/>
      <c r="Q309" s="58"/>
      <c r="R309" s="4">
        <f t="shared" ref="R309:AG309" si="710">R306/Q306-1</f>
        <v>0.16610113473613808</v>
      </c>
      <c r="S309" s="4">
        <f t="shared" si="710"/>
        <v>0.40598221961889114</v>
      </c>
      <c r="T309" s="215">
        <f t="shared" si="710"/>
        <v>0.23539333015272867</v>
      </c>
      <c r="U309" s="4">
        <f t="shared" ca="1" si="710"/>
        <v>0.354920847000465</v>
      </c>
      <c r="V309" s="4">
        <f t="shared" ca="1" si="710"/>
        <v>0.10936343472872356</v>
      </c>
      <c r="W309" s="4">
        <f t="shared" ca="1" si="710"/>
        <v>0.35078301859552408</v>
      </c>
      <c r="X309" s="215">
        <f t="shared" ca="1" si="710"/>
        <v>0.12638172639510947</v>
      </c>
      <c r="Y309" s="4">
        <f t="shared" ca="1" si="710"/>
        <v>0.4396969209661461</v>
      </c>
      <c r="Z309" s="4">
        <f t="shared" ca="1" si="710"/>
        <v>0.19705161219566647</v>
      </c>
      <c r="AA309" s="4">
        <f t="shared" ca="1" si="710"/>
        <v>5.2276407280599235E-2</v>
      </c>
      <c r="AB309" s="215">
        <f t="shared" ca="1" si="710"/>
        <v>8.5367821896452423E-2</v>
      </c>
      <c r="AC309" s="4">
        <f t="shared" ca="1" si="710"/>
        <v>-0.10749170631383942</v>
      </c>
      <c r="AD309" s="4">
        <f t="shared" ca="1" si="710"/>
        <v>0.38562289027479713</v>
      </c>
      <c r="AE309" s="4">
        <f t="shared" ca="1" si="710"/>
        <v>0.60691003758949313</v>
      </c>
      <c r="AF309" s="215">
        <f t="shared" ca="1" si="710"/>
        <v>0.19416090851107448</v>
      </c>
      <c r="AG309" s="4">
        <f t="shared" ca="1" si="710"/>
        <v>-0.54170261280329224</v>
      </c>
      <c r="AH309" s="60">
        <v>0.21</v>
      </c>
      <c r="AI309" s="60">
        <v>0.21</v>
      </c>
      <c r="AJ309" s="228">
        <f>AJ306/AI306-1</f>
        <v>0.20472861410789878</v>
      </c>
      <c r="AK309" s="60">
        <f>AK306/AJ306-1</f>
        <v>-0.14208032447105823</v>
      </c>
      <c r="AL309" s="60">
        <v>0.17583228802120388</v>
      </c>
      <c r="AM309" s="60">
        <v>0.105</v>
      </c>
      <c r="AN309" s="228">
        <v>-0.215</v>
      </c>
      <c r="AO309" s="4">
        <f t="shared" ref="AO309:AV309" si="711">AO306/AN306-1</f>
        <v>0.125</v>
      </c>
      <c r="AP309" s="4">
        <f t="shared" si="711"/>
        <v>5.0000000000000044E-2</v>
      </c>
      <c r="AQ309" s="4">
        <f t="shared" si="711"/>
        <v>5.2572597367859686E-2</v>
      </c>
      <c r="AR309" s="215">
        <f t="shared" si="711"/>
        <v>-6.8875790876971044E-2</v>
      </c>
      <c r="AS309" s="4">
        <f t="shared" si="711"/>
        <v>0.11121955306765385</v>
      </c>
      <c r="AT309" s="4">
        <f t="shared" si="711"/>
        <v>4.4025355882267414E-2</v>
      </c>
      <c r="AU309" s="4">
        <f t="shared" si="711"/>
        <v>3.7603900858781181E-2</v>
      </c>
      <c r="AV309" s="215">
        <f t="shared" si="711"/>
        <v>-2.3692763308873932E-2</v>
      </c>
      <c r="AW309" s="4">
        <f t="shared" ref="AW309" si="712">AW306/AV306-1</f>
        <v>0.21039790798393199</v>
      </c>
      <c r="AX309" s="4">
        <f t="shared" ref="AX309" si="713">AX306/AW306-1</f>
        <v>9.8296226021168831E-2</v>
      </c>
      <c r="AY309" s="4">
        <f t="shared" ref="AY309" si="714">AY306/AX306-1</f>
        <v>8.597346313321963E-2</v>
      </c>
      <c r="AZ309" s="4">
        <f t="shared" ref="AZ309" si="715">AZ306/AY306-1</f>
        <v>0.13979570536161767</v>
      </c>
    </row>
    <row r="310" spans="2:52">
      <c r="B310" s="68" t="s">
        <v>3</v>
      </c>
      <c r="G310" s="60"/>
      <c r="H310" s="60"/>
      <c r="I310" s="60"/>
      <c r="J310" s="60"/>
      <c r="K310" s="58"/>
      <c r="L310" s="58"/>
      <c r="M310" s="58"/>
      <c r="N310" s="58"/>
      <c r="Q310" s="58"/>
      <c r="R310" s="58"/>
      <c r="S310" s="58"/>
      <c r="T310" s="212"/>
      <c r="U310" s="58"/>
      <c r="V310" s="58"/>
      <c r="W310" s="58"/>
      <c r="X310" s="212"/>
      <c r="Y310" s="58"/>
      <c r="Z310" s="58"/>
      <c r="AA310" s="58"/>
      <c r="AB310" s="212"/>
      <c r="AC310" s="60"/>
      <c r="AD310" s="60"/>
      <c r="AE310" s="60"/>
      <c r="AF310" s="212"/>
      <c r="AG310" s="60"/>
      <c r="AH310" s="60"/>
      <c r="AI310" s="60"/>
      <c r="AJ310" s="228"/>
      <c r="AK310" s="60"/>
      <c r="AL310" s="60"/>
      <c r="AM310" s="60"/>
      <c r="AO310" s="58"/>
      <c r="AP310" s="58"/>
      <c r="AQ310" s="58"/>
      <c r="AR310" s="212"/>
      <c r="AS310" s="58"/>
      <c r="AT310" s="58"/>
      <c r="AU310" s="58"/>
      <c r="AV310" s="212"/>
      <c r="AW310" s="58"/>
      <c r="AX310" s="58"/>
      <c r="AY310" s="58"/>
      <c r="AZ310" s="58"/>
    </row>
    <row r="311" spans="2:52">
      <c r="B311" s="3" t="s">
        <v>82</v>
      </c>
      <c r="G311" s="67">
        <v>1345.0419999999999</v>
      </c>
      <c r="H311" s="67">
        <v>2873.5520000000001</v>
      </c>
      <c r="I311" s="67">
        <v>5318.5839999999998</v>
      </c>
      <c r="J311" s="67">
        <v>11237.406999999999</v>
      </c>
      <c r="K311" s="67">
        <v>17378.349999999999</v>
      </c>
      <c r="L311" s="58">
        <f t="shared" ref="L311:N312" ca="1" si="716">SUM(OFFSET($P311,0,L$1,1,4))</f>
        <v>25086.789113457951</v>
      </c>
      <c r="M311" s="58">
        <f t="shared" ca="1" si="716"/>
        <v>32581.779156902514</v>
      </c>
      <c r="N311" s="58">
        <f t="shared" ca="1" si="716"/>
        <v>41537.038351479554</v>
      </c>
      <c r="Q311" s="58"/>
      <c r="R311" s="58"/>
      <c r="S311" s="58"/>
      <c r="T311" s="212"/>
      <c r="U311" s="59">
        <v>155.163449288208</v>
      </c>
      <c r="V311" s="59">
        <v>244.02797718122903</v>
      </c>
      <c r="W311" s="59">
        <v>359.96119003479174</v>
      </c>
      <c r="X311" s="274">
        <v>585.88938349577109</v>
      </c>
      <c r="Y311" s="58">
        <f t="shared" ref="Y311:AE311" si="717">X311*(1+Y314)</f>
        <v>330.68507104082636</v>
      </c>
      <c r="Z311" s="58">
        <f t="shared" si="717"/>
        <v>515.05595436245801</v>
      </c>
      <c r="AA311" s="58">
        <f t="shared" si="717"/>
        <v>755.92432056784367</v>
      </c>
      <c r="AB311" s="212">
        <f>H311-SUM(Y311:AA311)</f>
        <v>1271.8866540288723</v>
      </c>
      <c r="AC311" s="58">
        <f t="shared" si="717"/>
        <v>795.67812787348771</v>
      </c>
      <c r="AD311" s="58">
        <f t="shared" si="717"/>
        <v>1030.7107769799331</v>
      </c>
      <c r="AE311" s="58">
        <f t="shared" si="717"/>
        <v>1381.6808558517662</v>
      </c>
      <c r="AF311" s="212">
        <f>I311-SUM(AC311:AE311)</f>
        <v>2110.5142392948128</v>
      </c>
      <c r="AG311" s="67">
        <v>1925.405</v>
      </c>
      <c r="AH311" s="58">
        <f>J311-SUM(AG311,AI311:AJ311)</f>
        <v>2899.2299999999996</v>
      </c>
      <c r="AI311" s="64">
        <f>IQ_IS!AI82</f>
        <v>3257.6559999999999</v>
      </c>
      <c r="AJ311" s="230">
        <f>IQ_IS!AJ82</f>
        <v>3155.116</v>
      </c>
      <c r="AK311" s="64">
        <f>IQ_IS!AK82</f>
        <v>3284.0340000000006</v>
      </c>
      <c r="AL311" s="64">
        <f>IQ_IS!AL82</f>
        <v>4326.3190000000004</v>
      </c>
      <c r="AM311" s="64">
        <f>IQ_IS!AM82</f>
        <v>4950.5829999999996</v>
      </c>
      <c r="AN311" s="230">
        <f>IQ_IS!AN82</f>
        <v>4817.4139999999998</v>
      </c>
      <c r="AO311" s="58">
        <f t="shared" ref="AO311:AZ311" si="718">AO87</f>
        <v>5113.3945998747795</v>
      </c>
      <c r="AP311" s="58">
        <f t="shared" si="718"/>
        <v>6172.2678767450325</v>
      </c>
      <c r="AQ311" s="58">
        <f t="shared" si="718"/>
        <v>6973.8501308370242</v>
      </c>
      <c r="AR311" s="212">
        <f t="shared" si="718"/>
        <v>6827.2765060011143</v>
      </c>
      <c r="AS311" s="58">
        <f t="shared" si="718"/>
        <v>6880.4392926215614</v>
      </c>
      <c r="AT311" s="58">
        <f t="shared" si="718"/>
        <v>7996.2146101674343</v>
      </c>
      <c r="AU311" s="58">
        <f t="shared" si="718"/>
        <v>8876.671232227889</v>
      </c>
      <c r="AV311" s="212">
        <f t="shared" si="718"/>
        <v>8828.4540218856273</v>
      </c>
      <c r="AW311" s="58">
        <f t="shared" si="718"/>
        <v>8965.4944183851949</v>
      </c>
      <c r="AX311" s="58">
        <f t="shared" si="718"/>
        <v>10193.498094495686</v>
      </c>
      <c r="AY311" s="58">
        <f t="shared" si="718"/>
        <v>11139.241401344339</v>
      </c>
      <c r="AZ311" s="58">
        <f t="shared" si="718"/>
        <v>11238.80443725433</v>
      </c>
    </row>
    <row r="312" spans="2:52">
      <c r="B312" s="3" t="s">
        <v>81</v>
      </c>
      <c r="G312" s="67">
        <v>-743.01300000000003</v>
      </c>
      <c r="H312" s="67">
        <v>-1110.299</v>
      </c>
      <c r="I312" s="64">
        <f>IQ_IS!I144</f>
        <v>-2383.4070000000006</v>
      </c>
      <c r="J312" s="64">
        <f>IQ_IS!J144</f>
        <v>-2727.1020000000003</v>
      </c>
      <c r="K312" s="64">
        <f ca="1">IQ_IS!K144</f>
        <v>-3719.5849999999959</v>
      </c>
      <c r="L312" s="58">
        <f t="shared" ca="1" si="716"/>
        <v>-7287.0340563457285</v>
      </c>
      <c r="M312" s="58">
        <f t="shared" ca="1" si="716"/>
        <v>-6201.9975342312719</v>
      </c>
      <c r="N312" s="58">
        <f t="shared" ca="1" si="716"/>
        <v>-3077.0606568188678</v>
      </c>
      <c r="Q312" s="58"/>
      <c r="R312" s="58"/>
      <c r="S312" s="58"/>
      <c r="T312" s="212"/>
      <c r="U312" s="58">
        <f ca="1">G312-SUM(V312:X312)</f>
        <v>-189.52486921279672</v>
      </c>
      <c r="V312" s="58">
        <f ca="1">V321-(V322+V332)*(V338-V311)</f>
        <v>-174.30982979038754</v>
      </c>
      <c r="W312" s="58">
        <f ca="1">W321-(W322+W332)*(W338-W311)</f>
        <v>-183.2877333331985</v>
      </c>
      <c r="X312" s="212">
        <f ca="1">X321-(X322+X332)*(X338-X311)</f>
        <v>-195.89056766361728</v>
      </c>
      <c r="Y312" s="58">
        <f ca="1">H312-SUM(Z312:AB312)</f>
        <v>-294.1605267137511</v>
      </c>
      <c r="Z312" s="58">
        <f ca="1">Z321-(Z322+Z332)*(Z338-Z311)</f>
        <v>-273.50312691187128</v>
      </c>
      <c r="AA312" s="58">
        <f ca="1">AA321-(AA322+AA332)*(AA338-AA311)</f>
        <v>-265.52783176925732</v>
      </c>
      <c r="AB312" s="212">
        <f ca="1">AB321-(AB322+AB332)*(AB338-AB311)</f>
        <v>-277.10751460512029</v>
      </c>
      <c r="AC312" s="58">
        <f>I312-SUM(AD312:AF312)</f>
        <v>-588.00217731255952</v>
      </c>
      <c r="AD312" s="58">
        <f>AD321-(AD322+AD332)*(AD338-AD311)</f>
        <v>-554.95416150252731</v>
      </c>
      <c r="AE312" s="58">
        <f>AE321-(AE322+AE332)*(AE338-AE311)</f>
        <v>-699.21067322086947</v>
      </c>
      <c r="AF312" s="212">
        <f>AF321-(AF322+AF332)*(AF338-AF311)</f>
        <v>-541.2399879640443</v>
      </c>
      <c r="AG312" s="59">
        <f>AG311-2843.982</f>
        <v>-918.577</v>
      </c>
      <c r="AH312" s="58">
        <f>J312-SUM(AG312,AI312:AJ312)</f>
        <v>-504.50700000000052</v>
      </c>
      <c r="AI312" s="64">
        <f>IQ_IS!AI144</f>
        <v>-557.92099999999994</v>
      </c>
      <c r="AJ312" s="230">
        <f>IQ_IS!AJ144</f>
        <v>-746.09699999999987</v>
      </c>
      <c r="AK312" s="64">
        <f ca="1">IQ_IS!AK144</f>
        <v>-961.98599999999965</v>
      </c>
      <c r="AL312" s="64">
        <f ca="1">IQ_IS!AL144</f>
        <v>-939.36999999999944</v>
      </c>
      <c r="AM312" s="64">
        <f ca="1">IQ_IS!AM144</f>
        <v>-1013.8000000000002</v>
      </c>
      <c r="AN312" s="230">
        <f ca="1">IQ_IS!AN144</f>
        <v>-804.4290000000002</v>
      </c>
      <c r="AO312" s="58">
        <f ca="1">IQ_IS!AO144</f>
        <v>-1223.2073792149672</v>
      </c>
      <c r="AP312" s="58">
        <f ca="1">IQ_IS!AP144</f>
        <v>-2272.0889951999116</v>
      </c>
      <c r="AQ312" s="58">
        <f ca="1">IQ_IS!AQ144</f>
        <v>-1671.8177595497696</v>
      </c>
      <c r="AR312" s="212">
        <f ca="1">IQ_IS!AR144</f>
        <v>-2119.9199223810797</v>
      </c>
      <c r="AS312" s="58">
        <f ca="1">IQ_IS!AS144</f>
        <v>-1904.4891142807926</v>
      </c>
      <c r="AT312" s="58">
        <f ca="1">IQ_IS!AT144</f>
        <v>-2077.437194794742</v>
      </c>
      <c r="AU312" s="58">
        <f ca="1">IQ_IS!AU144</f>
        <v>-1026.5646112419035</v>
      </c>
      <c r="AV312" s="212">
        <f ca="1">IQ_IS!AV144</f>
        <v>-1193.5066139138339</v>
      </c>
      <c r="AW312" s="58">
        <f ca="1">IQ_IS!AW144</f>
        <v>-1391.2760397474044</v>
      </c>
      <c r="AX312" s="58">
        <f ca="1">IQ_IS!AX144</f>
        <v>-1629.5619926227312</v>
      </c>
      <c r="AY312" s="58">
        <f ca="1">IQ_IS!AY144</f>
        <v>-58.471035464012687</v>
      </c>
      <c r="AZ312" s="58">
        <f ca="1">IQ_IS!AZ144</f>
        <v>2.2484110152808512</v>
      </c>
    </row>
    <row r="313" spans="2:52">
      <c r="B313" s="52" t="s">
        <v>80</v>
      </c>
      <c r="G313" s="4">
        <f t="shared" ref="G313:M313" si="719">G312/G311</f>
        <v>-0.5524087723654727</v>
      </c>
      <c r="H313" s="4">
        <f t="shared" si="719"/>
        <v>-0.38638556044922795</v>
      </c>
      <c r="I313" s="4">
        <f t="shared" si="719"/>
        <v>-0.44812811079039094</v>
      </c>
      <c r="J313" s="4">
        <f t="shared" si="719"/>
        <v>-0.24268071806956895</v>
      </c>
      <c r="K313" s="4">
        <f t="shared" ca="1" si="719"/>
        <v>-0.21403556724315004</v>
      </c>
      <c r="L313" s="4">
        <f t="shared" ca="1" si="719"/>
        <v>-0.29047296660362792</v>
      </c>
      <c r="M313" s="4">
        <f t="shared" ca="1" si="719"/>
        <v>-0.19035171481473154</v>
      </c>
      <c r="N313" s="4">
        <f t="shared" ref="N313" ca="1" si="720">N312/N311</f>
        <v>-7.4079924302288699E-2</v>
      </c>
      <c r="Q313" s="58"/>
      <c r="R313" s="58"/>
      <c r="S313" s="58"/>
      <c r="T313" s="212"/>
      <c r="U313" s="4">
        <f t="shared" ref="U313:AM313" ca="1" si="721">U312/U311</f>
        <v>-1.2214530553568976</v>
      </c>
      <c r="V313" s="4">
        <f t="shared" ca="1" si="721"/>
        <v>-0.71430264596643012</v>
      </c>
      <c r="W313" s="4">
        <f t="shared" ca="1" si="721"/>
        <v>-0.50918748578279505</v>
      </c>
      <c r="X313" s="215">
        <f t="shared" ca="1" si="721"/>
        <v>-0.33434735836108764</v>
      </c>
      <c r="Y313" s="4">
        <f t="shared" ca="1" si="721"/>
        <v>-0.88954885622107216</v>
      </c>
      <c r="Z313" s="4">
        <f t="shared" ca="1" si="721"/>
        <v>-0.53101633831302175</v>
      </c>
      <c r="AA313" s="4">
        <f t="shared" ca="1" si="721"/>
        <v>-0.35126245385225224</v>
      </c>
      <c r="AB313" s="215">
        <f t="shared" ca="1" si="721"/>
        <v>-0.21787123382995247</v>
      </c>
      <c r="AC313" s="4">
        <f t="shared" si="721"/>
        <v>-0.73899502413625662</v>
      </c>
      <c r="AD313" s="4">
        <f t="shared" si="721"/>
        <v>-0.53841889878030424</v>
      </c>
      <c r="AE313" s="4">
        <f t="shared" si="721"/>
        <v>-0.50605801640772274</v>
      </c>
      <c r="AF313" s="215">
        <f t="shared" si="721"/>
        <v>-0.25644934200723002</v>
      </c>
      <c r="AG313" s="4">
        <f t="shared" si="721"/>
        <v>-0.47708248394493624</v>
      </c>
      <c r="AH313" s="4">
        <f t="shared" si="721"/>
        <v>-0.17401413478751276</v>
      </c>
      <c r="AI313" s="4">
        <f t="shared" si="721"/>
        <v>-0.17126455340895416</v>
      </c>
      <c r="AJ313" s="215">
        <f t="shared" si="721"/>
        <v>-0.23647212970933554</v>
      </c>
      <c r="AK313" s="4">
        <f t="shared" ca="1" si="721"/>
        <v>-0.29292814873414813</v>
      </c>
      <c r="AL313" s="4">
        <f t="shared" ca="1" si="721"/>
        <v>-0.21712915760488288</v>
      </c>
      <c r="AM313" s="4">
        <f t="shared" ca="1" si="721"/>
        <v>-0.20478396180813457</v>
      </c>
      <c r="AN313" s="215">
        <f t="shared" ref="AN313:AZ313" ca="1" si="722">AN312/AN311</f>
        <v>-0.16698357251421619</v>
      </c>
      <c r="AO313" s="4">
        <f t="shared" ca="1" si="722"/>
        <v>-0.23921630832968024</v>
      </c>
      <c r="AP313" s="4">
        <f t="shared" ca="1" si="722"/>
        <v>-0.3681125059008466</v>
      </c>
      <c r="AQ313" s="4">
        <f t="shared" ca="1" si="722"/>
        <v>-0.23972665431356388</v>
      </c>
      <c r="AR313" s="215">
        <f t="shared" ca="1" si="722"/>
        <v>-0.31050740665295878</v>
      </c>
      <c r="AS313" s="4">
        <f t="shared" ca="1" si="722"/>
        <v>-0.27679760452550273</v>
      </c>
      <c r="AT313" s="4">
        <f t="shared" ca="1" si="722"/>
        <v>-0.25980258110546661</v>
      </c>
      <c r="AU313" s="4">
        <f t="shared" ca="1" si="722"/>
        <v>-0.11564747464284017</v>
      </c>
      <c r="AV313" s="215">
        <f t="shared" ca="1" si="722"/>
        <v>-0.13518863109612916</v>
      </c>
      <c r="AW313" s="4">
        <f t="shared" ca="1" si="722"/>
        <v>-0.15518118408443465</v>
      </c>
      <c r="AX313" s="4">
        <f t="shared" ca="1" si="722"/>
        <v>-0.15986288293933823</v>
      </c>
      <c r="AY313" s="4">
        <f t="shared" ca="1" si="722"/>
        <v>-5.2491038983099973E-3</v>
      </c>
      <c r="AZ313" s="4">
        <f t="shared" ca="1" si="722"/>
        <v>2.0005784670723784E-4</v>
      </c>
    </row>
    <row r="314" spans="2:52">
      <c r="B314" s="52" t="s">
        <v>63</v>
      </c>
      <c r="V314" s="4">
        <f>V311/U311-1</f>
        <v>0.57271559958660001</v>
      </c>
      <c r="W314" s="4">
        <f>W311/V311-1</f>
        <v>0.47508164511589634</v>
      </c>
      <c r="X314" s="215">
        <f>X311/W311-1</f>
        <v>0.62764597883216933</v>
      </c>
      <c r="Y314" s="60">
        <v>-0.43558446294459396</v>
      </c>
      <c r="Z314" s="60">
        <v>0.55754220395050513</v>
      </c>
      <c r="AA314" s="60">
        <v>0.46765475511012244</v>
      </c>
      <c r="AB314" s="228">
        <v>0.68255818660979362</v>
      </c>
      <c r="AC314" s="60">
        <v>-0.37441113533735881</v>
      </c>
      <c r="AD314" s="60">
        <v>0.29538659022158709</v>
      </c>
      <c r="AE314" s="60">
        <v>0.3405126701985246</v>
      </c>
      <c r="AF314" s="215">
        <f>AF311/AE311-1</f>
        <v>0.5274976347513638</v>
      </c>
      <c r="AG314" s="60">
        <v>-7.773434786457134E-2</v>
      </c>
      <c r="AH314" s="60">
        <v>0.38432744406007602</v>
      </c>
      <c r="AI314" s="60">
        <v>0.21128528266899016</v>
      </c>
      <c r="AJ314" s="215">
        <f t="shared" ref="AJ314" si="723">AJ311/AI311-1</f>
        <v>-3.1476619999165067E-2</v>
      </c>
      <c r="AK314" s="4">
        <f t="shared" ref="AK314" si="724">AK311/AJ311-1</f>
        <v>4.0859987398244701E-2</v>
      </c>
      <c r="AL314" s="4">
        <f t="shared" ref="AL314" si="725">AL311/AK311-1</f>
        <v>0.31737947901879204</v>
      </c>
      <c r="AM314" s="4">
        <f t="shared" ref="AM314" si="726">AM311/AL311-1</f>
        <v>0.14429449146029194</v>
      </c>
      <c r="AN314" s="215">
        <f t="shared" ref="AN314" si="727">AN311/AM311-1</f>
        <v>-2.68996601006386E-2</v>
      </c>
      <c r="AO314" s="4">
        <f t="shared" ref="AO314:AV314" si="728">AO311/AN311-1</f>
        <v>6.1439726765185609E-2</v>
      </c>
      <c r="AP314" s="4">
        <f t="shared" si="728"/>
        <v>0.20707834222224575</v>
      </c>
      <c r="AQ314" s="4">
        <f t="shared" si="728"/>
        <v>0.12986835148747766</v>
      </c>
      <c r="AR314" s="215">
        <f t="shared" si="728"/>
        <v>-2.101760463532043E-2</v>
      </c>
      <c r="AS314" s="4">
        <f t="shared" si="728"/>
        <v>7.786821959491208E-3</v>
      </c>
      <c r="AT314" s="4">
        <f t="shared" si="728"/>
        <v>0.16216629056554677</v>
      </c>
      <c r="AU314" s="4">
        <f t="shared" si="728"/>
        <v>0.11010917852816582</v>
      </c>
      <c r="AV314" s="215">
        <f t="shared" si="728"/>
        <v>-5.4319022391189353E-3</v>
      </c>
      <c r="AW314" s="4">
        <f t="shared" ref="AW314" si="729">AW311/AV311-1</f>
        <v>1.5522581434965321E-2</v>
      </c>
      <c r="AX314" s="4">
        <f t="shared" ref="AX314" si="730">AX311/AW311-1</f>
        <v>0.13696998947344952</v>
      </c>
      <c r="AY314" s="4">
        <f t="shared" ref="AY314" si="731">AY311/AX311-1</f>
        <v>9.2779073295686354E-2</v>
      </c>
      <c r="AZ314" s="4">
        <f t="shared" ref="AZ314" si="732">AZ311/AY311-1</f>
        <v>8.9380445510387485E-3</v>
      </c>
    </row>
    <row r="315" spans="2:52">
      <c r="B315" s="68" t="s">
        <v>73</v>
      </c>
      <c r="AH315" s="60"/>
      <c r="AI315" s="60"/>
      <c r="AJ315" s="228"/>
      <c r="AK315" s="60"/>
    </row>
    <row r="316" spans="2:52">
      <c r="B316" s="3" t="s">
        <v>82</v>
      </c>
      <c r="G316" s="58">
        <f>G82-SUM(G311,G306,G301)</f>
        <v>-310.58099999999831</v>
      </c>
      <c r="H316" s="58">
        <f>H82-SUM(H311,H306,H301)</f>
        <v>-1371.1490000000049</v>
      </c>
      <c r="I316" s="58">
        <f>I82-SUM(I311,I306,I301)</f>
        <v>-1610.2739999999903</v>
      </c>
      <c r="J316" s="58">
        <f>J82-SUM(J311,J306,J301)</f>
        <v>-957.55999999999767</v>
      </c>
      <c r="K316" s="58">
        <f t="shared" ref="K316:N317" ca="1" si="733">SUM(OFFSET($P316,0,K$1,1,4))</f>
        <v>-853.42387385572977</v>
      </c>
      <c r="L316" s="58">
        <f t="shared" ca="1" si="733"/>
        <v>-1005.0874237609028</v>
      </c>
      <c r="M316" s="58">
        <f t="shared" ca="1" si="733"/>
        <v>-1196.295199973199</v>
      </c>
      <c r="N316" s="58">
        <f t="shared" ca="1" si="733"/>
        <v>-1375.6519552523812</v>
      </c>
      <c r="Q316" s="59">
        <v>0</v>
      </c>
      <c r="R316" s="59">
        <v>0</v>
      </c>
      <c r="S316" s="59">
        <v>0</v>
      </c>
      <c r="T316" s="274">
        <v>0</v>
      </c>
      <c r="U316" s="58">
        <f t="shared" ref="U316:AF316" ca="1" si="734">$G316/SUM($G306,$G301)*(U306+U301)</f>
        <v>-59.006197721034681</v>
      </c>
      <c r="V316" s="58">
        <f t="shared" ca="1" si="734"/>
        <v>-74.26594966228059</v>
      </c>
      <c r="W316" s="58">
        <f t="shared" ca="1" si="734"/>
        <v>-86.597377215801188</v>
      </c>
      <c r="X316" s="212">
        <f t="shared" ca="1" si="734"/>
        <v>-90.711475400881767</v>
      </c>
      <c r="Y316" s="58">
        <f t="shared" ca="1" si="734"/>
        <v>-93.034252580308433</v>
      </c>
      <c r="Z316" s="58">
        <f t="shared" ca="1" si="734"/>
        <v>-116.42874945496811</v>
      </c>
      <c r="AA316" s="58">
        <f t="shared" ca="1" si="734"/>
        <v>-129.55387085154601</v>
      </c>
      <c r="AB316" s="212">
        <f t="shared" ca="1" si="734"/>
        <v>-129.70115523024785</v>
      </c>
      <c r="AC316" s="58">
        <f t="shared" ca="1" si="734"/>
        <v>-121.07963465014518</v>
      </c>
      <c r="AD316" s="58">
        <f t="shared" ca="1" si="734"/>
        <v>-157.77814396789947</v>
      </c>
      <c r="AE316" s="58">
        <f t="shared" ca="1" si="734"/>
        <v>-172.56551589596225</v>
      </c>
      <c r="AF316" s="212">
        <f t="shared" ca="1" si="734"/>
        <v>-168.37231230734344</v>
      </c>
      <c r="AG316" s="64">
        <f>AG88</f>
        <v>-251.59400000000096</v>
      </c>
      <c r="AH316" s="58">
        <f ca="1">AVERAGE(AG316/(AG306+AG301),AK316/(AK306+AK301))*(AH306+AH301)</f>
        <v>-238.25138940557616</v>
      </c>
      <c r="AI316" s="58">
        <f ca="1">AVERAGE(AG316/(AG306+AG301),AK316/(AK306+AK301))*(AI306+AI301)</f>
        <v>-232.52453324491196</v>
      </c>
      <c r="AJ316" s="229">
        <f ca="1">J316-SUM(AG316:AI316)</f>
        <v>-235.19007734950856</v>
      </c>
      <c r="AK316" s="64">
        <f>AK88</f>
        <v>-175.79999999999927</v>
      </c>
      <c r="AL316" s="58">
        <f>AK316/(AK306+AK301)*(AL338-AL311)</f>
        <v>-211.06994777672057</v>
      </c>
      <c r="AM316" s="58">
        <f>AL316/(AL306+AL301)*(AM338-AM311)</f>
        <v>-233.48414928095636</v>
      </c>
      <c r="AN316" s="212">
        <f>AM316/(AM306+AM301)*(AN338-AN311)</f>
        <v>-233.0697767980536</v>
      </c>
      <c r="AO316" s="58">
        <f t="shared" ref="AO316:AZ316" ca="1" si="735">AO88</f>
        <v>-210.65327273175217</v>
      </c>
      <c r="AP316" s="58">
        <f t="shared" ca="1" si="735"/>
        <v>-251.53577725379463</v>
      </c>
      <c r="AQ316" s="58">
        <f t="shared" ca="1" si="735"/>
        <v>-271.10742874023106</v>
      </c>
      <c r="AR316" s="212">
        <f t="shared" ca="1" si="735"/>
        <v>-271.79094503512493</v>
      </c>
      <c r="AS316" s="58">
        <f t="shared" ca="1" si="735"/>
        <v>-260.48258830263086</v>
      </c>
      <c r="AT316" s="58">
        <f t="shared" ca="1" si="735"/>
        <v>-299.38908027417341</v>
      </c>
      <c r="AU316" s="58">
        <f t="shared" ca="1" si="735"/>
        <v>-325.87178420249359</v>
      </c>
      <c r="AV316" s="212">
        <f t="shared" ca="1" si="735"/>
        <v>-310.55174719390118</v>
      </c>
      <c r="AW316" s="58">
        <f t="shared" ca="1" si="735"/>
        <v>-303.47928237868211</v>
      </c>
      <c r="AX316" s="58">
        <f t="shared" ca="1" si="735"/>
        <v>-342.49246986385771</v>
      </c>
      <c r="AY316" s="58">
        <f t="shared" ca="1" si="735"/>
        <v>-370.48482340565067</v>
      </c>
      <c r="AZ316" s="58">
        <f t="shared" ca="1" si="735"/>
        <v>-359.19537960419058</v>
      </c>
    </row>
    <row r="317" spans="2:52">
      <c r="B317" s="3" t="s">
        <v>81</v>
      </c>
      <c r="G317" s="67">
        <v>-207.113</v>
      </c>
      <c r="H317" s="67">
        <v>302.988</v>
      </c>
      <c r="I317" s="67">
        <v>469.71800000000002</v>
      </c>
      <c r="J317" s="58">
        <f ca="1">+J326-J324-J302-J307-J312</f>
        <v>-230.60200000000304</v>
      </c>
      <c r="K317" s="58">
        <f t="shared" ca="1" si="733"/>
        <v>-566.02215815007639</v>
      </c>
      <c r="L317" s="58">
        <f t="shared" ca="1" si="733"/>
        <v>-864.80004695428784</v>
      </c>
      <c r="M317" s="58">
        <f t="shared" ca="1" si="733"/>
        <v>-1136.480439974539</v>
      </c>
      <c r="N317" s="58">
        <f t="shared" ca="1" si="733"/>
        <v>-1306.869357489762</v>
      </c>
      <c r="U317" s="58">
        <f ca="1">G317-SUM(V317:X317)</f>
        <v>-40.82789085253097</v>
      </c>
      <c r="V317" s="58">
        <f ca="1">(V321-V312)-(V322+V332+V333)*(V338-V311-V316)</f>
        <v>-51.397949303820951</v>
      </c>
      <c r="W317" s="58">
        <f ca="1">(W321-W312)-(W322+W332+W333)*(W338-W311-W316)</f>
        <v>-59.706664097748217</v>
      </c>
      <c r="X317" s="212">
        <f ca="1">(X321-X312)-(X322+X332+X333)*(X338-X311-X316)</f>
        <v>-55.180495745899862</v>
      </c>
      <c r="Y317" s="58">
        <f ca="1">H317-SUM(Z317:AB317)</f>
        <v>-160.37419337386956</v>
      </c>
      <c r="Z317" s="58">
        <f ca="1">(Z321-Z312)-(Z322+Z332+Z333)*(Z338-Z311-Z316)</f>
        <v>140.34324244104118</v>
      </c>
      <c r="AA317" s="58">
        <f ca="1">(AA321-AA312)-(AA322+AA332+AA333)*(AA338-AA311-AA316)</f>
        <v>157.07377145947976</v>
      </c>
      <c r="AB317" s="212">
        <f ca="1">(AB321-AB312)-(AB322+AB332+AB333)*(AB338-AB311-AB316)</f>
        <v>165.94517947334862</v>
      </c>
      <c r="AC317" s="58">
        <f ca="1">I317-SUM(AD317:AF317)</f>
        <v>-98.814630312063684</v>
      </c>
      <c r="AD317" s="58">
        <f ca="1">(AD321-AD312)-(AD322+AD332+AD333)*(AD338-AD311-AD316)</f>
        <v>175.25814626912961</v>
      </c>
      <c r="AE317" s="58">
        <f ca="1">(AE321-AE312)-(AE322+AE332+AE333)*(AE338-AE311-AE316)</f>
        <v>203.64705968862563</v>
      </c>
      <c r="AF317" s="212">
        <f ca="1">(AF321-AF312)-(AF322+AF332+AF333)*(AF338-AF311-AF316)</f>
        <v>189.62742435430846</v>
      </c>
      <c r="AG317" s="64">
        <f>+AG326-AG324-AG312-AG307-AG302</f>
        <v>51.976999999998952</v>
      </c>
      <c r="AH317" s="58">
        <f ca="1">(AH321-AH312)-(AH322+AH332+AH333)*(AH338-AH311-AH316)</f>
        <v>153.60736520864884</v>
      </c>
      <c r="AI317" s="58">
        <f ca="1">(AI321-AI312)-(AI322+AI332+AI333)*(AI338-AI311-AI316)</f>
        <v>-203.56721888461516</v>
      </c>
      <c r="AJ317" s="229">
        <f ca="1">J317-SUM(AG317:AI317)</f>
        <v>-232.61914632403568</v>
      </c>
      <c r="AK317" s="64">
        <f ca="1">+AK326-AK324-AK312-AK307-AK302</f>
        <v>-87.380000000001928</v>
      </c>
      <c r="AL317" s="58">
        <f ca="1">(AL321-AL312)-(AL322+AL332+AL333)*(AL338-AL311-AL316)</f>
        <v>-149.23683058505685</v>
      </c>
      <c r="AM317" s="58">
        <f ca="1">(AM321-AM312)-(AM322+AM332+AM333)*(AM338-AM311-AM316)</f>
        <v>-164.77470558531513</v>
      </c>
      <c r="AN317" s="212">
        <f ca="1">(AN321-AN312)-(AN322+AN332+AN333)*(AN338-AN311-AN316)</f>
        <v>-164.63062197970248</v>
      </c>
      <c r="AO317" s="58">
        <f t="shared" ref="AO317:AV317" ca="1" si="736">AO318*AO316</f>
        <v>-148.79655263898584</v>
      </c>
      <c r="AP317" s="58">
        <f t="shared" ca="1" si="736"/>
        <v>-213.80541066572545</v>
      </c>
      <c r="AQ317" s="58">
        <f t="shared" ca="1" si="736"/>
        <v>-243.99668586620797</v>
      </c>
      <c r="AR317" s="212">
        <f t="shared" ca="1" si="736"/>
        <v>-258.20139778336869</v>
      </c>
      <c r="AS317" s="58">
        <f t="shared" ca="1" si="736"/>
        <v>-247.45845888749929</v>
      </c>
      <c r="AT317" s="58">
        <f t="shared" ca="1" si="736"/>
        <v>-284.41962626046472</v>
      </c>
      <c r="AU317" s="58">
        <f t="shared" ca="1" si="736"/>
        <v>-309.57819499236888</v>
      </c>
      <c r="AV317" s="212">
        <f t="shared" ca="1" si="736"/>
        <v>-295.0241598342061</v>
      </c>
      <c r="AW317" s="58">
        <f t="shared" ref="AW317:AZ317" ca="1" si="737">AW318*AW316</f>
        <v>-288.30531825974799</v>
      </c>
      <c r="AX317" s="58">
        <f t="shared" ca="1" si="737"/>
        <v>-325.36784637066478</v>
      </c>
      <c r="AY317" s="58">
        <f t="shared" ca="1" si="737"/>
        <v>-351.96058223536812</v>
      </c>
      <c r="AZ317" s="58">
        <f t="shared" ca="1" si="737"/>
        <v>-341.23561062398102</v>
      </c>
    </row>
    <row r="318" spans="2:52">
      <c r="B318" s="52" t="s">
        <v>80</v>
      </c>
      <c r="G318" s="4">
        <f t="shared" ref="G318:M318" si="738">G317/G316</f>
        <v>0.66685663321323951</v>
      </c>
      <c r="H318" s="4">
        <f t="shared" si="738"/>
        <v>-0.22097379642912543</v>
      </c>
      <c r="I318" s="4">
        <f t="shared" si="738"/>
        <v>-0.29170066709144088</v>
      </c>
      <c r="J318" s="4">
        <f t="shared" ca="1" si="738"/>
        <v>0.24082250720581855</v>
      </c>
      <c r="K318" s="4">
        <f t="shared" ca="1" si="738"/>
        <v>0.66323684571046082</v>
      </c>
      <c r="L318" s="4">
        <f t="shared" ca="1" si="738"/>
        <v>0.86042271200481413</v>
      </c>
      <c r="M318" s="4">
        <f t="shared" ca="1" si="738"/>
        <v>0.95</v>
      </c>
      <c r="N318" s="4">
        <f t="shared" ref="N318" ca="1" si="739">N317/N316</f>
        <v>0.95</v>
      </c>
      <c r="U318" s="4">
        <f t="shared" ref="U318:AM318" ca="1" si="740">U317/U316</f>
        <v>0.69192546595790116</v>
      </c>
      <c r="V318" s="4">
        <f t="shared" ca="1" si="740"/>
        <v>0.69207960764724163</v>
      </c>
      <c r="W318" s="4">
        <f t="shared" ca="1" si="740"/>
        <v>0.68947427759802526</v>
      </c>
      <c r="X318" s="215">
        <f t="shared" ca="1" si="740"/>
        <v>0.60830777475551323</v>
      </c>
      <c r="Y318" s="4">
        <f t="shared" ca="1" si="740"/>
        <v>1.7238187971191834</v>
      </c>
      <c r="Z318" s="4">
        <f t="shared" ca="1" si="740"/>
        <v>-1.2054002391851046</v>
      </c>
      <c r="AA318" s="4">
        <f t="shared" ca="1" si="740"/>
        <v>-1.2124205199508737</v>
      </c>
      <c r="AB318" s="215">
        <f t="shared" ca="1" si="740"/>
        <v>-1.2794425707215924</v>
      </c>
      <c r="AC318" s="4">
        <f t="shared" ca="1" si="740"/>
        <v>0.8161127228173809</v>
      </c>
      <c r="AD318" s="4">
        <f t="shared" ca="1" si="740"/>
        <v>-1.1107884898480396</v>
      </c>
      <c r="AE318" s="4">
        <f t="shared" ca="1" si="740"/>
        <v>-1.1801144546828353</v>
      </c>
      <c r="AF318" s="215">
        <f t="shared" ca="1" si="740"/>
        <v>-1.1262387607302462</v>
      </c>
      <c r="AG318" s="4">
        <f t="shared" si="740"/>
        <v>-0.20659077720453889</v>
      </c>
      <c r="AH318" s="4">
        <f t="shared" ca="1" si="740"/>
        <v>-0.64472809829940803</v>
      </c>
      <c r="AI318" s="4">
        <f t="shared" ca="1" si="740"/>
        <v>0.87546555214542965</v>
      </c>
      <c r="AJ318" s="215">
        <f t="shared" ca="1" si="740"/>
        <v>0.98906870963925786</v>
      </c>
      <c r="AK318" s="4">
        <f t="shared" ca="1" si="740"/>
        <v>0.4970420932878401</v>
      </c>
      <c r="AL318" s="4">
        <f t="shared" ca="1" si="740"/>
        <v>0.70704916619833713</v>
      </c>
      <c r="AM318" s="4">
        <f t="shared" ca="1" si="740"/>
        <v>0.70572116391095263</v>
      </c>
      <c r="AN318" s="215">
        <f t="shared" ref="AN318" ca="1" si="741">AN317/AN316</f>
        <v>0.70635765924446259</v>
      </c>
      <c r="AO318" s="234">
        <f ca="1">AN318</f>
        <v>0.70635765924446259</v>
      </c>
      <c r="AP318" s="66">
        <v>0.85</v>
      </c>
      <c r="AQ318" s="66">
        <v>0.9</v>
      </c>
      <c r="AR318" s="246">
        <v>0.95</v>
      </c>
      <c r="AS318" s="234">
        <f>AR318</f>
        <v>0.95</v>
      </c>
      <c r="AT318" s="66">
        <f>AS318</f>
        <v>0.95</v>
      </c>
      <c r="AU318" s="66">
        <f>AT318</f>
        <v>0.95</v>
      </c>
      <c r="AV318" s="246">
        <f>AU318</f>
        <v>0.95</v>
      </c>
      <c r="AW318" s="234">
        <f t="shared" ref="AW318:AZ318" si="742">AV318</f>
        <v>0.95</v>
      </c>
      <c r="AX318" s="66">
        <f t="shared" si="742"/>
        <v>0.95</v>
      </c>
      <c r="AY318" s="66">
        <f t="shared" si="742"/>
        <v>0.95</v>
      </c>
      <c r="AZ318" s="66">
        <f t="shared" si="742"/>
        <v>0.95</v>
      </c>
    </row>
    <row r="319" spans="2:52">
      <c r="B319" s="52" t="s">
        <v>63</v>
      </c>
      <c r="R319" s="4"/>
      <c r="S319" s="4"/>
      <c r="T319" s="215"/>
      <c r="U319" s="4"/>
      <c r="V319" s="4">
        <f t="shared" ref="V319:AV319" ca="1" si="743">V316/U316-1</f>
        <v>0.25861269715072788</v>
      </c>
      <c r="W319" s="4">
        <f t="shared" ca="1" si="743"/>
        <v>0.16604416437946234</v>
      </c>
      <c r="X319" s="215">
        <f t="shared" ca="1" si="743"/>
        <v>4.7508346295849435E-2</v>
      </c>
      <c r="Y319" s="4">
        <f t="shared" ca="1" si="743"/>
        <v>2.56062110020987E-2</v>
      </c>
      <c r="Z319" s="4">
        <f t="shared" ca="1" si="743"/>
        <v>0.25146111486697054</v>
      </c>
      <c r="AA319" s="4">
        <f t="shared" ca="1" si="743"/>
        <v>0.11273093164720782</v>
      </c>
      <c r="AB319" s="215">
        <f t="shared" ca="1" si="743"/>
        <v>1.1368581867430283E-3</v>
      </c>
      <c r="AC319" s="4">
        <f t="shared" ca="1" si="743"/>
        <v>-6.6472195754907371E-2</v>
      </c>
      <c r="AD319" s="4">
        <f t="shared" ca="1" si="743"/>
        <v>0.30309398788485931</v>
      </c>
      <c r="AE319" s="4">
        <f t="shared" ca="1" si="743"/>
        <v>9.3722562302870793E-2</v>
      </c>
      <c r="AF319" s="215">
        <f t="shared" ca="1" si="743"/>
        <v>-2.4299197709621523E-2</v>
      </c>
      <c r="AG319" s="4">
        <f t="shared" ca="1" si="743"/>
        <v>0.49427181079954718</v>
      </c>
      <c r="AH319" s="60">
        <f t="shared" ca="1" si="743"/>
        <v>-5.3032308379471482E-2</v>
      </c>
      <c r="AI319" s="60">
        <f t="shared" ca="1" si="743"/>
        <v>-2.4037031536111475E-2</v>
      </c>
      <c r="AJ319" s="228">
        <f t="shared" ca="1" si="743"/>
        <v>1.1463496205748935E-2</v>
      </c>
      <c r="AK319" s="60">
        <f t="shared" ca="1" si="743"/>
        <v>-0.25251948559569359</v>
      </c>
      <c r="AL319" s="60">
        <f t="shared" si="743"/>
        <v>0.20062541397452471</v>
      </c>
      <c r="AM319" s="60">
        <f t="shared" si="743"/>
        <v>0.10619323944660541</v>
      </c>
      <c r="AN319" s="228">
        <f t="shared" si="743"/>
        <v>-1.7747349624326336E-3</v>
      </c>
      <c r="AO319" s="4">
        <f t="shared" ca="1" si="743"/>
        <v>-9.6179369003834836E-2</v>
      </c>
      <c r="AP319" s="4">
        <f t="shared" ca="1" si="743"/>
        <v>0.19407486051309841</v>
      </c>
      <c r="AQ319" s="4">
        <f t="shared" ca="1" si="743"/>
        <v>7.7808619116194411E-2</v>
      </c>
      <c r="AR319" s="215">
        <f t="shared" ca="1" si="743"/>
        <v>2.5212009057442586E-3</v>
      </c>
      <c r="AS319" s="4">
        <f t="shared" ca="1" si="743"/>
        <v>-4.1606819281755802E-2</v>
      </c>
      <c r="AT319" s="4">
        <f t="shared" ca="1" si="743"/>
        <v>0.14936311952774628</v>
      </c>
      <c r="AU319" s="4">
        <f t="shared" ca="1" si="743"/>
        <v>8.8455811093938186E-2</v>
      </c>
      <c r="AV319" s="215">
        <f t="shared" ca="1" si="743"/>
        <v>-4.7012468557488529E-2</v>
      </c>
      <c r="AW319" s="4">
        <f t="shared" ref="AW319" ca="1" si="744">AW316/AV316-1</f>
        <v>-2.2773869022231552E-2</v>
      </c>
      <c r="AX319" s="4">
        <f t="shared" ref="AX319" ca="1" si="745">AX316/AW316-1</f>
        <v>0.12855305040722631</v>
      </c>
      <c r="AY319" s="4">
        <f t="shared" ref="AY319" ca="1" si="746">AY316/AX316-1</f>
        <v>8.1731296319945468E-2</v>
      </c>
      <c r="AZ319" s="4">
        <f t="shared" ref="AZ319" ca="1" si="747">AZ316/AY316-1</f>
        <v>-3.0472081683894148E-2</v>
      </c>
    </row>
    <row r="320" spans="2:52">
      <c r="AC320" s="58"/>
      <c r="AG320" s="58"/>
      <c r="AH320" s="58"/>
      <c r="AI320" s="58"/>
      <c r="AJ320" s="212"/>
      <c r="AK320" s="58"/>
    </row>
    <row r="321" spans="1:60">
      <c r="B321" s="1" t="s">
        <v>79</v>
      </c>
      <c r="G321" s="58">
        <f>G302+G307+G312+G317</f>
        <v>11706.447</v>
      </c>
      <c r="H321" s="58">
        <f>H302+H307+H312+H317</f>
        <v>13766.504000000003</v>
      </c>
      <c r="I321" s="58">
        <f>I302+I307+I312+I317</f>
        <v>13058.703</v>
      </c>
      <c r="J321" s="58">
        <f ca="1">J302+J307+J312+J317</f>
        <v>11809.068000000001</v>
      </c>
      <c r="K321" s="58">
        <f ca="1">SUM(OFFSET($P321,0,K$1,1,4))</f>
        <v>18934.456999999999</v>
      </c>
      <c r="L321" s="58">
        <f ca="1">SUM(OFFSET($P321,0,L$1,1,4))</f>
        <v>20444.039923320321</v>
      </c>
      <c r="M321" s="58">
        <f ca="1">SUM(OFFSET($P321,0,M$1,1,4))</f>
        <v>28507.129301856177</v>
      </c>
      <c r="N321" s="58">
        <f ca="1">SUM(OFFSET($P321,0,N$1,1,4))</f>
        <v>39772.03452824369</v>
      </c>
      <c r="U321" s="58">
        <f t="shared" ref="U321:AZ321" ca="1" si="748">U213</f>
        <v>2321.4380000000001</v>
      </c>
      <c r="V321" s="58">
        <f t="shared" ca="1" si="748"/>
        <v>2987.1489999999999</v>
      </c>
      <c r="W321" s="58">
        <f t="shared" ca="1" si="748"/>
        <v>3480.8849999999984</v>
      </c>
      <c r="X321" s="212">
        <f t="shared" ca="1" si="748"/>
        <v>2916.9739999999983</v>
      </c>
      <c r="Y321" s="58">
        <f t="shared" ca="1" si="748"/>
        <v>2542.6389999999992</v>
      </c>
      <c r="Z321" s="58">
        <f t="shared" ca="1" si="748"/>
        <v>3778.8220000000015</v>
      </c>
      <c r="AA321" s="58">
        <f t="shared" ca="1" si="748"/>
        <v>4154.0139999999983</v>
      </c>
      <c r="AB321" s="212">
        <f t="shared" ca="1" si="748"/>
        <v>3291.0279999999993</v>
      </c>
      <c r="AC321" s="58">
        <f t="shared" si="748"/>
        <v>2446.3890000000001</v>
      </c>
      <c r="AD321" s="58">
        <f t="shared" si="748"/>
        <v>3824.4179999999978</v>
      </c>
      <c r="AE321" s="58">
        <f t="shared" si="748"/>
        <v>2911.9689999999987</v>
      </c>
      <c r="AF321" s="212">
        <f t="shared" si="748"/>
        <v>3875.8960000000006</v>
      </c>
      <c r="AG321" s="58">
        <f t="shared" si="748"/>
        <v>2519.7989999999991</v>
      </c>
      <c r="AH321" s="58">
        <f t="shared" si="748"/>
        <v>3267.3170000000023</v>
      </c>
      <c r="AI321" s="58">
        <f t="shared" ca="1" si="748"/>
        <v>3204.8930000000028</v>
      </c>
      <c r="AJ321" s="212">
        <f t="shared" ca="1" si="748"/>
        <v>2817.0590000000002</v>
      </c>
      <c r="AK321" s="58">
        <f t="shared" ca="1" si="748"/>
        <v>2636.4569999999994</v>
      </c>
      <c r="AL321" s="58">
        <f t="shared" ca="1" si="748"/>
        <v>5006</v>
      </c>
      <c r="AM321" s="58">
        <f t="shared" ca="1" si="748"/>
        <v>5541</v>
      </c>
      <c r="AN321" s="212">
        <f t="shared" ca="1" si="748"/>
        <v>5751</v>
      </c>
      <c r="AO321" s="58">
        <f t="shared" ca="1" si="748"/>
        <v>3621.6724282351506</v>
      </c>
      <c r="AP321" s="58">
        <f t="shared" ca="1" si="748"/>
        <v>5122.9498559971562</v>
      </c>
      <c r="AQ321" s="58">
        <f t="shared" ca="1" si="748"/>
        <v>6146.5598785961774</v>
      </c>
      <c r="AR321" s="212">
        <f t="shared" ca="1" si="748"/>
        <v>5552.8577604918337</v>
      </c>
      <c r="AS321" s="58">
        <f t="shared" ca="1" si="748"/>
        <v>5050.8179804259771</v>
      </c>
      <c r="AT321" s="58">
        <f t="shared" ca="1" si="748"/>
        <v>7084.3191434795726</v>
      </c>
      <c r="AU321" s="58">
        <f t="shared" ca="1" si="748"/>
        <v>8526.8248869726758</v>
      </c>
      <c r="AV321" s="212">
        <f t="shared" ca="1" si="748"/>
        <v>7845.1672909779527</v>
      </c>
      <c r="AW321" s="58">
        <f t="shared" ca="1" si="748"/>
        <v>7220.0669209512098</v>
      </c>
      <c r="AX321" s="58">
        <f t="shared" ca="1" si="748"/>
        <v>9608.3310780824286</v>
      </c>
      <c r="AY321" s="58">
        <f t="shared" ca="1" si="748"/>
        <v>11365.130873027616</v>
      </c>
      <c r="AZ321" s="58">
        <f t="shared" ca="1" si="748"/>
        <v>11578.505656182439</v>
      </c>
    </row>
    <row r="322" spans="1:60">
      <c r="B322" s="3" t="s">
        <v>76</v>
      </c>
      <c r="G322" s="4">
        <f t="shared" ref="G322:M322" si="749">G321/G$82</f>
        <v>0.36646865926678263</v>
      </c>
      <c r="H322" s="4">
        <f t="shared" si="749"/>
        <v>0.28064940784245923</v>
      </c>
      <c r="I322" s="4">
        <f t="shared" si="749"/>
        <v>0.19672134481462508</v>
      </c>
      <c r="J322" s="4">
        <f t="shared" ca="1" si="749"/>
        <v>0.16738730628386672</v>
      </c>
      <c r="K322" s="4">
        <f t="shared" ca="1" si="749"/>
        <v>0.22325885085780844</v>
      </c>
      <c r="L322" s="4">
        <f t="shared" ca="1" si="749"/>
        <v>0.19416718708473865</v>
      </c>
      <c r="M322" s="4">
        <f t="shared" ca="1" si="749"/>
        <v>0.22167472310922412</v>
      </c>
      <c r="N322" s="4">
        <f t="shared" ref="N322" ca="1" si="750">N321/N$82</f>
        <v>0.25703768164175295</v>
      </c>
      <c r="U322" s="4">
        <f t="shared" ref="U322:AV322" ca="1" si="751">U321/U$82</f>
        <v>0.38894583564685353</v>
      </c>
      <c r="V322" s="4">
        <f t="shared" ca="1" si="751"/>
        <v>0.39508293748755924</v>
      </c>
      <c r="W322" s="4">
        <f t="shared" ca="1" si="751"/>
        <v>0.39147760743834259</v>
      </c>
      <c r="X322" s="215">
        <f t="shared" ca="1" si="751"/>
        <v>0.306311104595831</v>
      </c>
      <c r="Y322" s="4">
        <f t="shared" ca="1" si="751"/>
        <v>0.26774338728414265</v>
      </c>
      <c r="Z322" s="4">
        <f t="shared" ca="1" si="751"/>
        <v>0.31527538211524297</v>
      </c>
      <c r="AA322" s="4">
        <f t="shared" ca="1" si="751"/>
        <v>0.3072551013494621</v>
      </c>
      <c r="AB322" s="215">
        <f t="shared" ca="1" si="751"/>
        <v>0.23423305057874855</v>
      </c>
      <c r="AC322" s="4">
        <f t="shared" si="751"/>
        <v>0.19225641072390712</v>
      </c>
      <c r="AD322" s="4">
        <f t="shared" si="751"/>
        <v>0.2307308045893518</v>
      </c>
      <c r="AE322" s="4">
        <f t="shared" si="751"/>
        <v>0.15840483975455469</v>
      </c>
      <c r="AF322" s="215">
        <f t="shared" si="751"/>
        <v>0.20728053370714711</v>
      </c>
      <c r="AG322" s="4">
        <f t="shared" si="751"/>
        <v>0.15927357114521518</v>
      </c>
      <c r="AH322" s="4">
        <f t="shared" si="751"/>
        <v>0.17889728273343869</v>
      </c>
      <c r="AI322" s="4">
        <f t="shared" ca="1" si="751"/>
        <v>0.17558403088541313</v>
      </c>
      <c r="AJ322" s="215">
        <f t="shared" ca="1" si="751"/>
        <v>0.15467820387060782</v>
      </c>
      <c r="AK322" s="4">
        <f t="shared" ca="1" si="751"/>
        <v>0.15608848256608557</v>
      </c>
      <c r="AL322" s="4">
        <f t="shared" ca="1" si="751"/>
        <v>0.23981987161061608</v>
      </c>
      <c r="AM322" s="4">
        <f t="shared" ca="1" si="751"/>
        <v>0.23589765422112477</v>
      </c>
      <c r="AN322" s="215">
        <f t="shared" ca="1" si="751"/>
        <v>0.24414161996943454</v>
      </c>
      <c r="AO322" s="4">
        <f t="shared" ca="1" si="751"/>
        <v>0.16540994765164196</v>
      </c>
      <c r="AP322" s="4">
        <f t="shared" ca="1" si="751"/>
        <v>0.19545099604377542</v>
      </c>
      <c r="AQ322" s="4">
        <f t="shared" ca="1" si="751"/>
        <v>0.21472601245410711</v>
      </c>
      <c r="AR322" s="215">
        <f t="shared" ca="1" si="751"/>
        <v>0.19442960800306591</v>
      </c>
      <c r="AS322" s="4">
        <f t="shared" ca="1" si="751"/>
        <v>0.18208400763005497</v>
      </c>
      <c r="AT322" s="4">
        <f t="shared" ca="1" si="751"/>
        <v>0.22145477202112132</v>
      </c>
      <c r="AU322" s="4">
        <f t="shared" ca="1" si="751"/>
        <v>0.24351348217402738</v>
      </c>
      <c r="AV322" s="215">
        <f t="shared" ca="1" si="751"/>
        <v>0.23173369212825212</v>
      </c>
      <c r="AW322" s="4">
        <f t="shared" ref="AW322:AZ322" ca="1" si="752">AW321/AW$82</f>
        <v>0.21435480627514453</v>
      </c>
      <c r="AX322" s="4">
        <f t="shared" ca="1" si="752"/>
        <v>0.25153379707169593</v>
      </c>
      <c r="AY322" s="4">
        <f t="shared" ca="1" si="752"/>
        <v>0.27349670126777287</v>
      </c>
      <c r="AZ322" s="4">
        <f t="shared" ca="1" si="752"/>
        <v>0.28038076419770019</v>
      </c>
    </row>
    <row r="324" spans="1:60">
      <c r="B324" s="1" t="s">
        <v>78</v>
      </c>
      <c r="G324" s="58">
        <f>-G268</f>
        <v>-514.72700000000009</v>
      </c>
      <c r="H324" s="58">
        <f>-H268</f>
        <v>-962.74</v>
      </c>
      <c r="I324" s="58">
        <f>-I268</f>
        <v>-1387.1179999999999</v>
      </c>
      <c r="J324" s="58">
        <f>-J268</f>
        <v>-1759.9880000000001</v>
      </c>
      <c r="K324" s="58">
        <f ca="1">SUM(OFFSET($P324,0,K$1,1,4))</f>
        <v>-3244.8110000000001</v>
      </c>
      <c r="L324" s="58">
        <f ca="1">SUM(OFFSET($P324,0,L$1,1,4))</f>
        <v>-4263.7854560868482</v>
      </c>
      <c r="M324" s="58">
        <f ca="1">SUM(OFFSET($P324,0,M$1,1,4))</f>
        <v>-4948.3965919440197</v>
      </c>
      <c r="N324" s="58">
        <f ca="1">SUM(OFFSET($P324,0,N$1,1,4))</f>
        <v>-5645.6501038917577</v>
      </c>
      <c r="Q324" s="58"/>
      <c r="R324" s="58"/>
      <c r="S324" s="58"/>
      <c r="T324" s="212"/>
      <c r="U324" s="58">
        <f t="shared" ref="U324:AZ324" si="753">-U268</f>
        <v>-110.94799999999999</v>
      </c>
      <c r="V324" s="58">
        <f t="shared" si="753"/>
        <v>-83.283999999999992</v>
      </c>
      <c r="W324" s="58">
        <f t="shared" si="753"/>
        <v>-143.14400000000001</v>
      </c>
      <c r="X324" s="212">
        <f t="shared" si="753"/>
        <v>-177.351</v>
      </c>
      <c r="Y324" s="58">
        <f t="shared" si="753"/>
        <v>-168.96699999999998</v>
      </c>
      <c r="Z324" s="58">
        <f t="shared" si="753"/>
        <v>-220.55200000000002</v>
      </c>
      <c r="AA324" s="58">
        <f t="shared" si="753"/>
        <v>-234.19300000000001</v>
      </c>
      <c r="AB324" s="212">
        <f t="shared" si="753"/>
        <v>-339.02700000000004</v>
      </c>
      <c r="AC324" s="58">
        <f t="shared" si="753"/>
        <v>-291.07600000000002</v>
      </c>
      <c r="AD324" s="58">
        <f t="shared" si="753"/>
        <v>-354.72500000000002</v>
      </c>
      <c r="AE324" s="58">
        <f t="shared" si="753"/>
        <v>-400.29700000000003</v>
      </c>
      <c r="AF324" s="212">
        <f t="shared" si="753"/>
        <v>-341.02</v>
      </c>
      <c r="AG324" s="58">
        <f t="shared" si="753"/>
        <v>-309.06200000000001</v>
      </c>
      <c r="AH324" s="58">
        <f t="shared" si="753"/>
        <v>-400.93100000000004</v>
      </c>
      <c r="AI324" s="58">
        <f t="shared" si="753"/>
        <v>-418.06200000000001</v>
      </c>
      <c r="AJ324" s="212">
        <f t="shared" si="753"/>
        <v>-631.93299999999999</v>
      </c>
      <c r="AK324" s="58">
        <f t="shared" si="753"/>
        <v>-630.81100000000004</v>
      </c>
      <c r="AL324" s="58">
        <f t="shared" si="753"/>
        <v>-796</v>
      </c>
      <c r="AM324" s="58">
        <f t="shared" si="753"/>
        <v>-841</v>
      </c>
      <c r="AN324" s="212">
        <f t="shared" si="753"/>
        <v>-977</v>
      </c>
      <c r="AO324" s="58">
        <f t="shared" ca="1" si="753"/>
        <v>-874.77163337203615</v>
      </c>
      <c r="AP324" s="58">
        <f t="shared" ca="1" si="753"/>
        <v>-1047.1993545637274</v>
      </c>
      <c r="AQ324" s="58">
        <f t="shared" ca="1" si="753"/>
        <v>-1143.6538768474604</v>
      </c>
      <c r="AR324" s="212">
        <f t="shared" ca="1" si="753"/>
        <v>-1198.160591303624</v>
      </c>
      <c r="AS324" s="58">
        <f t="shared" ca="1" si="753"/>
        <v>-1052.7703861632842</v>
      </c>
      <c r="AT324" s="58">
        <f t="shared" ca="1" si="753"/>
        <v>-1214.106600540503</v>
      </c>
      <c r="AU324" s="58">
        <f t="shared" ca="1" si="753"/>
        <v>-1328.9482780275769</v>
      </c>
      <c r="AV324" s="212">
        <f t="shared" ca="1" si="753"/>
        <v>-1352.5713272126563</v>
      </c>
      <c r="AW324" s="58">
        <f t="shared" ca="1" si="753"/>
        <v>-1210.990219655534</v>
      </c>
      <c r="AX324" s="58">
        <f t="shared" ca="1" si="753"/>
        <v>-1373.3595470988394</v>
      </c>
      <c r="AY324" s="58">
        <f t="shared" ca="1" si="753"/>
        <v>-1494.0151003868411</v>
      </c>
      <c r="AZ324" s="58">
        <f t="shared" ca="1" si="753"/>
        <v>-1567.2852367505425</v>
      </c>
    </row>
    <row r="325" spans="1:60">
      <c r="G325" s="10"/>
      <c r="H325" s="10"/>
      <c r="I325" s="10"/>
    </row>
    <row r="326" spans="1:60">
      <c r="B326" s="1" t="s">
        <v>77</v>
      </c>
      <c r="G326" s="58">
        <f>G321+G324</f>
        <v>11191.72</v>
      </c>
      <c r="H326" s="58">
        <f>H321+H324</f>
        <v>12803.764000000003</v>
      </c>
      <c r="I326" s="58">
        <f>I321+I324</f>
        <v>11671.584999999999</v>
      </c>
      <c r="J326" s="58">
        <f ca="1">+J122</f>
        <v>10049.080000000002</v>
      </c>
      <c r="K326" s="58">
        <f ca="1">SUM(OFFSET($P326,0,K$1,1,4))</f>
        <v>15689.645999999999</v>
      </c>
      <c r="L326" s="58">
        <f ca="1">SUM(OFFSET($P326,0,L$1,1,4))</f>
        <v>16180.25446723347</v>
      </c>
      <c r="M326" s="58">
        <f ca="1">SUM(OFFSET($P326,0,M$1,1,4))</f>
        <v>23558.732709912158</v>
      </c>
      <c r="N326" s="58">
        <f ca="1">SUM(OFFSET($P326,0,N$1,1,4))</f>
        <v>34126.384424351934</v>
      </c>
      <c r="Q326" s="58"/>
      <c r="R326" s="58"/>
      <c r="S326" s="58"/>
      <c r="T326" s="212"/>
      <c r="U326" s="58">
        <f t="shared" ref="U326:AF326" ca="1" si="754">U321+U324</f>
        <v>2210.4900000000002</v>
      </c>
      <c r="V326" s="58">
        <f t="shared" ca="1" si="754"/>
        <v>2903.8649999999998</v>
      </c>
      <c r="W326" s="58">
        <f t="shared" ca="1" si="754"/>
        <v>3337.7409999999982</v>
      </c>
      <c r="X326" s="212">
        <f t="shared" ca="1" si="754"/>
        <v>2739.6229999999982</v>
      </c>
      <c r="Y326" s="58">
        <f t="shared" ca="1" si="754"/>
        <v>2373.6719999999991</v>
      </c>
      <c r="Z326" s="58">
        <f t="shared" ca="1" si="754"/>
        <v>3558.2700000000013</v>
      </c>
      <c r="AA326" s="58">
        <f t="shared" ca="1" si="754"/>
        <v>3919.8209999999981</v>
      </c>
      <c r="AB326" s="212">
        <f t="shared" ca="1" si="754"/>
        <v>2952.0009999999993</v>
      </c>
      <c r="AC326" s="58">
        <f t="shared" si="754"/>
        <v>2155.3130000000001</v>
      </c>
      <c r="AD326" s="58">
        <f t="shared" si="754"/>
        <v>3469.6929999999979</v>
      </c>
      <c r="AE326" s="58">
        <f t="shared" si="754"/>
        <v>2511.6719999999987</v>
      </c>
      <c r="AF326" s="212">
        <f t="shared" si="754"/>
        <v>3534.8760000000007</v>
      </c>
      <c r="AG326" s="64">
        <f>AG122</f>
        <v>2210.7369999999992</v>
      </c>
      <c r="AH326" s="65">
        <f>AH321+AH324</f>
        <v>2866.3860000000022</v>
      </c>
      <c r="AI326" s="65">
        <f ca="1">AI321+AI324</f>
        <v>2786.8310000000029</v>
      </c>
      <c r="AJ326" s="231">
        <f ca="1">AJ321+AJ324</f>
        <v>2185.1260000000002</v>
      </c>
      <c r="AK326" s="64">
        <f ca="1">AK122</f>
        <v>2005.6459999999988</v>
      </c>
      <c r="AL326" s="65">
        <f t="shared" ref="AL326:AV326" ca="1" si="755">AL321+AL324</f>
        <v>4210</v>
      </c>
      <c r="AM326" s="65">
        <f t="shared" ca="1" si="755"/>
        <v>4700</v>
      </c>
      <c r="AN326" s="231">
        <f t="shared" ca="1" si="755"/>
        <v>4774</v>
      </c>
      <c r="AO326" s="65">
        <f t="shared" ca="1" si="755"/>
        <v>2746.9007948631142</v>
      </c>
      <c r="AP326" s="65">
        <f t="shared" ca="1" si="755"/>
        <v>4075.7505014334288</v>
      </c>
      <c r="AQ326" s="65">
        <f t="shared" ca="1" si="755"/>
        <v>5002.9060017487172</v>
      </c>
      <c r="AR326" s="231">
        <f t="shared" ca="1" si="755"/>
        <v>4354.69716918821</v>
      </c>
      <c r="AS326" s="65">
        <f t="shared" ca="1" si="755"/>
        <v>3998.0475942626927</v>
      </c>
      <c r="AT326" s="65">
        <f t="shared" ca="1" si="755"/>
        <v>5870.2125429390699</v>
      </c>
      <c r="AU326" s="65">
        <f t="shared" ca="1" si="755"/>
        <v>7197.8766089450992</v>
      </c>
      <c r="AV326" s="231">
        <f t="shared" ca="1" si="755"/>
        <v>6492.5959637652959</v>
      </c>
      <c r="AW326" s="65">
        <f t="shared" ref="AW326:AZ326" ca="1" si="756">AW321+AW324</f>
        <v>6009.0767012956758</v>
      </c>
      <c r="AX326" s="65">
        <f t="shared" ca="1" si="756"/>
        <v>8234.9715309835883</v>
      </c>
      <c r="AY326" s="65">
        <f t="shared" ca="1" si="756"/>
        <v>9871.1157726407746</v>
      </c>
      <c r="AZ326" s="65">
        <f t="shared" ca="1" si="756"/>
        <v>10011.220419431897</v>
      </c>
    </row>
    <row r="327" spans="1:60">
      <c r="B327" s="3" t="s">
        <v>76</v>
      </c>
      <c r="G327" s="4">
        <f t="shared" ref="G327:M327" si="757">G326/G$82</f>
        <v>0.35035520370008388</v>
      </c>
      <c r="H327" s="4">
        <f t="shared" si="757"/>
        <v>0.26102260855440113</v>
      </c>
      <c r="I327" s="4">
        <f t="shared" si="757"/>
        <v>0.1758252636052911</v>
      </c>
      <c r="J327" s="4">
        <f t="shared" ca="1" si="757"/>
        <v>0.14244040527424176</v>
      </c>
      <c r="K327" s="4">
        <f t="shared" ca="1" si="757"/>
        <v>0.18499882707625631</v>
      </c>
      <c r="L327" s="4">
        <f t="shared" ca="1" si="757"/>
        <v>0.15367190183552329</v>
      </c>
      <c r="M327" s="4">
        <f t="shared" ca="1" si="757"/>
        <v>0.18319542087087512</v>
      </c>
      <c r="N327" s="4">
        <f t="shared" ref="N327" ca="1" si="758">N326/N$82</f>
        <v>0.2205511193806661</v>
      </c>
      <c r="Q327" s="58"/>
      <c r="R327" s="58"/>
      <c r="S327" s="58"/>
      <c r="T327" s="212"/>
      <c r="U327" s="4">
        <f t="shared" ref="U327:AZ327" ca="1" si="759">U326/U82</f>
        <v>0.3703570288067195</v>
      </c>
      <c r="V327" s="4">
        <f t="shared" ca="1" si="759"/>
        <v>0.3840677228579194</v>
      </c>
      <c r="W327" s="4">
        <f t="shared" ca="1" si="759"/>
        <v>0.37537892258114275</v>
      </c>
      <c r="X327" s="215">
        <f t="shared" ca="1" si="759"/>
        <v>0.28768749646247938</v>
      </c>
      <c r="Y327" s="4">
        <f t="shared" ca="1" si="759"/>
        <v>0.24995092955843334</v>
      </c>
      <c r="Z327" s="4">
        <f t="shared" ca="1" si="759"/>
        <v>0.29687424650306515</v>
      </c>
      <c r="AA327" s="4">
        <f t="shared" ca="1" si="759"/>
        <v>0.28993282127280984</v>
      </c>
      <c r="AB327" s="215">
        <f t="shared" ca="1" si="759"/>
        <v>0.21010340827896823</v>
      </c>
      <c r="AC327" s="4">
        <f t="shared" si="759"/>
        <v>0.16938137858148333</v>
      </c>
      <c r="AD327" s="4">
        <f t="shared" si="759"/>
        <v>0.20932990524781594</v>
      </c>
      <c r="AE327" s="4">
        <f t="shared" si="759"/>
        <v>0.13662954539557318</v>
      </c>
      <c r="AF327" s="215">
        <f t="shared" si="759"/>
        <v>0.18904299389575607</v>
      </c>
      <c r="AG327" s="4">
        <f t="shared" si="759"/>
        <v>0.13973812072028743</v>
      </c>
      <c r="AH327" s="4">
        <f t="shared" si="759"/>
        <v>0.15694487760605122</v>
      </c>
      <c r="AI327" s="4">
        <f t="shared" ca="1" si="759"/>
        <v>0.15267998662558371</v>
      </c>
      <c r="AJ327" s="215">
        <f t="shared" ca="1" si="759"/>
        <v>0.11998022224985909</v>
      </c>
      <c r="AK327" s="4">
        <f t="shared" ca="1" si="759"/>
        <v>0.11874202412735695</v>
      </c>
      <c r="AL327" s="4">
        <f t="shared" ca="1" si="759"/>
        <v>0.20168630832614737</v>
      </c>
      <c r="AM327" s="4">
        <f t="shared" ca="1" si="759"/>
        <v>0.20009366086253139</v>
      </c>
      <c r="AN327" s="215">
        <f t="shared" ca="1" si="759"/>
        <v>0.20266598743419936</v>
      </c>
      <c r="AO327" s="4">
        <f t="shared" ca="1" si="759"/>
        <v>0.12545715430812013</v>
      </c>
      <c r="AP327" s="4">
        <f t="shared" ca="1" si="759"/>
        <v>0.15549820270025358</v>
      </c>
      <c r="AQ327" s="4">
        <f t="shared" ca="1" si="759"/>
        <v>0.17477321911058527</v>
      </c>
      <c r="AR327" s="215">
        <f t="shared" ca="1" si="759"/>
        <v>0.1524768146595441</v>
      </c>
      <c r="AS327" s="4">
        <f t="shared" ca="1" si="759"/>
        <v>0.14413121428653314</v>
      </c>
      <c r="AT327" s="4">
        <f t="shared" ca="1" si="759"/>
        <v>0.18350197867759951</v>
      </c>
      <c r="AU327" s="4">
        <f t="shared" ca="1" si="759"/>
        <v>0.20556068883050557</v>
      </c>
      <c r="AV327" s="215">
        <f t="shared" ca="1" si="759"/>
        <v>0.19178089878473029</v>
      </c>
      <c r="AW327" s="4">
        <f t="shared" ca="1" si="759"/>
        <v>0.17840201293162269</v>
      </c>
      <c r="AX327" s="4">
        <f t="shared" ca="1" si="759"/>
        <v>0.2155810037281741</v>
      </c>
      <c r="AY327" s="4">
        <f t="shared" ca="1" si="759"/>
        <v>0.23754390792425106</v>
      </c>
      <c r="AZ327" s="4">
        <f t="shared" ca="1" si="759"/>
        <v>0.24242797085417839</v>
      </c>
    </row>
    <row r="328" spans="1:60">
      <c r="G328" s="58"/>
      <c r="H328" s="58"/>
      <c r="I328" s="58"/>
      <c r="J328" s="58"/>
      <c r="K328" s="58"/>
      <c r="L328" s="58"/>
      <c r="M328" s="58"/>
      <c r="N328" s="58"/>
      <c r="Q328" s="58"/>
      <c r="R328" s="58"/>
      <c r="S328" s="58"/>
      <c r="T328" s="212"/>
      <c r="U328" s="58"/>
      <c r="V328" s="58"/>
      <c r="W328" s="58"/>
      <c r="X328" s="212"/>
      <c r="Y328" s="58"/>
      <c r="Z328" s="58"/>
      <c r="AA328" s="58"/>
      <c r="AB328" s="212"/>
      <c r="AC328" s="58"/>
      <c r="AD328" s="58"/>
      <c r="AE328" s="58"/>
      <c r="AF328" s="212"/>
      <c r="AG328" s="64"/>
      <c r="AH328" s="58"/>
      <c r="AI328" s="58"/>
      <c r="AJ328" s="212"/>
      <c r="AK328" s="64"/>
      <c r="AL328" s="58"/>
      <c r="AM328" s="58"/>
      <c r="AN328" s="212"/>
      <c r="AO328" s="58"/>
      <c r="AP328" s="58"/>
      <c r="AQ328" s="58"/>
      <c r="AR328" s="212"/>
      <c r="AS328" s="58"/>
      <c r="AT328" s="58"/>
      <c r="AU328" s="58"/>
      <c r="AV328" s="212"/>
      <c r="AW328" s="58"/>
      <c r="AX328" s="58"/>
      <c r="AY328" s="58"/>
      <c r="AZ328" s="58"/>
    </row>
    <row r="329" spans="1:60">
      <c r="B329" s="1" t="s">
        <v>75</v>
      </c>
      <c r="G329" s="4">
        <f t="shared" ref="G329:M329" si="760">G303</f>
        <v>0.4791726849725903</v>
      </c>
      <c r="H329" s="4">
        <f t="shared" si="760"/>
        <v>0.46990594628423299</v>
      </c>
      <c r="I329" s="4">
        <f t="shared" si="760"/>
        <v>0.50510348250373405</v>
      </c>
      <c r="J329" s="4">
        <f t="shared" si="760"/>
        <v>0.49034386996550849</v>
      </c>
      <c r="K329" s="4">
        <f t="shared" ca="1" si="760"/>
        <v>0.48242705775258188</v>
      </c>
      <c r="L329" s="4">
        <f t="shared" ca="1" si="760"/>
        <v>0.45672107303481885</v>
      </c>
      <c r="M329" s="4">
        <f t="shared" ca="1" si="760"/>
        <v>0.48109630842243906</v>
      </c>
      <c r="N329" s="4">
        <f t="shared" ref="N329" ca="1" si="761">N303</f>
        <v>0.4905797142480478</v>
      </c>
      <c r="Q329" s="58"/>
      <c r="R329" s="58"/>
      <c r="S329" s="58"/>
      <c r="T329" s="212"/>
      <c r="U329" s="4">
        <f t="shared" ref="U329:AB329" ca="1" si="762">U322+SUM(U331:U333)</f>
        <v>0.46083401950916864</v>
      </c>
      <c r="V329" s="4">
        <f t="shared" ca="1" si="762"/>
        <v>0.48969540687322488</v>
      </c>
      <c r="W329" s="4">
        <f t="shared" ca="1" si="762"/>
        <v>0.5120900768240082</v>
      </c>
      <c r="X329" s="215">
        <f t="shared" ca="1" si="762"/>
        <v>0.45092357398149663</v>
      </c>
      <c r="Y329" s="4">
        <f t="shared" ca="1" si="762"/>
        <v>0.42118603499460772</v>
      </c>
      <c r="Z329" s="4">
        <f t="shared" ca="1" si="762"/>
        <v>0.49261367252361793</v>
      </c>
      <c r="AA329" s="4">
        <f t="shared" ca="1" si="762"/>
        <v>0.50059339175783713</v>
      </c>
      <c r="AB329" s="215">
        <f t="shared" ca="1" si="762"/>
        <v>0.45357134098712348</v>
      </c>
      <c r="AC329" s="4">
        <f>AC303</f>
        <v>0.442735728095971</v>
      </c>
      <c r="AD329" s="60">
        <f>AD322+SUM(AD331:AD333)</f>
        <v>0.52073864836892003</v>
      </c>
      <c r="AE329" s="60">
        <f>AE322+SUM(AE331:AE333)</f>
        <v>0.51841268353412284</v>
      </c>
      <c r="AF329" s="228">
        <f>AF322+SUM(AF331:AF333)</f>
        <v>0.50128837748671529</v>
      </c>
      <c r="AG329" s="4">
        <f>AG303</f>
        <v>0.50995036574772323</v>
      </c>
      <c r="AH329" s="60">
        <f>AH322+SUM(AH331:AH333)</f>
        <v>0.48589728273343868</v>
      </c>
      <c r="AI329" s="60">
        <f ca="1">AI322+SUM(AI331:AI333)</f>
        <v>0.47447269741955694</v>
      </c>
      <c r="AJ329" s="228">
        <f ca="1">AJ322+SUM(AJ331:AJ333)</f>
        <v>0.47464025660961495</v>
      </c>
      <c r="AK329" s="4">
        <f>AK303</f>
        <v>0.4378400464713908</v>
      </c>
      <c r="AL329" s="60">
        <f ca="1">AL322+SUM(AL331:AL333)</f>
        <v>0.51366712827089245</v>
      </c>
      <c r="AM329" s="60">
        <v>0.5</v>
      </c>
      <c r="AN329" s="228">
        <v>0.47</v>
      </c>
      <c r="AO329" s="4">
        <f t="shared" ref="AO329:AV329" si="763">AO303</f>
        <v>0.42499999999999999</v>
      </c>
      <c r="AP329" s="4">
        <f t="shared" si="763"/>
        <v>0.46500000000000002</v>
      </c>
      <c r="AQ329" s="4">
        <f t="shared" si="763"/>
        <v>0.47</v>
      </c>
      <c r="AR329" s="215">
        <f t="shared" si="763"/>
        <v>0.46</v>
      </c>
      <c r="AS329" s="4">
        <f t="shared" si="763"/>
        <v>0.45474999999999999</v>
      </c>
      <c r="AT329" s="4">
        <f t="shared" si="763"/>
        <v>0.48825000000000007</v>
      </c>
      <c r="AU329" s="4">
        <f t="shared" si="763"/>
        <v>0.49349999999999999</v>
      </c>
      <c r="AV329" s="215">
        <f t="shared" si="763"/>
        <v>0.48300000000000004</v>
      </c>
      <c r="AW329" s="4">
        <f t="shared" ref="AW329:AZ329" si="764">AW303</f>
        <v>0.46384500000000001</v>
      </c>
      <c r="AX329" s="4">
        <f t="shared" si="764"/>
        <v>0.4980150000000001</v>
      </c>
      <c r="AY329" s="4">
        <f t="shared" si="764"/>
        <v>0.50336999999999998</v>
      </c>
      <c r="AZ329" s="4">
        <f t="shared" si="764"/>
        <v>0.49266000000000004</v>
      </c>
    </row>
    <row r="330" spans="1:60">
      <c r="B330" s="1" t="s">
        <v>74</v>
      </c>
      <c r="G330" s="58"/>
      <c r="H330" s="58"/>
      <c r="I330" s="4"/>
      <c r="J330" s="58"/>
      <c r="K330" s="58"/>
      <c r="L330" s="58"/>
      <c r="M330" s="58"/>
      <c r="N330" s="58"/>
      <c r="Q330" s="58"/>
      <c r="R330" s="58"/>
      <c r="S330" s="58"/>
      <c r="T330" s="212"/>
      <c r="U330" s="58"/>
      <c r="V330" s="58"/>
      <c r="W330" s="58"/>
      <c r="X330" s="212"/>
      <c r="Y330" s="58"/>
      <c r="Z330" s="58"/>
      <c r="AA330" s="58"/>
      <c r="AB330" s="212"/>
      <c r="AC330" s="60"/>
      <c r="AD330" s="60"/>
      <c r="AE330" s="60"/>
      <c r="AF330" s="228"/>
      <c r="AG330" s="60"/>
      <c r="AH330" s="60"/>
      <c r="AI330" s="60"/>
      <c r="AJ330" s="228"/>
      <c r="AK330" s="60"/>
      <c r="AL330" s="60"/>
      <c r="AM330" s="60"/>
      <c r="AN330" s="212"/>
      <c r="AO330" s="58"/>
      <c r="AP330" s="58"/>
      <c r="AQ330" s="58"/>
      <c r="AR330" s="212"/>
      <c r="AS330" s="58"/>
      <c r="AT330" s="58"/>
      <c r="AU330" s="58"/>
      <c r="AV330" s="212"/>
      <c r="AW330" s="58"/>
      <c r="AX330" s="58"/>
      <c r="AY330" s="58"/>
      <c r="AZ330" s="58"/>
    </row>
    <row r="331" spans="1:60">
      <c r="B331" s="3" t="s">
        <v>27</v>
      </c>
      <c r="G331" s="4">
        <f t="shared" ref="G331:M331" si="765">G303-(G302+G307)/(G301+G306)</f>
        <v>6.9700252533372586E-2</v>
      </c>
      <c r="H331" s="4">
        <f t="shared" si="765"/>
        <v>0.16341086632457369</v>
      </c>
      <c r="I331" s="4">
        <f t="shared" si="765"/>
        <v>0.26620807454777107</v>
      </c>
      <c r="J331" s="4">
        <f t="shared" si="765"/>
        <v>0.24533158622678192</v>
      </c>
      <c r="K331" s="4">
        <f t="shared" ca="1" si="765"/>
        <v>0.14238001744097983</v>
      </c>
      <c r="L331" s="4">
        <f t="shared" ca="1" si="765"/>
        <v>0.10459507113474609</v>
      </c>
      <c r="M331" s="4">
        <f t="shared" ca="1" si="765"/>
        <v>0.11236529892053865</v>
      </c>
      <c r="N331" s="4">
        <f t="shared" ref="N331" ca="1" si="766">N303-(N302+N307)/(N301+N306)</f>
        <v>0.10517683262969557</v>
      </c>
      <c r="Q331" s="58"/>
      <c r="R331" s="58"/>
      <c r="S331" s="58"/>
      <c r="T331" s="212"/>
      <c r="U331" s="4">
        <f ca="1">U303-(U302+U307)/(U301+U306)</f>
        <v>2.6292924613997126E-2</v>
      </c>
      <c r="V331" s="60">
        <v>5.5E-2</v>
      </c>
      <c r="W331" s="60">
        <v>0.08</v>
      </c>
      <c r="X331" s="228">
        <v>0.1</v>
      </c>
      <c r="Y331" s="4">
        <f ca="1">Y303-(Y302+Y307)/(Y301+Y306)</f>
        <v>9.7478754689745539E-2</v>
      </c>
      <c r="Z331" s="60">
        <v>0.155</v>
      </c>
      <c r="AA331" s="60">
        <v>0.17</v>
      </c>
      <c r="AB331" s="228">
        <v>0.19</v>
      </c>
      <c r="AC331" s="4">
        <f ca="1">AC303-(AC302+AC307)/(AC301+AC306)</f>
        <v>0.18271645377852158</v>
      </c>
      <c r="AD331" s="60">
        <v>0.253</v>
      </c>
      <c r="AE331" s="60">
        <v>0.32</v>
      </c>
      <c r="AF331" s="228">
        <v>0.249</v>
      </c>
      <c r="AG331" s="60">
        <v>0.25700000000000001</v>
      </c>
      <c r="AH331" s="60">
        <v>0.254</v>
      </c>
      <c r="AI331" s="60">
        <v>0.214</v>
      </c>
      <c r="AJ331" s="228">
        <v>0.22900000000000001</v>
      </c>
      <c r="AK331" s="60">
        <v>0.16800000000000001</v>
      </c>
      <c r="AL331" s="63">
        <v>0.15</v>
      </c>
      <c r="AM331" s="4">
        <f ca="1">AM329-AM322-AM332-AM333</f>
        <v>0.14204080065472205</v>
      </c>
      <c r="AN331" s="215">
        <f ca="1">AN329-AN322-AN332-AN333</f>
        <v>0.11578423195943716</v>
      </c>
      <c r="AO331" s="4">
        <f t="shared" ref="AO331:AV331" ca="1" si="767">AO303-(AO302+AO307)/(AO301+AO306)</f>
        <v>0.13112276819586544</v>
      </c>
      <c r="AP331" s="4">
        <f t="shared" ca="1" si="767"/>
        <v>8.9998773612069483E-2</v>
      </c>
      <c r="AQ331" s="4">
        <f t="shared" ca="1" si="767"/>
        <v>0.10223099482059222</v>
      </c>
      <c r="AR331" s="215">
        <f t="shared" ca="1" si="767"/>
        <v>9.9570543123271127E-2</v>
      </c>
      <c r="AS331" s="4">
        <f t="shared" ca="1" si="767"/>
        <v>0.11369360085729252</v>
      </c>
      <c r="AT331" s="4">
        <f t="shared" ca="1" si="767"/>
        <v>9.9407884654585998E-2</v>
      </c>
      <c r="AU331" s="4">
        <f t="shared" ca="1" si="767"/>
        <v>0.12082064714057694</v>
      </c>
      <c r="AV331" s="215">
        <f t="shared" ca="1" si="767"/>
        <v>0.11460819295201885</v>
      </c>
      <c r="AW331" s="4">
        <f t="shared" ref="AW331:AZ331" ca="1" si="768">AW303-(AW302+AW307)/(AW301+AW306)</f>
        <v>0.10815457898658321</v>
      </c>
      <c r="AX331" s="4">
        <f t="shared" ca="1" si="768"/>
        <v>9.0110495547949199E-2</v>
      </c>
      <c r="AY331" s="4">
        <f t="shared" ca="1" si="768"/>
        <v>0.12087458928012185</v>
      </c>
      <c r="AZ331" s="4">
        <f t="shared" ca="1" si="768"/>
        <v>0.10084394392141194</v>
      </c>
    </row>
    <row r="332" spans="1:60">
      <c r="B332" s="3" t="s">
        <v>3</v>
      </c>
      <c r="G332" s="4">
        <f t="shared" ref="G332:N332" si="769">(G321-G312)/(G338-G311)-G322</f>
        <v>4.0391303786769472E-2</v>
      </c>
      <c r="H332" s="4">
        <f t="shared" si="769"/>
        <v>4.150738170882512E-2</v>
      </c>
      <c r="I332" s="4">
        <f t="shared" si="769"/>
        <v>5.6166219361769715E-2</v>
      </c>
      <c r="J332" s="4">
        <f t="shared" ca="1" si="769"/>
        <v>7.7692619168601512E-2</v>
      </c>
      <c r="K332" s="4">
        <f t="shared" ca="1" si="769"/>
        <v>0.11269958730168428</v>
      </c>
      <c r="L332" s="4">
        <f t="shared" ca="1" si="769"/>
        <v>0.15158903453673575</v>
      </c>
      <c r="M332" s="4">
        <f t="shared" ca="1" si="769"/>
        <v>0.13981414900576697</v>
      </c>
      <c r="N332" s="4">
        <f t="shared" ca="1" si="769"/>
        <v>0.12150370204688649</v>
      </c>
      <c r="Q332" s="58"/>
      <c r="R332" s="58"/>
      <c r="S332" s="58"/>
      <c r="T332" s="212"/>
      <c r="U332" s="4">
        <f ca="1">(U321-U312)/(U338-U311)-U322</f>
        <v>4.298278813420886E-2</v>
      </c>
      <c r="V332" s="63">
        <v>3.6999999999999998E-2</v>
      </c>
      <c r="W332" s="63">
        <v>3.7999999999999999E-2</v>
      </c>
      <c r="X332" s="275">
        <v>4.2000000000000003E-2</v>
      </c>
      <c r="Y332" s="4">
        <f ca="1">(Y321-Y312)/(Y338-Y311)-Y322</f>
        <v>4.1752653701462417E-2</v>
      </c>
      <c r="Z332" s="63">
        <v>3.7999999999999999E-2</v>
      </c>
      <c r="AA332" s="63">
        <v>3.9E-2</v>
      </c>
      <c r="AB332" s="275">
        <v>4.4999999999999998E-2</v>
      </c>
      <c r="AC332" s="4">
        <f>(AC321-AC312)/(AC338-AC311)-AC322</f>
        <v>6.2115873702420749E-2</v>
      </c>
      <c r="AD332" s="60">
        <v>5.0999999999999997E-2</v>
      </c>
      <c r="AE332" s="60">
        <v>5.3999999999999999E-2</v>
      </c>
      <c r="AF332" s="228">
        <v>5.8999999999999997E-2</v>
      </c>
      <c r="AG332" s="60">
        <v>8.6999999999999994E-2</v>
      </c>
      <c r="AH332" s="60">
        <v>5.5E-2</v>
      </c>
      <c r="AI332" s="4">
        <f t="shared" ref="AI332:AZ332" ca="1" si="770">(AI321-AI312)/(AI338-AI311)-AI322</f>
        <v>7.5352158082412024E-2</v>
      </c>
      <c r="AJ332" s="215">
        <f t="shared" ca="1" si="770"/>
        <v>8.1962052739007085E-2</v>
      </c>
      <c r="AK332" s="4">
        <f t="shared" ca="1" si="770"/>
        <v>0.10837163726707663</v>
      </c>
      <c r="AL332" s="4">
        <f t="shared" ca="1" si="770"/>
        <v>0.11946733002204768</v>
      </c>
      <c r="AM332" s="4">
        <f t="shared" ca="1" si="770"/>
        <v>0.11768161848592459</v>
      </c>
      <c r="AN332" s="215">
        <f t="shared" ca="1" si="770"/>
        <v>0.10569422143289967</v>
      </c>
      <c r="AO332" s="4">
        <f t="shared" ca="1" si="770"/>
        <v>0.12328961056180548</v>
      </c>
      <c r="AP332" s="4">
        <f t="shared" ca="1" si="770"/>
        <v>0.17358779323895268</v>
      </c>
      <c r="AQ332" s="4">
        <f t="shared" ca="1" si="770"/>
        <v>0.14637863931110884</v>
      </c>
      <c r="AR332" s="215">
        <f t="shared" ca="1" si="770"/>
        <v>0.15862654836702339</v>
      </c>
      <c r="AS332" s="4">
        <f t="shared" ca="1" si="770"/>
        <v>0.15136785743302353</v>
      </c>
      <c r="AT332" s="4">
        <f t="shared" ca="1" si="770"/>
        <v>0.16038531586510454</v>
      </c>
      <c r="AU332" s="4">
        <f t="shared" ca="1" si="770"/>
        <v>0.12196852495456315</v>
      </c>
      <c r="AV332" s="215">
        <f t="shared" ca="1" si="770"/>
        <v>0.12944078062063913</v>
      </c>
      <c r="AW332" s="4">
        <f t="shared" ca="1" si="770"/>
        <v>0.13403867247636253</v>
      </c>
      <c r="AX332" s="4">
        <f t="shared" ca="1" si="770"/>
        <v>0.14974115836712998</v>
      </c>
      <c r="AY332" s="4">
        <f t="shared" ca="1" si="770"/>
        <v>0.10208609350294839</v>
      </c>
      <c r="AZ332" s="4">
        <f t="shared" ca="1" si="770"/>
        <v>0.10476469502374586</v>
      </c>
    </row>
    <row r="333" spans="1:60">
      <c r="B333" s="3" t="s">
        <v>73</v>
      </c>
      <c r="G333" s="4">
        <f t="shared" ref="G333:N333" si="771">(G321-G312-G317)/(G338-G311-G316)-(G322+G332)</f>
        <v>2.6124693856656167E-3</v>
      </c>
      <c r="H333" s="4">
        <f t="shared" si="771"/>
        <v>-1.566170959162505E-2</v>
      </c>
      <c r="I333" s="4">
        <f t="shared" si="771"/>
        <v>-1.3992156220431817E-2</v>
      </c>
      <c r="J333" s="4">
        <f t="shared" ca="1" si="771"/>
        <v>-6.7641713741656284E-5</v>
      </c>
      <c r="K333" s="4">
        <f t="shared" ca="1" si="771"/>
        <v>4.0903451018071135E-3</v>
      </c>
      <c r="L333" s="4">
        <f t="shared" ca="1" si="771"/>
        <v>6.3697802785984137E-3</v>
      </c>
      <c r="M333" s="4">
        <f t="shared" ca="1" si="771"/>
        <v>7.2421373869093197E-3</v>
      </c>
      <c r="N333" s="4">
        <f t="shared" ca="1" si="771"/>
        <v>6.8614979297126899E-3</v>
      </c>
      <c r="Q333" s="58"/>
      <c r="R333" s="58"/>
      <c r="S333" s="58"/>
      <c r="T333" s="212"/>
      <c r="U333" s="4">
        <f ca="1">(U321-U312-U317)/(U338-U311-U316)-(U322+U332)</f>
        <v>2.6124711141091161E-3</v>
      </c>
      <c r="V333" s="4">
        <f>G333</f>
        <v>2.6124693856656167E-3</v>
      </c>
      <c r="W333" s="4">
        <f>V333</f>
        <v>2.6124693856656167E-3</v>
      </c>
      <c r="X333" s="215">
        <f>W333</f>
        <v>2.6124693856656167E-3</v>
      </c>
      <c r="Y333" s="4">
        <f ca="1">(Y321-Y312-Y317)/(Y338-Y311-Y316)-(Y322+Y332)</f>
        <v>1.4211239319257107E-2</v>
      </c>
      <c r="Z333" s="4">
        <f>H333</f>
        <v>-1.566170959162505E-2</v>
      </c>
      <c r="AA333" s="4">
        <f>Z333</f>
        <v>-1.566170959162505E-2</v>
      </c>
      <c r="AB333" s="215">
        <f>AA333</f>
        <v>-1.566170959162505E-2</v>
      </c>
      <c r="AC333" s="4">
        <f ca="1">(AC321-AC312-AC317)/(AC338-AC311-AC316)-(AC322+AC332)</f>
        <v>5.6444172807509352E-3</v>
      </c>
      <c r="AD333" s="4">
        <f>I333</f>
        <v>-1.3992156220431817E-2</v>
      </c>
      <c r="AE333" s="4">
        <f>AD333</f>
        <v>-1.3992156220431817E-2</v>
      </c>
      <c r="AF333" s="215">
        <f>AE333</f>
        <v>-1.3992156220431817E-2</v>
      </c>
      <c r="AG333" s="4">
        <f>(AG303-AG331-AG332-AG322)</f>
        <v>6.6767946025080571E-3</v>
      </c>
      <c r="AH333" s="60">
        <v>-2E-3</v>
      </c>
      <c r="AI333" s="60">
        <v>9.5365084517318299E-3</v>
      </c>
      <c r="AJ333" s="228">
        <v>8.9999999999999993E-3</v>
      </c>
      <c r="AK333" s="4">
        <f ca="1">(AK303-AK331-AK332-AK322)</f>
        <v>5.3799266382286159E-3</v>
      </c>
      <c r="AL333" s="4">
        <f ca="1">AK333-0.001</f>
        <v>4.3799266382286159E-3</v>
      </c>
      <c r="AM333" s="4">
        <f ca="1">AL333</f>
        <v>4.3799266382286159E-3</v>
      </c>
      <c r="AN333" s="215">
        <f ca="1">AM333</f>
        <v>4.3799266382286159E-3</v>
      </c>
      <c r="AO333" s="4">
        <f t="shared" ref="AO333:AZ333" ca="1" si="772">(AO321-AO312-AO317)/(AO338-AO311-AO316)-(AO322+AO332)</f>
        <v>5.1776735906871041E-3</v>
      </c>
      <c r="AP333" s="4">
        <f t="shared" ca="1" si="772"/>
        <v>5.962437105202445E-3</v>
      </c>
      <c r="AQ333" s="4">
        <f t="shared" ca="1" si="772"/>
        <v>6.6643534141918037E-3</v>
      </c>
      <c r="AR333" s="215">
        <f t="shared" ca="1" si="772"/>
        <v>7.3733005066395352E-3</v>
      </c>
      <c r="AS333" s="4">
        <f t="shared" ca="1" si="772"/>
        <v>7.6045340796290217E-3</v>
      </c>
      <c r="AT333" s="4">
        <f t="shared" ca="1" si="772"/>
        <v>7.0020274591882092E-3</v>
      </c>
      <c r="AU333" s="4">
        <f t="shared" ca="1" si="772"/>
        <v>7.1973457308325273E-3</v>
      </c>
      <c r="AV333" s="215">
        <f t="shared" ca="1" si="772"/>
        <v>7.2173342990899392E-3</v>
      </c>
      <c r="AW333" s="4">
        <f t="shared" ca="1" si="772"/>
        <v>7.2969422619098001E-3</v>
      </c>
      <c r="AX333" s="4">
        <f t="shared" ca="1" si="772"/>
        <v>6.629549013224989E-3</v>
      </c>
      <c r="AY333" s="4">
        <f t="shared" ca="1" si="772"/>
        <v>6.912615949156764E-3</v>
      </c>
      <c r="AZ333" s="4">
        <f t="shared" ca="1" si="772"/>
        <v>6.6705968571420526E-3</v>
      </c>
    </row>
    <row r="334" spans="1:60">
      <c r="B334" s="3"/>
      <c r="G334" s="58"/>
      <c r="H334" s="58"/>
      <c r="I334" s="60"/>
      <c r="J334" s="60"/>
      <c r="K334" s="60"/>
      <c r="L334" s="60"/>
      <c r="M334" s="60"/>
      <c r="N334" s="60"/>
      <c r="Q334" s="58"/>
      <c r="R334" s="58"/>
      <c r="S334" s="58"/>
      <c r="T334" s="212"/>
      <c r="U334" s="58"/>
      <c r="V334" s="58"/>
      <c r="W334" s="58"/>
      <c r="X334" s="212"/>
      <c r="Y334" s="58"/>
      <c r="Z334" s="58"/>
      <c r="AA334" s="58"/>
      <c r="AB334" s="212"/>
      <c r="AC334" s="60"/>
      <c r="AD334" s="60"/>
      <c r="AE334" s="60"/>
      <c r="AF334" s="228"/>
      <c r="AG334" s="60"/>
      <c r="AH334" s="60"/>
      <c r="AK334" s="60"/>
      <c r="AL334" s="60"/>
      <c r="AM334" s="60"/>
      <c r="AN334" s="212"/>
      <c r="AO334" s="58"/>
      <c r="AP334" s="58"/>
      <c r="AQ334" s="58"/>
      <c r="AR334" s="212"/>
      <c r="AS334" s="58"/>
      <c r="AT334" s="58"/>
      <c r="AU334" s="58"/>
      <c r="AV334" s="212"/>
      <c r="AW334" s="58"/>
      <c r="AX334" s="58"/>
      <c r="AY334" s="58"/>
      <c r="AZ334" s="58"/>
    </row>
    <row r="335" spans="1:60">
      <c r="B335" s="11" t="s">
        <v>72</v>
      </c>
      <c r="G335" s="4">
        <f>(G302+G307+G317)/SUM(G316+G306+BIDU_IS!G301)</f>
        <v>0.40685996305355204</v>
      </c>
      <c r="H335" s="4">
        <f>(H302+H307+H317)/SUM(H316+H306+BIDU_IS!H301)</f>
        <v>0.32215678955128429</v>
      </c>
      <c r="I335" s="4">
        <f>(I302+I307+I317)/SUM(I316+I306+BIDU_IS!I301)</f>
        <v>0.25288756417639474</v>
      </c>
      <c r="J335" s="4">
        <f ca="1">(J302+J307+J317)/SUM(J316+J306+BIDU_IS!J301)</f>
        <v>0.24507992545246823</v>
      </c>
      <c r="K335" s="4">
        <f ca="1">(K302+K307+K317)/SUM(K316+K306+BIDU_IS!K301)</f>
        <v>0.3359566943814854</v>
      </c>
      <c r="L335" s="4">
        <f ca="1">(L302+L307+L317)/SUM(L316+L306+BIDU_IS!L301)</f>
        <v>0.34575622162147435</v>
      </c>
      <c r="M335" s="4">
        <f ca="1">(M302+M307+M317)/SUM(M316+M306+BIDU_IS!M301)</f>
        <v>0.36148887211499109</v>
      </c>
      <c r="N335" s="4">
        <f ca="1">(N302+N307+N317)/SUM(N316+N306+BIDU_IS!N301)</f>
        <v>0.37854138368863954</v>
      </c>
      <c r="Q335" s="58"/>
      <c r="R335" s="58"/>
      <c r="S335" s="58"/>
      <c r="T335" s="212"/>
      <c r="U335" s="58"/>
      <c r="V335" s="58"/>
      <c r="W335" s="58"/>
      <c r="X335" s="212"/>
      <c r="Y335" s="58"/>
      <c r="Z335" s="58"/>
      <c r="AA335" s="58"/>
      <c r="AB335" s="212"/>
      <c r="AC335" s="4">
        <f t="shared" ref="AC335:AJ335" ca="1" si="773">AC322+AC332+AC333</f>
        <v>0.2600167017070788</v>
      </c>
      <c r="AD335" s="4">
        <f t="shared" si="773"/>
        <v>0.26773864836891997</v>
      </c>
      <c r="AE335" s="4">
        <f t="shared" si="773"/>
        <v>0.19841268353412286</v>
      </c>
      <c r="AF335" s="215">
        <f t="shared" si="773"/>
        <v>0.25228837748671529</v>
      </c>
      <c r="AG335" s="4">
        <f t="shared" si="773"/>
        <v>0.25295036574772323</v>
      </c>
      <c r="AH335" s="4">
        <f t="shared" si="773"/>
        <v>0.23189728273343868</v>
      </c>
      <c r="AI335" s="4">
        <f t="shared" ca="1" si="773"/>
        <v>0.26047269741955698</v>
      </c>
      <c r="AJ335" s="215">
        <f t="shared" ca="1" si="773"/>
        <v>0.24564025660961492</v>
      </c>
      <c r="AK335" s="60">
        <v>0.26200000000000001</v>
      </c>
      <c r="AL335" s="4">
        <f t="shared" ref="AL335:AV335" ca="1" si="774">AL322+AL332+AL333</f>
        <v>0.36366712827089237</v>
      </c>
      <c r="AM335" s="4">
        <f t="shared" ca="1" si="774"/>
        <v>0.35795919934527798</v>
      </c>
      <c r="AN335" s="215">
        <f t="shared" ca="1" si="774"/>
        <v>0.35421576804056282</v>
      </c>
      <c r="AO335" s="4">
        <f t="shared" ca="1" si="774"/>
        <v>0.29387723180413455</v>
      </c>
      <c r="AP335" s="4">
        <f t="shared" ca="1" si="774"/>
        <v>0.37500122638793054</v>
      </c>
      <c r="AQ335" s="4">
        <f t="shared" ca="1" si="774"/>
        <v>0.36776900517940775</v>
      </c>
      <c r="AR335" s="215">
        <f t="shared" ca="1" si="774"/>
        <v>0.36042945687672884</v>
      </c>
      <c r="AS335" s="4">
        <f t="shared" ca="1" si="774"/>
        <v>0.34105639914270752</v>
      </c>
      <c r="AT335" s="4">
        <f t="shared" ca="1" si="774"/>
        <v>0.38884211534541407</v>
      </c>
      <c r="AU335" s="4">
        <f t="shared" ca="1" si="774"/>
        <v>0.37267935285942305</v>
      </c>
      <c r="AV335" s="215">
        <f t="shared" ca="1" si="774"/>
        <v>0.36839180704798119</v>
      </c>
      <c r="AW335" s="4">
        <f t="shared" ref="AW335:AZ335" ca="1" si="775">AW322+AW332+AW333</f>
        <v>0.35569042101341686</v>
      </c>
      <c r="AX335" s="4">
        <f t="shared" ca="1" si="775"/>
        <v>0.4079045044520509</v>
      </c>
      <c r="AY335" s="4">
        <f t="shared" ca="1" si="775"/>
        <v>0.38249541071987803</v>
      </c>
      <c r="AZ335" s="4">
        <f t="shared" ca="1" si="775"/>
        <v>0.3918160560785881</v>
      </c>
    </row>
    <row r="336" spans="1:60" s="202" customFormat="1">
      <c r="A336" s="296"/>
      <c r="B336" s="11"/>
      <c r="G336" s="4"/>
      <c r="H336" s="4"/>
      <c r="I336" s="4"/>
      <c r="J336" s="4"/>
      <c r="K336" s="4"/>
      <c r="L336" s="4"/>
      <c r="M336" s="4"/>
      <c r="N336" s="4"/>
      <c r="Q336" s="200"/>
      <c r="R336" s="200"/>
      <c r="S336" s="200"/>
      <c r="T336" s="212"/>
      <c r="U336" s="200"/>
      <c r="V336" s="200"/>
      <c r="W336" s="200"/>
      <c r="X336" s="212"/>
      <c r="Y336" s="200"/>
      <c r="Z336" s="200"/>
      <c r="AA336" s="200"/>
      <c r="AB336" s="212"/>
      <c r="AC336" s="4"/>
      <c r="AD336" s="4"/>
      <c r="AE336" s="4"/>
      <c r="AF336" s="215"/>
      <c r="AG336" s="4"/>
      <c r="AH336" s="4"/>
      <c r="AI336" s="4"/>
      <c r="AJ336" s="215"/>
      <c r="AK336" s="60"/>
      <c r="AL336" s="4"/>
      <c r="AM336" s="4"/>
      <c r="AN336" s="215"/>
      <c r="AO336" s="4"/>
      <c r="AP336" s="4"/>
      <c r="AQ336" s="4"/>
      <c r="AR336" s="215"/>
      <c r="AS336" s="4"/>
      <c r="AT336" s="4"/>
      <c r="AU336" s="4"/>
      <c r="AV336" s="215"/>
      <c r="AW336" s="4"/>
      <c r="AX336" s="4"/>
      <c r="AY336" s="4"/>
      <c r="AZ336" s="4"/>
      <c r="BC336"/>
      <c r="BD336"/>
      <c r="BE336"/>
      <c r="BF336"/>
      <c r="BG336"/>
      <c r="BH336"/>
    </row>
    <row r="337" spans="2:52" hidden="1" outlineLevel="1">
      <c r="B337" s="57" t="s">
        <v>71</v>
      </c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225"/>
      <c r="U337" s="57"/>
      <c r="V337" s="57"/>
      <c r="W337" s="57"/>
      <c r="X337" s="225"/>
      <c r="Y337" s="57"/>
      <c r="Z337" s="57"/>
      <c r="AA337" s="57"/>
      <c r="AB337" s="225"/>
      <c r="AC337" s="57"/>
      <c r="AD337" s="57"/>
      <c r="AE337" s="57"/>
      <c r="AF337" s="225"/>
      <c r="AG337" s="57"/>
      <c r="AH337" s="57"/>
      <c r="AI337" s="57"/>
      <c r="AJ337" s="225"/>
      <c r="AK337" s="57"/>
      <c r="AL337" s="57"/>
      <c r="AM337" s="57"/>
      <c r="AN337" s="225"/>
      <c r="AO337" s="57"/>
      <c r="AP337" s="57"/>
      <c r="AQ337" s="57"/>
      <c r="AR337" s="225"/>
      <c r="AS337" s="57"/>
      <c r="AT337" s="57"/>
      <c r="AU337" s="57"/>
      <c r="AV337" s="225"/>
      <c r="AW337" s="57"/>
      <c r="AX337" s="57"/>
      <c r="AY337" s="57"/>
      <c r="AZ337" s="57"/>
    </row>
    <row r="338" spans="2:52" hidden="1" outlineLevel="1">
      <c r="B338" s="11" t="s">
        <v>70</v>
      </c>
      <c r="G338" s="58">
        <f t="shared" ref="G338:N338" si="776">G82</f>
        <v>31943.924000000003</v>
      </c>
      <c r="H338" s="58">
        <f t="shared" si="776"/>
        <v>49052.317999999999</v>
      </c>
      <c r="I338" s="58">
        <f t="shared" si="776"/>
        <v>66381.729000000007</v>
      </c>
      <c r="J338" s="58">
        <f t="shared" si="776"/>
        <v>70549.364000000001</v>
      </c>
      <c r="K338" s="58">
        <f t="shared" ca="1" si="776"/>
        <v>84809.434999999998</v>
      </c>
      <c r="L338" s="58">
        <f t="shared" ca="1" si="776"/>
        <v>105290.91053061458</v>
      </c>
      <c r="M338" s="58">
        <f t="shared" ca="1" si="776"/>
        <v>128598.91692662711</v>
      </c>
      <c r="N338" s="58">
        <f t="shared" ca="1" si="776"/>
        <v>154732.31113123751</v>
      </c>
      <c r="Q338" s="58"/>
      <c r="R338" s="58"/>
      <c r="S338" s="58"/>
      <c r="T338" s="212"/>
      <c r="U338" s="58">
        <f t="shared" ref="U338:AZ338" si="777">U82</f>
        <v>5968.5380000000005</v>
      </c>
      <c r="V338" s="58">
        <f t="shared" si="777"/>
        <v>7560.8149999999996</v>
      </c>
      <c r="W338" s="58">
        <f t="shared" si="777"/>
        <v>8891.6579999999994</v>
      </c>
      <c r="X338" s="212">
        <f t="shared" si="777"/>
        <v>9522.9129999999986</v>
      </c>
      <c r="Y338" s="58">
        <f t="shared" si="777"/>
        <v>9496.5519999999997</v>
      </c>
      <c r="Z338" s="58">
        <f t="shared" si="777"/>
        <v>11985.782000000001</v>
      </c>
      <c r="AA338" s="58">
        <f t="shared" si="777"/>
        <v>13519.755999999999</v>
      </c>
      <c r="AB338" s="212">
        <f t="shared" si="777"/>
        <v>14050.228999999999</v>
      </c>
      <c r="AC338" s="58">
        <f t="shared" si="777"/>
        <v>12724.616</v>
      </c>
      <c r="AD338" s="58">
        <f t="shared" si="777"/>
        <v>16575.237999999998</v>
      </c>
      <c r="AE338" s="58">
        <f t="shared" si="777"/>
        <v>18383.080999999998</v>
      </c>
      <c r="AF338" s="212">
        <f t="shared" si="777"/>
        <v>18698.794000000002</v>
      </c>
      <c r="AG338" s="58">
        <f t="shared" si="777"/>
        <v>15820.572</v>
      </c>
      <c r="AH338" s="58">
        <f t="shared" si="777"/>
        <v>18263.648000000001</v>
      </c>
      <c r="AI338" s="58">
        <f t="shared" si="777"/>
        <v>18252.759000000002</v>
      </c>
      <c r="AJ338" s="212">
        <f t="shared" si="777"/>
        <v>18212.385000000002</v>
      </c>
      <c r="AK338" s="58">
        <f t="shared" si="777"/>
        <v>16890.785</v>
      </c>
      <c r="AL338" s="58">
        <f t="shared" si="777"/>
        <v>20874</v>
      </c>
      <c r="AM338" s="58">
        <f t="shared" si="777"/>
        <v>23489</v>
      </c>
      <c r="AN338" s="212">
        <f t="shared" si="777"/>
        <v>23556</v>
      </c>
      <c r="AO338" s="58">
        <f t="shared" ca="1" si="777"/>
        <v>21895.130732176371</v>
      </c>
      <c r="AP338" s="58">
        <f t="shared" ca="1" si="777"/>
        <v>26210.917108090678</v>
      </c>
      <c r="AQ338" s="58">
        <f t="shared" ca="1" si="777"/>
        <v>28625.129337368326</v>
      </c>
      <c r="AR338" s="212">
        <f t="shared" ca="1" si="777"/>
        <v>28559.733352979201</v>
      </c>
      <c r="AS338" s="58">
        <f t="shared" ca="1" si="777"/>
        <v>27738.94339302912</v>
      </c>
      <c r="AT338" s="58">
        <f t="shared" ca="1" si="777"/>
        <v>31989.914142847658</v>
      </c>
      <c r="AU338" s="58">
        <f t="shared" ca="1" si="777"/>
        <v>35015.82257724426</v>
      </c>
      <c r="AV338" s="212">
        <f t="shared" ca="1" si="777"/>
        <v>33854.236813506061</v>
      </c>
      <c r="AW338" s="58">
        <f t="shared" ca="1" si="777"/>
        <v>33682.785314753222</v>
      </c>
      <c r="AX338" s="58">
        <f t="shared" ca="1" si="777"/>
        <v>38198.966460732583</v>
      </c>
      <c r="AY338" s="58">
        <f t="shared" ca="1" si="777"/>
        <v>41554.910243324426</v>
      </c>
      <c r="AZ338" s="58">
        <f t="shared" ca="1" si="777"/>
        <v>41295.649112427272</v>
      </c>
    </row>
    <row r="339" spans="2:52" hidden="1" outlineLevel="1">
      <c r="B339" s="11" t="s">
        <v>69</v>
      </c>
      <c r="G339" s="58"/>
      <c r="H339" s="58"/>
      <c r="I339" s="60"/>
      <c r="J339" s="60"/>
      <c r="K339" s="58"/>
      <c r="L339" s="58"/>
      <c r="M339" s="58"/>
      <c r="N339" s="58"/>
      <c r="Q339" s="58"/>
      <c r="R339" s="58"/>
      <c r="S339" s="58"/>
      <c r="T339" s="212"/>
      <c r="U339" s="58">
        <f t="shared" ref="U339:AN339" ca="1" si="778">(U338-U301-U306-U311-U316)</f>
        <v>0</v>
      </c>
      <c r="V339" s="58">
        <f t="shared" ca="1" si="778"/>
        <v>1.4210854715202004E-14</v>
      </c>
      <c r="W339" s="58">
        <f t="shared" ca="1" si="778"/>
        <v>-1.4210854715202004E-14</v>
      </c>
      <c r="X339" s="212">
        <f t="shared" ca="1" si="778"/>
        <v>-2.8421709430404007E-14</v>
      </c>
      <c r="Y339" s="58">
        <f t="shared" ca="1" si="778"/>
        <v>1.4210854715202004E-14</v>
      </c>
      <c r="Z339" s="58">
        <f t="shared" ca="1" si="778"/>
        <v>-5.6843418860808015E-14</v>
      </c>
      <c r="AA339" s="58">
        <f t="shared" ca="1" si="778"/>
        <v>2.8421709430404007E-14</v>
      </c>
      <c r="AB339" s="212">
        <f t="shared" ca="1" si="778"/>
        <v>-2.8421709430404007E-14</v>
      </c>
      <c r="AC339" s="58">
        <f t="shared" ca="1" si="778"/>
        <v>0</v>
      </c>
      <c r="AD339" s="58">
        <f t="shared" ca="1" si="778"/>
        <v>-2.8421709430404007E-14</v>
      </c>
      <c r="AE339" s="58">
        <f t="shared" ca="1" si="778"/>
        <v>-8.5265128291212022E-14</v>
      </c>
      <c r="AF339" s="212">
        <f t="shared" ca="1" si="778"/>
        <v>-2.8421709430404007E-14</v>
      </c>
      <c r="AG339" s="58">
        <f t="shared" si="778"/>
        <v>6.8212102632969618E-13</v>
      </c>
      <c r="AH339" s="58">
        <f t="shared" ca="1" si="778"/>
        <v>6.2527760746888816E-13</v>
      </c>
      <c r="AI339" s="58">
        <f t="shared" ca="1" si="778"/>
        <v>-6.5369931689929217E-13</v>
      </c>
      <c r="AJ339" s="212">
        <f t="shared" ca="1" si="778"/>
        <v>-1.8189894035458565E-12</v>
      </c>
      <c r="AK339" s="58">
        <f t="shared" si="778"/>
        <v>-1.8189894035458565E-12</v>
      </c>
      <c r="AL339" s="58">
        <f t="shared" si="778"/>
        <v>-1.5063505998114124E-12</v>
      </c>
      <c r="AM339" s="58">
        <f t="shared" si="778"/>
        <v>-3.723243935382925E-12</v>
      </c>
      <c r="AN339" s="212">
        <f t="shared" si="778"/>
        <v>1.7337242752546445E-12</v>
      </c>
      <c r="AO339" s="58"/>
      <c r="AP339" s="58"/>
      <c r="AQ339" s="58"/>
      <c r="AR339" s="212"/>
      <c r="AS339" s="58"/>
      <c r="AT339" s="58"/>
      <c r="AU339" s="58"/>
      <c r="AV339" s="212"/>
      <c r="AW339" s="58"/>
      <c r="AX339" s="58"/>
      <c r="AY339" s="58"/>
      <c r="AZ339" s="58"/>
    </row>
    <row r="340" spans="2:52" hidden="1" outlineLevel="1">
      <c r="B340" s="11" t="s">
        <v>68</v>
      </c>
      <c r="G340" s="58"/>
      <c r="H340" s="58"/>
      <c r="I340" s="60"/>
      <c r="J340" s="60"/>
      <c r="K340" s="58"/>
      <c r="L340" s="58"/>
      <c r="M340" s="58"/>
      <c r="N340" s="58"/>
      <c r="Q340" s="58"/>
      <c r="R340" s="58"/>
      <c r="S340" s="58"/>
      <c r="T340" s="212"/>
      <c r="U340" s="58">
        <f t="shared" ref="U340:AN340" ca="1" si="779">U321-(U302+U307+U312+U317)</f>
        <v>-1.000000004296453E-3</v>
      </c>
      <c r="V340" s="58">
        <f t="shared" ca="1" si="779"/>
        <v>0</v>
      </c>
      <c r="W340" s="58">
        <f t="shared" ca="1" si="779"/>
        <v>0</v>
      </c>
      <c r="X340" s="212">
        <f t="shared" ca="1" si="779"/>
        <v>0</v>
      </c>
      <c r="Y340" s="58">
        <f t="shared" ca="1" si="779"/>
        <v>-9.9999999883948476E-4</v>
      </c>
      <c r="Z340" s="58">
        <f t="shared" ca="1" si="779"/>
        <v>0</v>
      </c>
      <c r="AA340" s="58">
        <f t="shared" ca="1" si="779"/>
        <v>0</v>
      </c>
      <c r="AB340" s="212">
        <f t="shared" ca="1" si="779"/>
        <v>0</v>
      </c>
      <c r="AC340" s="58">
        <f t="shared" ca="1" si="779"/>
        <v>-3.1000000004041794E-2</v>
      </c>
      <c r="AD340" s="58">
        <f t="shared" ca="1" si="779"/>
        <v>0</v>
      </c>
      <c r="AE340" s="58">
        <f t="shared" ca="1" si="779"/>
        <v>0</v>
      </c>
      <c r="AF340" s="212">
        <f t="shared" ca="1" si="779"/>
        <v>0</v>
      </c>
      <c r="AG340" s="58">
        <f t="shared" si="779"/>
        <v>0</v>
      </c>
      <c r="AH340" s="58">
        <f t="shared" ca="1" si="779"/>
        <v>0</v>
      </c>
      <c r="AI340" s="58">
        <f t="shared" ca="1" si="779"/>
        <v>0</v>
      </c>
      <c r="AJ340" s="212">
        <f t="shared" ca="1" si="779"/>
        <v>0</v>
      </c>
      <c r="AK340" s="58">
        <f t="shared" ca="1" si="779"/>
        <v>0</v>
      </c>
      <c r="AL340" s="58">
        <f t="shared" ca="1" si="779"/>
        <v>0</v>
      </c>
      <c r="AM340" s="58">
        <f t="shared" ca="1" si="779"/>
        <v>0</v>
      </c>
      <c r="AN340" s="212">
        <f t="shared" ca="1" si="779"/>
        <v>0</v>
      </c>
      <c r="AO340" s="58"/>
      <c r="AP340" s="58"/>
      <c r="AQ340" s="58"/>
      <c r="AR340" s="212"/>
      <c r="AS340" s="58"/>
      <c r="AT340" s="58"/>
      <c r="AU340" s="58"/>
      <c r="AV340" s="212"/>
      <c r="AW340" s="58"/>
      <c r="AX340" s="58"/>
      <c r="AY340" s="58"/>
      <c r="AZ340" s="58"/>
    </row>
    <row r="341" spans="2:52" collapsed="1">
      <c r="B341" s="11"/>
      <c r="G341" s="58"/>
      <c r="H341" s="58"/>
      <c r="I341" s="60"/>
      <c r="J341" s="60"/>
      <c r="K341" s="58"/>
      <c r="L341" s="58"/>
      <c r="M341" s="58"/>
      <c r="N341" s="58"/>
      <c r="Q341" s="58"/>
      <c r="R341" s="58"/>
      <c r="S341" s="58"/>
      <c r="T341" s="212"/>
      <c r="U341" s="58"/>
      <c r="V341" s="58"/>
      <c r="W341" s="58"/>
      <c r="X341" s="212"/>
      <c r="Y341" s="58"/>
      <c r="Z341" s="58"/>
      <c r="AA341" s="58"/>
      <c r="AB341" s="212"/>
      <c r="AC341" s="58"/>
      <c r="AD341" s="58"/>
      <c r="AE341" s="58"/>
      <c r="AF341" s="212"/>
      <c r="AG341" s="58"/>
      <c r="AH341" s="58"/>
      <c r="AI341" s="58"/>
      <c r="AJ341" s="212"/>
      <c r="AK341" s="58"/>
      <c r="AL341" s="58"/>
      <c r="AM341" s="58"/>
      <c r="AO341" s="58"/>
      <c r="AP341" s="58"/>
      <c r="AQ341" s="58"/>
      <c r="AR341" s="212"/>
      <c r="AS341" s="58"/>
      <c r="AT341" s="58"/>
      <c r="AU341" s="58"/>
      <c r="AV341" s="212"/>
      <c r="AW341" s="58"/>
      <c r="AX341" s="58"/>
      <c r="AY341" s="58"/>
      <c r="AZ341" s="58"/>
    </row>
    <row r="342" spans="2:52">
      <c r="B342" s="57" t="s">
        <v>67</v>
      </c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225"/>
      <c r="U342" s="57"/>
      <c r="V342" s="57"/>
      <c r="W342" s="57"/>
      <c r="X342" s="225"/>
      <c r="Y342" s="57"/>
      <c r="Z342" s="57"/>
      <c r="AA342" s="57"/>
      <c r="AB342" s="225"/>
      <c r="AC342" s="57"/>
      <c r="AD342" s="57"/>
      <c r="AE342" s="57"/>
      <c r="AF342" s="225"/>
      <c r="AG342" s="57"/>
      <c r="AH342" s="57"/>
      <c r="AI342" s="57"/>
      <c r="AJ342" s="225"/>
      <c r="AK342" s="57"/>
      <c r="AL342" s="57"/>
      <c r="AM342" s="62"/>
      <c r="AN342" s="225"/>
      <c r="AO342" s="57"/>
      <c r="AP342" s="57"/>
      <c r="AQ342" s="57"/>
      <c r="AR342" s="225"/>
      <c r="AS342" s="57"/>
      <c r="AT342" s="57"/>
      <c r="AU342" s="57"/>
      <c r="AV342" s="225"/>
      <c r="AW342" s="57"/>
      <c r="AX342" s="57"/>
      <c r="AY342" s="57"/>
      <c r="AZ342" s="57"/>
    </row>
    <row r="343" spans="2:52">
      <c r="B343" s="8" t="s">
        <v>66</v>
      </c>
    </row>
    <row r="344" spans="2:52">
      <c r="B344" s="3" t="s">
        <v>65</v>
      </c>
      <c r="F344" s="58">
        <f ca="1">SUM(OFFSET($P344,0,F$1,1,4))</f>
        <v>22306.025000000001</v>
      </c>
      <c r="G344" s="58">
        <f ca="1">SUM(OFFSET($P344,0,G$1,1,4))</f>
        <v>31220.043999999994</v>
      </c>
      <c r="H344" s="58">
        <f ca="1">SUM(OFFSET($P344,0,H$1,1,4))</f>
        <v>47116.203056234139</v>
      </c>
      <c r="I344" s="58">
        <f ca="1">SUM(OFFSET($P344,0,I$1,1,4))</f>
        <v>62302.736213642704</v>
      </c>
      <c r="J344" s="58">
        <f ca="1">SUM(OFFSET($P344,0,J$1,1,4))</f>
        <v>59613.518136363637</v>
      </c>
      <c r="K344" s="59">
        <v>67681</v>
      </c>
      <c r="L344" s="58">
        <f ca="1">SUM(OFFSET($P344,0,L$1,1,4))</f>
        <v>80204.121417156624</v>
      </c>
      <c r="M344" s="58">
        <f ca="1">SUM(OFFSET($P344,0,M$1,1,4))</f>
        <v>96017.137769724592</v>
      </c>
      <c r="N344" s="58">
        <f ca="1">SUM(OFFSET($P344,0,N$1,1,4))</f>
        <v>113195.27277975794</v>
      </c>
      <c r="Q344" s="58">
        <f t="shared" ref="Q344:AL344" si="780">Q301+Q306-Q365-Q316</f>
        <v>4263.7269999999999</v>
      </c>
      <c r="R344" s="58">
        <f t="shared" si="780"/>
        <v>5456.232</v>
      </c>
      <c r="S344" s="58">
        <f t="shared" si="780"/>
        <v>6250.72</v>
      </c>
      <c r="T344" s="212">
        <f t="shared" si="780"/>
        <v>6335.3459999999995</v>
      </c>
      <c r="U344" s="58">
        <f t="shared" ca="1" si="780"/>
        <v>5931.3869461538616</v>
      </c>
      <c r="V344" s="58">
        <f t="shared" ca="1" si="780"/>
        <v>7465.3189221433322</v>
      </c>
      <c r="W344" s="58">
        <f t="shared" ca="1" si="780"/>
        <v>8704.8915643968103</v>
      </c>
      <c r="X344" s="212">
        <f t="shared" ca="1" si="780"/>
        <v>9118.4465673059913</v>
      </c>
      <c r="Y344" s="58">
        <f t="shared" ca="1" si="780"/>
        <v>9351.9354341197904</v>
      </c>
      <c r="Z344" s="58">
        <f t="shared" ca="1" si="780"/>
        <v>11703.583544547479</v>
      </c>
      <c r="AA344" s="58">
        <f t="shared" ca="1" si="780"/>
        <v>13022.939421135248</v>
      </c>
      <c r="AB344" s="212">
        <f t="shared" ca="1" si="780"/>
        <v>13037.744656431623</v>
      </c>
      <c r="AC344" s="58">
        <f t="shared" ca="1" si="780"/>
        <v>12171.097141426802</v>
      </c>
      <c r="AD344" s="58">
        <f t="shared" ca="1" si="780"/>
        <v>15860.083510955865</v>
      </c>
      <c r="AE344" s="58">
        <f t="shared" ca="1" si="780"/>
        <v>17346.531175940159</v>
      </c>
      <c r="AF344" s="212">
        <f t="shared" ca="1" si="780"/>
        <v>16925.024385319877</v>
      </c>
      <c r="AG344" s="58">
        <f t="shared" si="780"/>
        <v>14398.355000000001</v>
      </c>
      <c r="AH344" s="58">
        <f t="shared" ca="1" si="780"/>
        <v>15840.920778811153</v>
      </c>
      <c r="AI344" s="58">
        <f t="shared" ca="1" si="780"/>
        <v>14691.790702853461</v>
      </c>
      <c r="AJ344" s="212">
        <f t="shared" ca="1" si="780"/>
        <v>14682.45165469902</v>
      </c>
      <c r="AK344" s="58">
        <f t="shared" si="780"/>
        <v>13958.350999999999</v>
      </c>
      <c r="AL344" s="58">
        <f t="shared" si="780"/>
        <v>16969.820895553443</v>
      </c>
      <c r="AM344" s="58">
        <f t="shared" ref="AM344:AZ344" si="781">AM338-AM311-AM365</f>
        <v>18138.417000000001</v>
      </c>
      <c r="AN344" s="212">
        <f t="shared" si="781"/>
        <v>18738.585999999999</v>
      </c>
      <c r="AO344" s="58">
        <f t="shared" ca="1" si="781"/>
        <v>16781.73613230159</v>
      </c>
      <c r="AP344" s="58">
        <f t="shared" ca="1" si="781"/>
        <v>20038.649231345647</v>
      </c>
      <c r="AQ344" s="58">
        <f t="shared" ca="1" si="781"/>
        <v>21651.279206531301</v>
      </c>
      <c r="AR344" s="212">
        <f t="shared" ca="1" si="781"/>
        <v>21732.456846978086</v>
      </c>
      <c r="AS344" s="58">
        <f t="shared" ca="1" si="781"/>
        <v>20858.504100407557</v>
      </c>
      <c r="AT344" s="58">
        <f t="shared" ca="1" si="781"/>
        <v>23993.699532680224</v>
      </c>
      <c r="AU344" s="58">
        <f t="shared" ca="1" si="781"/>
        <v>26139.151345016369</v>
      </c>
      <c r="AV344" s="212">
        <f t="shared" ca="1" si="781"/>
        <v>25025.782791620433</v>
      </c>
      <c r="AW344" s="58">
        <f t="shared" ca="1" si="781"/>
        <v>24717.290896368027</v>
      </c>
      <c r="AX344" s="58">
        <f t="shared" ca="1" si="781"/>
        <v>28005.468366236899</v>
      </c>
      <c r="AY344" s="58">
        <f t="shared" ca="1" si="781"/>
        <v>30415.668841980085</v>
      </c>
      <c r="AZ344" s="58">
        <f t="shared" ca="1" si="781"/>
        <v>30056.844675172943</v>
      </c>
    </row>
    <row r="345" spans="2:52">
      <c r="B345" s="52" t="s">
        <v>64</v>
      </c>
      <c r="G345" s="58"/>
      <c r="H345" s="58"/>
      <c r="I345" s="60"/>
      <c r="J345" s="60"/>
      <c r="K345" s="58"/>
      <c r="L345" s="58"/>
      <c r="M345" s="58"/>
      <c r="N345" s="58"/>
      <c r="Q345" s="58"/>
      <c r="R345" s="58"/>
      <c r="S345" s="58"/>
      <c r="T345" s="212"/>
      <c r="U345" s="4">
        <f t="shared" ref="U345:AV345" ca="1" si="782">U344/Q344-1</f>
        <v>0.3911272804646877</v>
      </c>
      <c r="V345" s="4">
        <f t="shared" ca="1" si="782"/>
        <v>0.3682187491557054</v>
      </c>
      <c r="W345" s="4">
        <f t="shared" ca="1" si="782"/>
        <v>0.39262222022371973</v>
      </c>
      <c r="X345" s="215">
        <f t="shared" ca="1" si="782"/>
        <v>0.43929732761336027</v>
      </c>
      <c r="Y345" s="4">
        <f t="shared" ca="1" si="782"/>
        <v>0.57668611389178426</v>
      </c>
      <c r="Z345" s="4">
        <f t="shared" ca="1" si="782"/>
        <v>0.56772720182560099</v>
      </c>
      <c r="AA345" s="4">
        <f t="shared" ca="1" si="782"/>
        <v>0.49604843722572545</v>
      </c>
      <c r="AB345" s="215">
        <f t="shared" ca="1" si="782"/>
        <v>0.42982080995881433</v>
      </c>
      <c r="AC345" s="4">
        <f t="shared" ca="1" si="782"/>
        <v>0.30145222100459823</v>
      </c>
      <c r="AD345" s="4">
        <f t="shared" ca="1" si="782"/>
        <v>0.35514763068828059</v>
      </c>
      <c r="AE345" s="4">
        <f t="shared" ca="1" si="782"/>
        <v>0.33199814688441598</v>
      </c>
      <c r="AF345" s="215">
        <f t="shared" ca="1" si="782"/>
        <v>0.2981558414683807</v>
      </c>
      <c r="AG345" s="4">
        <f t="shared" ca="1" si="782"/>
        <v>0.18299565213330471</v>
      </c>
      <c r="AH345" s="4">
        <f t="shared" ca="1" si="782"/>
        <v>-1.2082365223029523E-3</v>
      </c>
      <c r="AI345" s="4">
        <f t="shared" ca="1" si="782"/>
        <v>-0.1530415762183539</v>
      </c>
      <c r="AJ345" s="215">
        <f t="shared" ca="1" si="782"/>
        <v>-0.13250041356312492</v>
      </c>
      <c r="AK345" s="4">
        <f t="shared" si="782"/>
        <v>-3.0559324311701053E-2</v>
      </c>
      <c r="AL345" s="4">
        <f t="shared" ca="1" si="782"/>
        <v>7.1264804142718186E-2</v>
      </c>
      <c r="AM345" s="4">
        <f t="shared" ca="1" si="782"/>
        <v>0.23459538505929922</v>
      </c>
      <c r="AN345" s="215">
        <f t="shared" ca="1" si="782"/>
        <v>0.27625729276641886</v>
      </c>
      <c r="AO345" s="4">
        <f t="shared" ca="1" si="782"/>
        <v>0.2022721116772026</v>
      </c>
      <c r="AP345" s="4">
        <f t="shared" ca="1" si="782"/>
        <v>0.18084034915161196</v>
      </c>
      <c r="AQ345" s="4">
        <f t="shared" ca="1" si="782"/>
        <v>0.19366972357793411</v>
      </c>
      <c r="AR345" s="215">
        <f t="shared" ca="1" si="782"/>
        <v>0.15977037151992612</v>
      </c>
      <c r="AS345" s="4">
        <f t="shared" ca="1" si="782"/>
        <v>0.24292885646431883</v>
      </c>
      <c r="AT345" s="4">
        <f t="shared" ca="1" si="782"/>
        <v>0.19737110299569749</v>
      </c>
      <c r="AU345" s="4">
        <f t="shared" ca="1" si="782"/>
        <v>0.20727976835342199</v>
      </c>
      <c r="AV345" s="215">
        <f t="shared" ca="1" si="782"/>
        <v>0.15153951381710828</v>
      </c>
      <c r="AW345" s="4">
        <f t="shared" ref="AW345" ca="1" si="783">AW344/AS344-1</f>
        <v>0.18499825190652452</v>
      </c>
      <c r="AX345" s="4">
        <f t="shared" ref="AX345" ca="1" si="784">AX344/AT344-1</f>
        <v>0.16720092823086796</v>
      </c>
      <c r="AY345" s="4">
        <f t="shared" ref="AY345" ca="1" si="785">AY344/AU344-1</f>
        <v>0.16360582792138234</v>
      </c>
      <c r="AZ345" s="4">
        <f t="shared" ref="AZ345" ca="1" si="786">AZ344/AV344-1</f>
        <v>0.20103514545155798</v>
      </c>
    </row>
    <row r="346" spans="2:52">
      <c r="B346" s="52" t="s">
        <v>63</v>
      </c>
      <c r="G346" s="58"/>
      <c r="H346" s="58"/>
      <c r="I346" s="60"/>
      <c r="J346" s="60"/>
      <c r="K346" s="58"/>
      <c r="L346" s="58"/>
      <c r="M346" s="58"/>
      <c r="N346" s="58"/>
      <c r="Q346" s="58"/>
      <c r="R346" s="4">
        <f t="shared" ref="R346:AV346" si="787">R344/Q344-1</f>
        <v>0.27968605869934926</v>
      </c>
      <c r="S346" s="4">
        <f t="shared" si="787"/>
        <v>0.14561111037800445</v>
      </c>
      <c r="T346" s="215">
        <f t="shared" si="787"/>
        <v>1.3538600353239172E-2</v>
      </c>
      <c r="U346" s="4">
        <f t="shared" ca="1" si="787"/>
        <v>-6.3762745372729079E-2</v>
      </c>
      <c r="V346" s="4">
        <f t="shared" ca="1" si="787"/>
        <v>0.2586126971507281</v>
      </c>
      <c r="W346" s="4">
        <f t="shared" ca="1" si="787"/>
        <v>0.16604416437946234</v>
      </c>
      <c r="X346" s="215">
        <f t="shared" ca="1" si="787"/>
        <v>4.7508346295849213E-2</v>
      </c>
      <c r="Y346" s="4">
        <f t="shared" ca="1" si="787"/>
        <v>2.56062110020987E-2</v>
      </c>
      <c r="Z346" s="4">
        <f t="shared" ca="1" si="787"/>
        <v>0.25146111486697054</v>
      </c>
      <c r="AA346" s="4">
        <f t="shared" ca="1" si="787"/>
        <v>0.11273093164720804</v>
      </c>
      <c r="AB346" s="215">
        <f t="shared" ca="1" si="787"/>
        <v>1.1368581867430283E-3</v>
      </c>
      <c r="AC346" s="4">
        <f t="shared" ca="1" si="787"/>
        <v>-6.6472195754907371E-2</v>
      </c>
      <c r="AD346" s="4">
        <f t="shared" ca="1" si="787"/>
        <v>0.30309398788485953</v>
      </c>
      <c r="AE346" s="4">
        <f t="shared" ca="1" si="787"/>
        <v>9.3722562302870793E-2</v>
      </c>
      <c r="AF346" s="215">
        <f t="shared" ca="1" si="787"/>
        <v>-2.4299197709621412E-2</v>
      </c>
      <c r="AG346" s="4">
        <f t="shared" ca="1" si="787"/>
        <v>-0.14928601151744358</v>
      </c>
      <c r="AH346" s="4">
        <f t="shared" ca="1" si="787"/>
        <v>0.10018962435716805</v>
      </c>
      <c r="AI346" s="4">
        <f t="shared" ca="1" si="787"/>
        <v>-7.2541873796551637E-2</v>
      </c>
      <c r="AJ346" s="215">
        <f t="shared" ca="1" si="787"/>
        <v>-6.3566438859130603E-4</v>
      </c>
      <c r="AK346" s="4">
        <f t="shared" ca="1" si="787"/>
        <v>-4.9317421349538537E-2</v>
      </c>
      <c r="AL346" s="4">
        <f t="shared" si="787"/>
        <v>0.2157468239302367</v>
      </c>
      <c r="AM346" s="4">
        <f t="shared" si="787"/>
        <v>6.8863196119692827E-2</v>
      </c>
      <c r="AN346" s="215">
        <f t="shared" si="787"/>
        <v>3.3088278872406507E-2</v>
      </c>
      <c r="AO346" s="4">
        <f t="shared" ca="1" si="787"/>
        <v>-0.10442889702021318</v>
      </c>
      <c r="AP346" s="4">
        <f t="shared" ca="1" si="787"/>
        <v>0.19407486051309863</v>
      </c>
      <c r="AQ346" s="4">
        <f t="shared" ca="1" si="787"/>
        <v>8.0475982016945613E-2</v>
      </c>
      <c r="AR346" s="215">
        <f t="shared" ca="1" si="787"/>
        <v>3.7493230618124151E-3</v>
      </c>
      <c r="AS346" s="4">
        <f t="shared" ca="1" si="787"/>
        <v>-4.0214171491248285E-2</v>
      </c>
      <c r="AT346" s="4">
        <f t="shared" ca="1" si="787"/>
        <v>0.15030777936810003</v>
      </c>
      <c r="AU346" s="4">
        <f t="shared" ca="1" si="787"/>
        <v>8.9417299296174368E-2</v>
      </c>
      <c r="AV346" s="215">
        <f t="shared" ca="1" si="787"/>
        <v>-4.2593905926797015E-2</v>
      </c>
      <c r="AW346" s="4">
        <f t="shared" ref="AW346" ca="1" si="788">AW344/AV344-1</f>
        <v>-1.2326962869497193E-2</v>
      </c>
      <c r="AX346" s="4">
        <f t="shared" ref="AX346" ca="1" si="789">AX344/AW344-1</f>
        <v>0.13303146706713065</v>
      </c>
      <c r="AY346" s="4">
        <f t="shared" ref="AY346" ca="1" si="790">AY344/AX344-1</f>
        <v>8.6061780657412656E-2</v>
      </c>
      <c r="AZ346" s="4">
        <f t="shared" ref="AZ346" ca="1" si="791">AZ344/AY344-1</f>
        <v>-1.1797345922963554E-2</v>
      </c>
    </row>
    <row r="347" spans="2:52">
      <c r="B347" s="61"/>
      <c r="G347" s="58"/>
      <c r="H347" s="58"/>
      <c r="I347" s="60"/>
      <c r="J347" s="60"/>
      <c r="K347" s="58"/>
      <c r="L347" s="58"/>
      <c r="M347" s="58"/>
      <c r="N347" s="58"/>
      <c r="Q347" s="58"/>
      <c r="R347" s="58"/>
      <c r="S347" s="58"/>
      <c r="T347" s="212"/>
      <c r="U347" s="58"/>
      <c r="V347" s="58"/>
      <c r="W347" s="58"/>
      <c r="X347" s="212"/>
      <c r="Y347" s="58"/>
      <c r="Z347" s="58"/>
      <c r="AA347" s="58"/>
      <c r="AB347" s="212"/>
      <c r="AC347" s="60"/>
      <c r="AD347" s="58"/>
      <c r="AE347" s="58"/>
      <c r="AF347" s="212"/>
      <c r="AG347" s="58"/>
      <c r="AH347" s="58"/>
      <c r="AI347" s="58"/>
      <c r="AJ347" s="212"/>
      <c r="AK347" s="58"/>
      <c r="AL347" s="58"/>
      <c r="AM347" s="4"/>
      <c r="AN347" s="215"/>
      <c r="AO347" s="58"/>
      <c r="AP347" s="58"/>
      <c r="AQ347" s="58"/>
      <c r="AR347" s="212"/>
      <c r="AS347" s="58"/>
      <c r="AT347" s="58"/>
      <c r="AU347" s="58"/>
      <c r="AV347" s="212"/>
      <c r="AW347" s="58"/>
      <c r="AX347" s="58"/>
      <c r="AY347" s="58"/>
      <c r="AZ347" s="58"/>
    </row>
    <row r="348" spans="2:52">
      <c r="B348" s="8" t="s">
        <v>18</v>
      </c>
      <c r="G348" s="58"/>
      <c r="H348" s="58"/>
      <c r="I348" s="60"/>
      <c r="J348" s="60"/>
      <c r="K348" s="58"/>
      <c r="L348" s="58"/>
      <c r="M348" s="58"/>
      <c r="N348" s="58"/>
      <c r="Q348" s="58"/>
      <c r="R348" s="58"/>
      <c r="S348" s="58"/>
      <c r="T348" s="212"/>
      <c r="U348" s="58"/>
      <c r="V348" s="58"/>
      <c r="W348" s="58"/>
      <c r="X348" s="212"/>
      <c r="Y348" s="58"/>
      <c r="Z348" s="58"/>
      <c r="AA348" s="58"/>
      <c r="AB348" s="212"/>
      <c r="AC348" s="60"/>
      <c r="AD348" s="58"/>
      <c r="AE348" s="58"/>
      <c r="AF348" s="212"/>
      <c r="AG348" s="58"/>
      <c r="AH348" s="58"/>
      <c r="AI348" s="58"/>
      <c r="AJ348" s="212"/>
      <c r="AK348" s="58"/>
      <c r="AL348" s="58"/>
      <c r="AM348" s="4"/>
      <c r="AN348" s="215"/>
      <c r="AO348" s="58"/>
      <c r="AP348" s="58"/>
      <c r="AQ348" s="58"/>
      <c r="AR348" s="212"/>
      <c r="AS348" s="58"/>
      <c r="AT348" s="58"/>
      <c r="AU348" s="58"/>
      <c r="AV348" s="212"/>
      <c r="AW348" s="58"/>
      <c r="AX348" s="58"/>
      <c r="AY348" s="58"/>
      <c r="AZ348" s="58"/>
    </row>
    <row r="349" spans="2:52">
      <c r="B349" s="3" t="s">
        <v>62</v>
      </c>
      <c r="F349" s="58">
        <f t="shared" ref="F349:N350" ca="1" si="792">SUM(OFFSET($P349,0,F$1,1,4))</f>
        <v>21776.739000000001</v>
      </c>
      <c r="G349" s="58">
        <f t="shared" ca="1" si="792"/>
        <v>29590.275999999998</v>
      </c>
      <c r="H349" s="58">
        <f t="shared" ca="1" si="792"/>
        <v>43727.459000000003</v>
      </c>
      <c r="I349" s="58">
        <f t="shared" ca="1" si="792"/>
        <v>56312.320600000006</v>
      </c>
      <c r="J349" s="58">
        <f t="shared" ca="1" si="792"/>
        <v>55296.198993842801</v>
      </c>
      <c r="K349" s="58">
        <f t="shared" ca="1" si="792"/>
        <v>57175.82321056792</v>
      </c>
      <c r="L349" s="58">
        <f t="shared" ca="1" si="792"/>
        <v>64283.640438890478</v>
      </c>
      <c r="M349" s="58">
        <f t="shared" ca="1" si="792"/>
        <v>73562.28271358338</v>
      </c>
      <c r="N349" s="58">
        <f t="shared" ca="1" si="792"/>
        <v>81211.855634656793</v>
      </c>
      <c r="Q349" s="58">
        <f t="shared" ref="Q349:AZ349" si="793">Q301-Q350</f>
        <v>4172.9569999999994</v>
      </c>
      <c r="R349" s="58">
        <f t="shared" si="793"/>
        <v>5350.3850000000002</v>
      </c>
      <c r="S349" s="58">
        <f t="shared" si="793"/>
        <v>6101.9009999999998</v>
      </c>
      <c r="T349" s="212">
        <f t="shared" si="793"/>
        <v>6151.4960000000001</v>
      </c>
      <c r="U349" s="58">
        <f t="shared" si="793"/>
        <v>5623.2785507117924</v>
      </c>
      <c r="V349" s="58">
        <f t="shared" si="793"/>
        <v>7114.7081028187704</v>
      </c>
      <c r="W349" s="58">
        <f t="shared" si="793"/>
        <v>8245.0122299652066</v>
      </c>
      <c r="X349" s="212">
        <f t="shared" si="793"/>
        <v>8607.2771165042286</v>
      </c>
      <c r="Y349" s="58">
        <f t="shared" si="793"/>
        <v>8653.5691289591741</v>
      </c>
      <c r="Z349" s="58">
        <f t="shared" si="793"/>
        <v>10862.541085637542</v>
      </c>
      <c r="AA349" s="58">
        <f t="shared" si="793"/>
        <v>12130.891639432159</v>
      </c>
      <c r="AB349" s="212">
        <f t="shared" si="793"/>
        <v>12080.457145971128</v>
      </c>
      <c r="AC349" s="58">
        <f t="shared" si="793"/>
        <v>11311.389820992161</v>
      </c>
      <c r="AD349" s="58">
        <f t="shared" si="793"/>
        <v>14678.845938174265</v>
      </c>
      <c r="AE349" s="58">
        <f t="shared" si="793"/>
        <v>15529.358430817852</v>
      </c>
      <c r="AF349" s="212">
        <f t="shared" si="793"/>
        <v>14792.726410015723</v>
      </c>
      <c r="AG349" s="58">
        <f t="shared" si="793"/>
        <v>13246.699000000001</v>
      </c>
      <c r="AH349" s="58">
        <f t="shared" ca="1" si="793"/>
        <v>14513.594369405577</v>
      </c>
      <c r="AI349" s="58">
        <f t="shared" ca="1" si="793"/>
        <v>13909.846759044915</v>
      </c>
      <c r="AJ349" s="212">
        <f t="shared" ca="1" si="793"/>
        <v>13626.05886539231</v>
      </c>
      <c r="AK349" s="58">
        <f t="shared" ca="1" si="793"/>
        <v>12133.195497751485</v>
      </c>
      <c r="AL349" s="58">
        <f t="shared" ca="1" si="793"/>
        <v>14133.839195137129</v>
      </c>
      <c r="AM349" s="58">
        <f t="shared" si="793"/>
        <v>15338.929001718097</v>
      </c>
      <c r="AN349" s="212">
        <f t="shared" si="793"/>
        <v>15569.859515961205</v>
      </c>
      <c r="AO349" s="58">
        <f t="shared" ca="1" si="793"/>
        <v>13476.795142063114</v>
      </c>
      <c r="AP349" s="58">
        <f t="shared" ca="1" si="793"/>
        <v>16311.720810104449</v>
      </c>
      <c r="AQ349" s="58">
        <f t="shared" ca="1" si="793"/>
        <v>17309.589844660171</v>
      </c>
      <c r="AR349" s="212">
        <f t="shared" ca="1" si="793"/>
        <v>17185.53464206275</v>
      </c>
      <c r="AS349" s="58">
        <f t="shared" ca="1" si="793"/>
        <v>15931.450476675587</v>
      </c>
      <c r="AT349" s="58">
        <f t="shared" ca="1" si="793"/>
        <v>18727.797214231374</v>
      </c>
      <c r="AU349" s="58">
        <f t="shared" ca="1" si="793"/>
        <v>20091.447852301248</v>
      </c>
      <c r="AV349" s="212">
        <f t="shared" ca="1" si="793"/>
        <v>18811.587170375176</v>
      </c>
      <c r="AW349" s="58">
        <f t="shared" ca="1" si="793"/>
        <v>17858.040170924793</v>
      </c>
      <c r="AX349" s="58">
        <f t="shared" ca="1" si="793"/>
        <v>20525.109416791292</v>
      </c>
      <c r="AY349" s="58">
        <f t="shared" ca="1" si="793"/>
        <v>21906.170287648227</v>
      </c>
      <c r="AZ349" s="58">
        <f t="shared" ca="1" si="793"/>
        <v>20922.535759292485</v>
      </c>
    </row>
    <row r="350" spans="2:52">
      <c r="B350" s="3" t="s">
        <v>61</v>
      </c>
      <c r="F350" s="58">
        <f t="shared" ca="1" si="792"/>
        <v>0</v>
      </c>
      <c r="G350" s="58">
        <f t="shared" ca="1" si="792"/>
        <v>0</v>
      </c>
      <c r="H350" s="58">
        <f t="shared" ca="1" si="792"/>
        <v>0</v>
      </c>
      <c r="I350" s="58">
        <f t="shared" ca="1" si="792"/>
        <v>0</v>
      </c>
      <c r="J350" s="58">
        <f t="shared" ca="1" si="792"/>
        <v>78.832006157203068</v>
      </c>
      <c r="K350" s="58">
        <f t="shared" ca="1" si="792"/>
        <v>4986.7188736094995</v>
      </c>
      <c r="L350" s="58">
        <f t="shared" ca="1" si="792"/>
        <v>10386.292128579833</v>
      </c>
      <c r="M350" s="58">
        <f t="shared" ca="1" si="792"/>
        <v>16172.111287138512</v>
      </c>
      <c r="N350" s="58">
        <f t="shared" ca="1" si="792"/>
        <v>22719.787642115705</v>
      </c>
      <c r="Q350" s="58"/>
      <c r="R350" s="58"/>
      <c r="S350" s="58"/>
      <c r="T350" s="212"/>
      <c r="U350" s="58"/>
      <c r="V350" s="58"/>
      <c r="W350" s="58"/>
      <c r="X350" s="212"/>
      <c r="Y350" s="58"/>
      <c r="Z350" s="58"/>
      <c r="AA350" s="58"/>
      <c r="AB350" s="212"/>
      <c r="AC350" s="60"/>
      <c r="AD350" s="58"/>
      <c r="AE350" s="58"/>
      <c r="AF350" s="212"/>
      <c r="AG350" s="58"/>
      <c r="AH350" s="58"/>
      <c r="AI350" s="58"/>
      <c r="AJ350" s="212">
        <f ca="1">Operating_Model!AJ81</f>
        <v>78.832006157203068</v>
      </c>
      <c r="AK350" s="58">
        <f ca="1">Operating_Model!AK81</f>
        <v>287.34950224851514</v>
      </c>
      <c r="AL350" s="58">
        <f ca="1">Operating_Model!AL81</f>
        <v>1023.4211213609847</v>
      </c>
      <c r="AM350" s="58">
        <f>Operating_Model!AM81</f>
        <v>1663.325</v>
      </c>
      <c r="AN350" s="212">
        <f>Operating_Model!AN81</f>
        <v>2012.6232500000001</v>
      </c>
      <c r="AO350" s="58">
        <f ca="1">Operating_Model!AO81</f>
        <v>1952.774625778776</v>
      </c>
      <c r="AP350" s="58">
        <f ca="1">Operating_Model!AP81</f>
        <v>2337.5035794439691</v>
      </c>
      <c r="AQ350" s="58">
        <f ca="1">Operating_Model!AQ81</f>
        <v>2885.5666096384534</v>
      </c>
      <c r="AR350" s="212">
        <f ca="1">Operating_Model!AR81</f>
        <v>3210.4473137186346</v>
      </c>
      <c r="AS350" s="58">
        <f ca="1">Operating_Model!AS81</f>
        <v>3400.3997682830941</v>
      </c>
      <c r="AT350" s="58">
        <f ca="1">Operating_Model!AT81</f>
        <v>3699.4756370251898</v>
      </c>
      <c r="AU350" s="58">
        <f ca="1">Operating_Model!AU81</f>
        <v>4437.597564296143</v>
      </c>
      <c r="AV350" s="212">
        <f ca="1">Operating_Model!AV81</f>
        <v>4634.6383175340861</v>
      </c>
      <c r="AW350" s="58">
        <f ca="1">Operating_Model!AW81</f>
        <v>4874.9459667449182</v>
      </c>
      <c r="AX350" s="58">
        <f ca="1">Operating_Model!AX81</f>
        <v>5310.1868410431316</v>
      </c>
      <c r="AY350" s="58">
        <f ca="1">Operating_Model!AY81</f>
        <v>6151.2963239854516</v>
      </c>
      <c r="AZ350" s="58">
        <f ca="1">Operating_Model!AZ81</f>
        <v>6383.3585103422065</v>
      </c>
    </row>
    <row r="351" spans="2:52">
      <c r="B351" s="3"/>
      <c r="G351" s="58"/>
      <c r="H351" s="58"/>
      <c r="I351" s="60"/>
      <c r="J351" s="60"/>
      <c r="K351" s="58"/>
      <c r="L351" s="58"/>
      <c r="M351" s="58"/>
      <c r="N351" s="58"/>
      <c r="Q351" s="58"/>
      <c r="R351" s="58"/>
      <c r="S351" s="58"/>
      <c r="T351" s="212"/>
      <c r="U351" s="58"/>
      <c r="V351" s="58"/>
      <c r="W351" s="58"/>
      <c r="X351" s="212"/>
      <c r="Y351" s="58"/>
      <c r="Z351" s="58"/>
      <c r="AA351" s="58"/>
      <c r="AB351" s="212"/>
      <c r="AC351" s="60"/>
      <c r="AD351" s="58"/>
      <c r="AE351" s="58"/>
      <c r="AF351" s="212"/>
      <c r="AG351" s="58"/>
      <c r="AH351" s="58"/>
      <c r="AI351" s="58"/>
      <c r="AJ351" s="212"/>
      <c r="AK351" s="58"/>
      <c r="AL351" s="58"/>
      <c r="AM351" s="58"/>
      <c r="AO351" s="58"/>
      <c r="AP351" s="58"/>
      <c r="AQ351" s="58"/>
      <c r="AR351" s="212"/>
      <c r="AS351" s="58"/>
      <c r="AT351" s="58"/>
      <c r="AU351" s="58"/>
      <c r="AV351" s="212"/>
      <c r="AW351" s="58"/>
      <c r="AX351" s="58"/>
      <c r="AY351" s="58"/>
      <c r="AZ351" s="58"/>
    </row>
    <row r="352" spans="2:52">
      <c r="B352" s="8" t="s">
        <v>3</v>
      </c>
      <c r="G352" s="58"/>
      <c r="H352" s="58"/>
      <c r="I352" s="60"/>
      <c r="J352" s="60"/>
      <c r="K352" s="58"/>
      <c r="L352" s="58"/>
      <c r="M352" s="58"/>
      <c r="N352" s="58"/>
      <c r="Q352" s="58"/>
      <c r="R352" s="58"/>
      <c r="S352" s="58"/>
      <c r="T352" s="212"/>
      <c r="U352" s="58"/>
      <c r="V352" s="58"/>
      <c r="W352" s="58"/>
      <c r="X352" s="212"/>
      <c r="Y352" s="58"/>
      <c r="Z352" s="58"/>
      <c r="AA352" s="58"/>
      <c r="AB352" s="212"/>
      <c r="AC352" s="60"/>
      <c r="AD352" s="58"/>
      <c r="AE352" s="58"/>
      <c r="AF352" s="212"/>
      <c r="AG352" s="58"/>
      <c r="AH352" s="58"/>
      <c r="AI352" s="58"/>
      <c r="AJ352" s="212"/>
      <c r="AK352" s="58"/>
      <c r="AL352" s="58"/>
      <c r="AM352" s="58"/>
      <c r="AO352" s="58"/>
      <c r="AP352" s="58"/>
      <c r="AQ352" s="58"/>
      <c r="AR352" s="212"/>
      <c r="AS352" s="58"/>
      <c r="AT352" s="58"/>
      <c r="AU352" s="58"/>
      <c r="AV352" s="212"/>
      <c r="AW352" s="58"/>
      <c r="AX352" s="58"/>
      <c r="AY352" s="58"/>
      <c r="AZ352" s="58"/>
    </row>
    <row r="353" spans="2:52">
      <c r="B353" s="3" t="s">
        <v>60</v>
      </c>
      <c r="F353" s="58">
        <f t="shared" ref="F353:H354" ca="1" si="794">SUM(OFFSET($P353,0,F$1,1,4))</f>
        <v>0</v>
      </c>
      <c r="G353" s="58">
        <f t="shared" ca="1" si="794"/>
        <v>1345.0419999999999</v>
      </c>
      <c r="H353" s="58">
        <f t="shared" ca="1" si="794"/>
        <v>2644.9520000000002</v>
      </c>
      <c r="I353" s="58">
        <f>IQ_IS!I73</f>
        <v>3399.9349999999999</v>
      </c>
      <c r="J353" s="58">
        <f>IQ_IS!J73</f>
        <v>5650.366</v>
      </c>
      <c r="K353" s="58">
        <f t="shared" ref="K353:N354" ca="1" si="795">SUM(OFFSET($P353,0,K$1,1,4))</f>
        <v>8158.924</v>
      </c>
      <c r="L353" s="58">
        <f t="shared" ca="1" si="795"/>
        <v>10915.234782045021</v>
      </c>
      <c r="M353" s="58">
        <f t="shared" ca="1" si="795"/>
        <v>13190.127015535158</v>
      </c>
      <c r="N353" s="58">
        <f t="shared" ca="1" si="795"/>
        <v>15528.412000985743</v>
      </c>
      <c r="Q353" s="58"/>
      <c r="R353" s="58"/>
      <c r="S353" s="58"/>
      <c r="T353" s="212"/>
      <c r="U353" s="58">
        <f t="shared" ref="U353:AH353" si="796">U311-U354</f>
        <v>155.163449288208</v>
      </c>
      <c r="V353" s="58">
        <f t="shared" si="796"/>
        <v>244.02797718122903</v>
      </c>
      <c r="W353" s="58">
        <f t="shared" si="796"/>
        <v>359.96119003479174</v>
      </c>
      <c r="X353" s="212">
        <f t="shared" si="796"/>
        <v>585.88938349577109</v>
      </c>
      <c r="Y353" s="58">
        <f t="shared" si="796"/>
        <v>318.08507104082634</v>
      </c>
      <c r="Z353" s="58">
        <f t="shared" si="796"/>
        <v>488.05595436245801</v>
      </c>
      <c r="AA353" s="58">
        <f t="shared" si="796"/>
        <v>701.92432056784367</v>
      </c>
      <c r="AB353" s="212">
        <f t="shared" si="796"/>
        <v>1136.8866540288723</v>
      </c>
      <c r="AC353" s="58">
        <f t="shared" si="796"/>
        <v>524.88652787348747</v>
      </c>
      <c r="AD353" s="58">
        <f t="shared" si="796"/>
        <v>580.88952697993318</v>
      </c>
      <c r="AE353" s="58">
        <f t="shared" si="796"/>
        <v>852.88648085176624</v>
      </c>
      <c r="AF353" s="212">
        <f t="shared" si="796"/>
        <v>1441.2724642948128</v>
      </c>
      <c r="AG353" s="58">
        <f t="shared" si="796"/>
        <v>1096.5730000000005</v>
      </c>
      <c r="AH353" s="58">
        <f t="shared" si="796"/>
        <v>1587.7299999999996</v>
      </c>
      <c r="AI353" s="58">
        <f>IQ_IS!AI73</f>
        <v>1625.8019999999999</v>
      </c>
      <c r="AJ353" s="212">
        <f>IQ_IS!AJ73</f>
        <v>1340.261</v>
      </c>
      <c r="AK353" s="58">
        <f>IQ_IS!AK73</f>
        <v>1473.4449999999999</v>
      </c>
      <c r="AL353" s="58">
        <f>IQ_IS!AL73</f>
        <v>1908.453</v>
      </c>
      <c r="AM353" s="58">
        <f>IQ_IS!AM73</f>
        <v>2634.1869999999999</v>
      </c>
      <c r="AN353" s="212">
        <f>IQ_IS!AN73</f>
        <v>2142.8389999999999</v>
      </c>
      <c r="AO353" s="58">
        <f>Operating_Model!AO216</f>
        <v>2245.4265812647359</v>
      </c>
      <c r="AP353" s="58">
        <f>Operating_Model!AP216</f>
        <v>2437.622387541242</v>
      </c>
      <c r="AQ353" s="58">
        <f>Operating_Model!AQ216</f>
        <v>3348.9166937539621</v>
      </c>
      <c r="AR353" s="212">
        <f>Operating_Model!AR216</f>
        <v>2883.2691194850809</v>
      </c>
      <c r="AS353" s="58">
        <f>Operating_Model!AS216</f>
        <v>2901.9699343344996</v>
      </c>
      <c r="AT353" s="58">
        <f>Operating_Model!AT216</f>
        <v>2884.1422887085369</v>
      </c>
      <c r="AU353" s="58">
        <f>Operating_Model!AU216</f>
        <v>3922.022286898778</v>
      </c>
      <c r="AV353" s="212">
        <f>Operating_Model!AV216</f>
        <v>3481.992505593344</v>
      </c>
      <c r="AW353" s="58">
        <f>Operating_Model!AW216</f>
        <v>3560.0909472151843</v>
      </c>
      <c r="AX353" s="58">
        <f>Operating_Model!AX216</f>
        <v>3342.0056322533937</v>
      </c>
      <c r="AY353" s="58">
        <f>Operating_Model!AY216</f>
        <v>4503.5889700173184</v>
      </c>
      <c r="AZ353" s="58">
        <f>Operating_Model!AZ216</f>
        <v>4122.7264514998451</v>
      </c>
    </row>
    <row r="354" spans="2:52">
      <c r="B354" s="3" t="s">
        <v>555</v>
      </c>
      <c r="F354" s="58">
        <f t="shared" ca="1" si="794"/>
        <v>0</v>
      </c>
      <c r="G354" s="58">
        <f t="shared" ca="1" si="794"/>
        <v>0</v>
      </c>
      <c r="H354" s="58">
        <f t="shared" ca="1" si="794"/>
        <v>228.6</v>
      </c>
      <c r="I354" s="58">
        <f>IQ_IS!I74</f>
        <v>1918.6490000000001</v>
      </c>
      <c r="J354" s="58">
        <f>IQ_IS!J74</f>
        <v>5587.0410000000002</v>
      </c>
      <c r="K354" s="58">
        <f t="shared" ca="1" si="795"/>
        <v>9219.4259999999995</v>
      </c>
      <c r="L354" s="58">
        <f t="shared" ca="1" si="795"/>
        <v>10696.29486206006</v>
      </c>
      <c r="M354" s="58">
        <f t="shared" ca="1" si="795"/>
        <v>15232.921348608612</v>
      </c>
      <c r="N354" s="58">
        <f t="shared" ca="1" si="795"/>
        <v>21169.588845374641</v>
      </c>
      <c r="Q354" s="58"/>
      <c r="R354" s="58"/>
      <c r="S354" s="58"/>
      <c r="T354" s="212"/>
      <c r="U354" s="58"/>
      <c r="V354" s="58"/>
      <c r="W354" s="58"/>
      <c r="X354" s="212"/>
      <c r="Y354" s="59">
        <v>12.599999999999998</v>
      </c>
      <c r="Z354" s="59">
        <v>27</v>
      </c>
      <c r="AA354" s="59">
        <v>54</v>
      </c>
      <c r="AB354" s="274">
        <v>135</v>
      </c>
      <c r="AC354" s="59">
        <f>I354-SUM(AD354:AF354)</f>
        <v>270.79160000000024</v>
      </c>
      <c r="AD354" s="59">
        <v>449.82125000000002</v>
      </c>
      <c r="AE354" s="59">
        <v>528.79437499999995</v>
      </c>
      <c r="AF354" s="274">
        <v>669.24177499999996</v>
      </c>
      <c r="AG354" s="59">
        <f>J354-SUM(AH354:AJ354)</f>
        <v>828.83199999999943</v>
      </c>
      <c r="AH354" s="59">
        <v>1311.5</v>
      </c>
      <c r="AI354" s="58">
        <f>IQ_IS!AI74</f>
        <v>1631.854</v>
      </c>
      <c r="AJ354" s="212">
        <f>IQ_IS!AJ74</f>
        <v>1814.855</v>
      </c>
      <c r="AK354" s="58">
        <f>IQ_IS!AK74</f>
        <v>1810.5890000000002</v>
      </c>
      <c r="AL354" s="58">
        <f>IQ_IS!AL74</f>
        <v>2417.866</v>
      </c>
      <c r="AM354" s="58">
        <f>IQ_IS!AM74</f>
        <v>2316.3959999999997</v>
      </c>
      <c r="AN354" s="212">
        <f>IQ_IS!AN74</f>
        <v>2674.5749999999998</v>
      </c>
      <c r="AO354" s="58">
        <f>Operating_Model!AO218</f>
        <v>2202.0602628571432</v>
      </c>
      <c r="AP354" s="58">
        <f>Operating_Model!AP218</f>
        <v>2596.6683435000004</v>
      </c>
      <c r="AQ354" s="58">
        <f>Operating_Model!AQ218</f>
        <v>2842.4142718766666</v>
      </c>
      <c r="AR354" s="212">
        <f>Operating_Model!AR218</f>
        <v>3055.1519838262507</v>
      </c>
      <c r="AS354" s="58">
        <f>Operating_Model!AS218</f>
        <v>3171.8105529555078</v>
      </c>
      <c r="AT354" s="58">
        <f>Operating_Model!AT218</f>
        <v>3723.1964957914643</v>
      </c>
      <c r="AU354" s="58">
        <f>Operating_Model!AU218</f>
        <v>4023.5367388196373</v>
      </c>
      <c r="AV354" s="212">
        <f>Operating_Model!AV218</f>
        <v>4314.3775610420025</v>
      </c>
      <c r="AW354" s="58">
        <f>Operating_Model!AW218</f>
        <v>4456.9248345520255</v>
      </c>
      <c r="AX354" s="58">
        <f>Operating_Model!AX218</f>
        <v>5209.0197428555721</v>
      </c>
      <c r="AY354" s="58">
        <f>Operating_Model!AY218</f>
        <v>5557.708941812275</v>
      </c>
      <c r="AZ354" s="58">
        <f>Operating_Model!AZ218</f>
        <v>5945.9353261547685</v>
      </c>
    </row>
    <row r="355" spans="2:52">
      <c r="B355" s="52" t="s">
        <v>556</v>
      </c>
      <c r="F355" s="58"/>
      <c r="G355" s="58"/>
      <c r="H355" s="58"/>
      <c r="I355" s="58">
        <f>IQ_IS!I78</f>
        <v>996.68200000000002</v>
      </c>
      <c r="J355" s="58">
        <f>IQ_IS!J78</f>
        <v>3762.183</v>
      </c>
      <c r="K355" s="58">
        <f>IQ_IS!K78</f>
        <v>6536.0280000000002</v>
      </c>
      <c r="L355" s="58"/>
      <c r="M355" s="58"/>
      <c r="N355" s="58"/>
      <c r="Q355" s="58"/>
      <c r="R355" s="58"/>
      <c r="S355" s="58"/>
      <c r="T355" s="212"/>
      <c r="U355" s="58"/>
      <c r="V355" s="58"/>
      <c r="W355" s="58"/>
      <c r="X355" s="212"/>
      <c r="Y355" s="59">
        <f>Z355/Z354*Y354</f>
        <v>10.135687792711947</v>
      </c>
      <c r="Z355" s="59">
        <f t="shared" ref="Z355:AH355" si="797">AA355/AA354*Z354</f>
        <v>21.719330984382747</v>
      </c>
      <c r="AA355" s="59">
        <f t="shared" si="797"/>
        <v>43.438661968765494</v>
      </c>
      <c r="AB355" s="274">
        <f t="shared" si="797"/>
        <v>108.59665492191374</v>
      </c>
      <c r="AC355" s="59">
        <f>I355-SUM(AD355:AF355)</f>
        <v>217.83008845150312</v>
      </c>
      <c r="AD355" s="59">
        <f t="shared" si="797"/>
        <v>212.60586044498413</v>
      </c>
      <c r="AE355" s="59">
        <f t="shared" si="797"/>
        <v>249.93212991903468</v>
      </c>
      <c r="AF355" s="274">
        <f t="shared" si="797"/>
        <v>316.31392118447815</v>
      </c>
      <c r="AG355" s="59">
        <f>J355-SUM(AH355:AJ355)</f>
        <v>391.74347704635329</v>
      </c>
      <c r="AH355" s="59">
        <f t="shared" si="797"/>
        <v>939.05452295364648</v>
      </c>
      <c r="AI355" s="58">
        <f>IQ_IS!AI78</f>
        <v>1168.433</v>
      </c>
      <c r="AJ355" s="212">
        <f>IQ_IS!AJ78</f>
        <v>1262.952</v>
      </c>
      <c r="AK355" s="58">
        <f>IQ_IS!AK78</f>
        <v>1329.9760000000001</v>
      </c>
      <c r="AL355" s="58">
        <f>IQ_IS!AL78</f>
        <v>1579.53</v>
      </c>
      <c r="AM355" s="58">
        <f>IQ_IS!AM78</f>
        <v>1696.6969999999999</v>
      </c>
      <c r="AN355" s="212">
        <f>IQ_IS!AN78</f>
        <v>1929.825</v>
      </c>
      <c r="AO355" s="58"/>
      <c r="AP355" s="58"/>
      <c r="AQ355" s="58"/>
      <c r="AR355" s="212"/>
      <c r="AS355" s="58"/>
      <c r="AT355" s="58"/>
      <c r="AU355" s="58"/>
      <c r="AV355" s="212"/>
      <c r="AW355" s="58"/>
      <c r="AX355" s="58"/>
      <c r="AY355" s="58"/>
      <c r="AZ355" s="58"/>
    </row>
    <row r="356" spans="2:52">
      <c r="B356" s="52" t="s">
        <v>557</v>
      </c>
      <c r="F356" s="58"/>
      <c r="G356" s="58"/>
      <c r="H356" s="58"/>
      <c r="I356" s="58">
        <f>IQ_IS!I80</f>
        <v>387.68700000000001</v>
      </c>
      <c r="J356" s="58">
        <f>IQ_IS!J80</f>
        <v>500.952</v>
      </c>
      <c r="K356" s="58">
        <f>IQ_IS!K80</f>
        <v>1191.816</v>
      </c>
      <c r="L356" s="58"/>
      <c r="M356" s="58"/>
      <c r="N356" s="58"/>
      <c r="Q356" s="58"/>
      <c r="R356" s="58"/>
      <c r="S356" s="58"/>
      <c r="T356" s="212"/>
      <c r="U356" s="58"/>
      <c r="V356" s="58"/>
      <c r="W356" s="58"/>
      <c r="X356" s="212"/>
      <c r="Y356" s="59">
        <f>Z356/Z354*Y354</f>
        <v>2.3845117744489137</v>
      </c>
      <c r="Z356" s="59">
        <f t="shared" ref="Z356:AH356" si="798">AA356/AA354*Z354</f>
        <v>5.109668088104816</v>
      </c>
      <c r="AA356" s="59">
        <f t="shared" si="798"/>
        <v>10.219336176209632</v>
      </c>
      <c r="AB356" s="274">
        <f t="shared" si="798"/>
        <v>25.548340440524079</v>
      </c>
      <c r="AC356" s="59">
        <f>I356-SUM(AD356:AF356)</f>
        <v>51.246488779512788</v>
      </c>
      <c r="AD356" s="59">
        <f t="shared" si="798"/>
        <v>91.839312860347391</v>
      </c>
      <c r="AE356" s="59">
        <f t="shared" si="798"/>
        <v>107.96313434373509</v>
      </c>
      <c r="AF356" s="274">
        <f t="shared" si="798"/>
        <v>136.63806401640474</v>
      </c>
      <c r="AG356" s="59">
        <f>J356-SUM(AH356:AJ356)</f>
        <v>169.22135483076306</v>
      </c>
      <c r="AH356" s="59">
        <f t="shared" si="798"/>
        <v>95.307645169236949</v>
      </c>
      <c r="AI356" s="58">
        <f>IQ_IS!AI80</f>
        <v>118.58799999999999</v>
      </c>
      <c r="AJ356" s="212">
        <f>IQ_IS!AJ80</f>
        <v>117.83499999999999</v>
      </c>
      <c r="AK356" s="58">
        <f>IQ_IS!AK80</f>
        <v>196.01599999999999</v>
      </c>
      <c r="AL356" s="58">
        <f>IQ_IS!AL80</f>
        <v>486.26299999999998</v>
      </c>
      <c r="AM356" s="58">
        <f>IQ_IS!AM80</f>
        <v>276.05200000000002</v>
      </c>
      <c r="AN356" s="212">
        <f>IQ_IS!AN80</f>
        <v>233.48500000000001</v>
      </c>
      <c r="AO356" s="58"/>
      <c r="AP356" s="58"/>
      <c r="AQ356" s="58"/>
      <c r="AR356" s="212"/>
      <c r="AS356" s="58"/>
      <c r="AT356" s="58"/>
      <c r="AU356" s="58"/>
      <c r="AV356" s="212"/>
      <c r="AW356" s="58"/>
      <c r="AX356" s="58"/>
      <c r="AY356" s="58"/>
      <c r="AZ356" s="58"/>
    </row>
    <row r="357" spans="2:52">
      <c r="B357" s="52" t="s">
        <v>558</v>
      </c>
      <c r="F357" s="58"/>
      <c r="G357" s="58"/>
      <c r="H357" s="58"/>
      <c r="I357" s="58">
        <f>IQ_IS!I81</f>
        <v>534.28</v>
      </c>
      <c r="J357" s="58">
        <f>IQ_IS!J81</f>
        <v>1323.9059999999999</v>
      </c>
      <c r="K357" s="58">
        <f>IQ_IS!K81</f>
        <v>1491.5820000000001</v>
      </c>
      <c r="L357" s="58"/>
      <c r="M357" s="58"/>
      <c r="N357" s="58"/>
      <c r="Q357" s="58"/>
      <c r="R357" s="58"/>
      <c r="S357" s="58"/>
      <c r="T357" s="212"/>
      <c r="U357" s="58"/>
      <c r="V357" s="58"/>
      <c r="W357" s="58"/>
      <c r="X357" s="212"/>
      <c r="Y357" s="59">
        <f>Z357/Z354*Y354</f>
        <v>7.9800432839100766E-2</v>
      </c>
      <c r="Z357" s="59">
        <f t="shared" ref="Z357:AH357" si="799">AA357/AA354*Z354</f>
        <v>0.17100092751235882</v>
      </c>
      <c r="AA357" s="59">
        <f t="shared" si="799"/>
        <v>0.34200185502471764</v>
      </c>
      <c r="AB357" s="274">
        <f t="shared" si="799"/>
        <v>0.85500463756179412</v>
      </c>
      <c r="AC357" s="59">
        <f>I357-SUM(AD357:AF357)</f>
        <v>1.7150227689835447</v>
      </c>
      <c r="AD357" s="59">
        <f t="shared" si="799"/>
        <v>145.37607669466871</v>
      </c>
      <c r="AE357" s="59">
        <f t="shared" si="799"/>
        <v>170.89911073723039</v>
      </c>
      <c r="AF357" s="274">
        <f t="shared" si="799"/>
        <v>216.28978979911736</v>
      </c>
      <c r="AG357" s="59">
        <f>J357-SUM(AH357:AJ357)</f>
        <v>267.86716812288341</v>
      </c>
      <c r="AH357" s="59">
        <f t="shared" si="799"/>
        <v>277.13783187711647</v>
      </c>
      <c r="AI357" s="58">
        <f>IQ_IS!AI81</f>
        <v>344.83300000000003</v>
      </c>
      <c r="AJ357" s="212">
        <f>IQ_IS!AJ81</f>
        <v>434.06799999999998</v>
      </c>
      <c r="AK357" s="58">
        <f>IQ_IS!AK81</f>
        <v>284.59699999999998</v>
      </c>
      <c r="AL357" s="58">
        <f>IQ_IS!AL81</f>
        <v>352.07299999999998</v>
      </c>
      <c r="AM357" s="58">
        <f>IQ_IS!AM81</f>
        <v>343.64699999999999</v>
      </c>
      <c r="AN357" s="212">
        <f>IQ_IS!AN81</f>
        <v>511.26499999999999</v>
      </c>
      <c r="AO357" s="58"/>
      <c r="AP357" s="58"/>
      <c r="AQ357" s="58"/>
      <c r="AR357" s="212"/>
      <c r="AS357" s="58"/>
      <c r="AT357" s="58"/>
      <c r="AU357" s="58"/>
      <c r="AV357" s="212"/>
      <c r="AW357" s="58"/>
      <c r="AX357" s="58"/>
      <c r="AY357" s="58"/>
      <c r="AZ357" s="58"/>
    </row>
    <row r="358" spans="2:52">
      <c r="B358" s="52"/>
      <c r="F358" s="58"/>
      <c r="G358" s="58"/>
      <c r="H358" s="58"/>
      <c r="I358" s="58"/>
      <c r="J358" s="58"/>
      <c r="K358" s="58"/>
      <c r="L358" s="58"/>
      <c r="M358" s="58"/>
      <c r="N358" s="58"/>
      <c r="Q358" s="58"/>
      <c r="R358" s="58"/>
      <c r="S358" s="58"/>
      <c r="T358" s="212"/>
      <c r="U358" s="58"/>
      <c r="V358" s="58"/>
      <c r="W358" s="58"/>
      <c r="X358" s="212"/>
      <c r="Y358" s="59"/>
      <c r="Z358" s="59"/>
      <c r="AA358" s="59"/>
      <c r="AB358" s="274"/>
      <c r="AC358" s="59"/>
      <c r="AD358" s="59"/>
      <c r="AE358" s="59"/>
      <c r="AF358" s="274"/>
      <c r="AG358" s="59"/>
      <c r="AH358" s="59"/>
      <c r="AI358" s="58"/>
      <c r="AJ358" s="212"/>
      <c r="AK358" s="58"/>
      <c r="AL358" s="58"/>
      <c r="AM358" s="58"/>
      <c r="AN358" s="212"/>
      <c r="AO358" s="58"/>
      <c r="AP358" s="58"/>
      <c r="AQ358" s="58"/>
      <c r="AR358" s="212"/>
      <c r="AS358" s="58"/>
      <c r="AT358" s="58"/>
      <c r="AU358" s="58"/>
      <c r="AV358" s="212"/>
      <c r="AW358" s="58"/>
      <c r="AX358" s="58"/>
      <c r="AY358" s="58"/>
      <c r="AZ358" s="58"/>
    </row>
    <row r="359" spans="2:52">
      <c r="B359" s="8" t="s">
        <v>601</v>
      </c>
      <c r="G359" s="58"/>
      <c r="H359" s="58"/>
      <c r="I359" s="60"/>
      <c r="J359" s="60"/>
      <c r="K359" s="58"/>
      <c r="L359" s="58"/>
      <c r="M359" s="58"/>
      <c r="N359" s="58"/>
      <c r="Q359" s="58"/>
      <c r="R359" s="58"/>
      <c r="S359" s="58"/>
      <c r="T359" s="212"/>
      <c r="U359" s="58"/>
      <c r="V359" s="58"/>
      <c r="W359" s="58"/>
      <c r="X359" s="212"/>
      <c r="Y359" s="58"/>
      <c r="Z359" s="58"/>
      <c r="AA359" s="58"/>
      <c r="AB359" s="212"/>
      <c r="AC359" s="58"/>
      <c r="AD359" s="58"/>
      <c r="AE359" s="58"/>
      <c r="AF359" s="212"/>
      <c r="AG359" s="58"/>
      <c r="AH359" s="58"/>
      <c r="AI359" s="58"/>
      <c r="AJ359" s="212"/>
      <c r="AK359" s="58"/>
      <c r="AL359" s="58"/>
      <c r="AM359" s="58"/>
      <c r="AO359" s="58"/>
      <c r="AP359" s="58"/>
      <c r="AQ359" s="58"/>
      <c r="AR359" s="212"/>
      <c r="AS359" s="58"/>
      <c r="AT359" s="58"/>
      <c r="AU359" s="58"/>
      <c r="AV359" s="212"/>
      <c r="AW359" s="58"/>
      <c r="AX359" s="58"/>
      <c r="AY359" s="58"/>
      <c r="AZ359" s="58"/>
    </row>
    <row r="360" spans="2:52">
      <c r="B360" s="3" t="s">
        <v>293</v>
      </c>
      <c r="F360" s="58">
        <f t="shared" ref="F360:N360" ca="1" si="800">F80-F349-F350-F353</f>
        <v>468.90399999999863</v>
      </c>
      <c r="G360" s="58">
        <f t="shared" ca="1" si="800"/>
        <v>866.90100000000302</v>
      </c>
      <c r="H360" s="58">
        <f t="shared" ca="1" si="800"/>
        <v>2122.8039999999937</v>
      </c>
      <c r="I360" s="58">
        <f t="shared" ca="1" si="800"/>
        <v>4324.7503999999954</v>
      </c>
      <c r="J360" s="58">
        <f t="shared" ca="1" si="800"/>
        <v>3499.7179999999935</v>
      </c>
      <c r="K360" s="58">
        <f t="shared" ca="1" si="800"/>
        <v>2824.5339158225806</v>
      </c>
      <c r="L360" s="58">
        <f t="shared" ca="1" si="800"/>
        <v>6750.813758746217</v>
      </c>
      <c r="M360" s="58">
        <f t="shared" ca="1" si="800"/>
        <v>8086.658145819305</v>
      </c>
      <c r="N360" s="58">
        <f t="shared" ca="1" si="800"/>
        <v>11653.657935524803</v>
      </c>
      <c r="Q360" s="58">
        <f t="shared" ref="Q360:AZ360" si="801">Q80-Q349-Q350-Q353</f>
        <v>87.57300000000032</v>
      </c>
      <c r="R360" s="58">
        <f t="shared" si="801"/>
        <v>101.17000000000007</v>
      </c>
      <c r="S360" s="58">
        <f t="shared" si="801"/>
        <v>144.10800000000017</v>
      </c>
      <c r="T360" s="212">
        <f t="shared" si="801"/>
        <v>136.05299999999988</v>
      </c>
      <c r="U360" s="58">
        <f t="shared" si="801"/>
        <v>174.45599999999976</v>
      </c>
      <c r="V360" s="58">
        <f t="shared" si="801"/>
        <v>180.39692000000039</v>
      </c>
      <c r="W360" s="58">
        <f t="shared" si="801"/>
        <v>243.01358000000079</v>
      </c>
      <c r="X360" s="212">
        <f t="shared" si="801"/>
        <v>269.03549999999962</v>
      </c>
      <c r="Y360" s="58">
        <f t="shared" si="801"/>
        <v>406.66379999999884</v>
      </c>
      <c r="Z360" s="58">
        <f t="shared" si="801"/>
        <v>486.26096000000018</v>
      </c>
      <c r="AA360" s="58">
        <f t="shared" si="801"/>
        <v>594.3630399999978</v>
      </c>
      <c r="AB360" s="212">
        <f t="shared" si="801"/>
        <v>627.26319999999987</v>
      </c>
      <c r="AC360" s="58">
        <f t="shared" si="801"/>
        <v>682.48065113435132</v>
      </c>
      <c r="AD360" s="58">
        <f t="shared" si="801"/>
        <v>967.76053484580098</v>
      </c>
      <c r="AE360" s="58">
        <f t="shared" si="801"/>
        <v>1298.1290883303811</v>
      </c>
      <c r="AF360" s="212">
        <f t="shared" si="801"/>
        <v>1376.3801256894653</v>
      </c>
      <c r="AG360" s="58">
        <f t="shared" si="801"/>
        <v>587.25799999999958</v>
      </c>
      <c r="AH360" s="58">
        <f t="shared" ca="1" si="801"/>
        <v>837.46963059442533</v>
      </c>
      <c r="AI360" s="58">
        <f t="shared" ca="1" si="801"/>
        <v>954.39124095508646</v>
      </c>
      <c r="AJ360" s="212">
        <f t="shared" ca="1" si="801"/>
        <v>1120.5991284504876</v>
      </c>
      <c r="AK360" s="58">
        <f t="shared" ca="1" si="801"/>
        <v>843.78800000000024</v>
      </c>
      <c r="AL360" s="58">
        <f t="shared" ca="1" si="801"/>
        <v>817.28668350188673</v>
      </c>
      <c r="AM360" s="58">
        <f t="shared" si="801"/>
        <v>471.55899828190286</v>
      </c>
      <c r="AN360" s="212">
        <f t="shared" si="801"/>
        <v>692.67823403879493</v>
      </c>
      <c r="AO360" s="58">
        <f t="shared" ca="1" si="801"/>
        <v>1445.170769046545</v>
      </c>
      <c r="AP360" s="58">
        <f t="shared" ca="1" si="801"/>
        <v>1956.203309662113</v>
      </c>
      <c r="AQ360" s="58">
        <f t="shared" ca="1" si="801"/>
        <v>1656.0192660433886</v>
      </c>
      <c r="AR360" s="212">
        <f t="shared" ca="1" si="801"/>
        <v>1693.4204139941708</v>
      </c>
      <c r="AS360" s="58">
        <f t="shared" ca="1" si="801"/>
        <v>1748.5140144215534</v>
      </c>
      <c r="AT360" s="58">
        <f t="shared" ca="1" si="801"/>
        <v>2355.5438953602438</v>
      </c>
      <c r="AU360" s="58">
        <f t="shared" ca="1" si="801"/>
        <v>1929.4643509629873</v>
      </c>
      <c r="AV360" s="212">
        <f t="shared" ca="1" si="801"/>
        <v>2053.1358850745241</v>
      </c>
      <c r="AW360" s="58">
        <f t="shared" ca="1" si="801"/>
        <v>2324.5928031030671</v>
      </c>
      <c r="AX360" s="58">
        <f t="shared" ca="1" si="801"/>
        <v>3188.8958715891113</v>
      </c>
      <c r="AY360" s="58">
        <f t="shared" ca="1" si="801"/>
        <v>2799.9217845370713</v>
      </c>
      <c r="AZ360" s="58">
        <f t="shared" ca="1" si="801"/>
        <v>3340.2474762955635</v>
      </c>
    </row>
    <row r="361" spans="2:52">
      <c r="B361" s="52" t="s">
        <v>57</v>
      </c>
      <c r="F361" s="58">
        <f t="shared" ref="F361:N363" ca="1" si="802">SUM(OFFSET($P361,0,F$1,1,4))</f>
        <v>468.904</v>
      </c>
      <c r="G361" s="58">
        <f t="shared" ca="1" si="802"/>
        <v>813.21900000000005</v>
      </c>
      <c r="H361" s="58">
        <f t="shared" ca="1" si="802"/>
        <v>1754.5469999999998</v>
      </c>
      <c r="I361" s="58">
        <f t="shared" ca="1" si="802"/>
        <v>3819.4727257709956</v>
      </c>
      <c r="J361" s="58">
        <f t="shared" ca="1" si="802"/>
        <v>0</v>
      </c>
      <c r="K361" s="58">
        <f t="shared" ca="1" si="802"/>
        <v>0</v>
      </c>
      <c r="L361" s="58">
        <f t="shared" ca="1" si="802"/>
        <v>0</v>
      </c>
      <c r="M361" s="58">
        <f t="shared" ca="1" si="802"/>
        <v>0</v>
      </c>
      <c r="N361" s="58">
        <f t="shared" ca="1" si="802"/>
        <v>0</v>
      </c>
      <c r="Q361" s="58">
        <f>Operating_Model!Q97</f>
        <v>87.573000000000008</v>
      </c>
      <c r="R361" s="58">
        <f>Operating_Model!R97</f>
        <v>101.17</v>
      </c>
      <c r="S361" s="58">
        <f>Operating_Model!S97</f>
        <v>144.108</v>
      </c>
      <c r="T361" s="212">
        <f>Operating_Model!T97</f>
        <v>136.053</v>
      </c>
      <c r="U361" s="58">
        <f>Operating_Model!U97</f>
        <v>174.45599999999999</v>
      </c>
      <c r="V361" s="58">
        <f>Operating_Model!V97</f>
        <v>167.51300000000001</v>
      </c>
      <c r="W361" s="58">
        <f>Operating_Model!W97</f>
        <v>229.05599999999998</v>
      </c>
      <c r="X361" s="212">
        <f>Operating_Model!X97</f>
        <v>242.19400000000002</v>
      </c>
      <c r="Y361" s="58">
        <f>Operating_Model!Y97</f>
        <v>334.66299999999995</v>
      </c>
      <c r="Z361" s="58">
        <f>Operating_Model!Z97</f>
        <v>399.86</v>
      </c>
      <c r="AA361" s="58">
        <f>Operating_Model!AA97</f>
        <v>500.762</v>
      </c>
      <c r="AB361" s="212">
        <f>Operating_Model!AB97</f>
        <v>519.26199999999994</v>
      </c>
      <c r="AC361" s="58">
        <f>Operating_Model!AC97</f>
        <v>606.68900000000008</v>
      </c>
      <c r="AD361" s="58">
        <f>Operating_Model!AD97</f>
        <v>866.70500000000015</v>
      </c>
      <c r="AE361" s="58">
        <f>Operating_Model!AE97</f>
        <v>1186.9680000000001</v>
      </c>
      <c r="AF361" s="212">
        <f>Operating_Model!AF97</f>
        <v>1159.1107257709957</v>
      </c>
      <c r="AG361" s="58"/>
      <c r="AH361" s="58"/>
      <c r="AI361" s="58"/>
      <c r="AJ361" s="212"/>
      <c r="AK361" s="58"/>
      <c r="AL361" s="58"/>
      <c r="AM361" s="58"/>
      <c r="AO361" s="58"/>
      <c r="AP361" s="58"/>
      <c r="AQ361" s="58"/>
      <c r="AR361" s="212"/>
      <c r="AS361" s="58"/>
      <c r="AT361" s="58"/>
      <c r="AU361" s="58"/>
      <c r="AV361" s="212"/>
      <c r="AW361" s="58"/>
      <c r="AX361" s="58"/>
      <c r="AY361" s="58"/>
      <c r="AZ361" s="58"/>
    </row>
    <row r="362" spans="2:52">
      <c r="B362" s="52" t="s">
        <v>536</v>
      </c>
      <c r="F362" s="58">
        <f t="shared" ca="1" si="802"/>
        <v>0</v>
      </c>
      <c r="G362" s="58">
        <f t="shared" ca="1" si="802"/>
        <v>53.683000000000952</v>
      </c>
      <c r="H362" s="58">
        <f t="shared" ca="1" si="802"/>
        <v>360.00399999999354</v>
      </c>
      <c r="I362" s="58">
        <f t="shared" ca="1" si="802"/>
        <v>505.2776742290007</v>
      </c>
      <c r="J362" s="58">
        <f t="shared" ca="1" si="802"/>
        <v>3499.7179999999989</v>
      </c>
      <c r="K362" s="58">
        <f t="shared" ca="1" si="802"/>
        <v>2825.3119158225854</v>
      </c>
      <c r="L362" s="58">
        <f t="shared" ca="1" si="802"/>
        <v>3194.0259219321365</v>
      </c>
      <c r="M362" s="58">
        <f t="shared" ca="1" si="802"/>
        <v>3373.2087933610837</v>
      </c>
      <c r="N362" s="58">
        <f t="shared" ca="1" si="802"/>
        <v>3508.1371450955276</v>
      </c>
      <c r="Q362" s="58">
        <f>Q80-Q361-Q353-Q301</f>
        <v>0</v>
      </c>
      <c r="R362" s="58">
        <f>R80-R361-R353-R301</f>
        <v>0</v>
      </c>
      <c r="S362" s="58">
        <f>S80-S361-S353-S301</f>
        <v>0</v>
      </c>
      <c r="T362" s="212">
        <f>T80-T361-T353-T301</f>
        <v>0</v>
      </c>
      <c r="U362" s="59">
        <v>0</v>
      </c>
      <c r="V362" s="59">
        <v>12.883920000000217</v>
      </c>
      <c r="W362" s="59">
        <v>13.957580000000235</v>
      </c>
      <c r="X362" s="274">
        <f>16.1049000000003+10.7366000000002</f>
        <v>26.841500000000501</v>
      </c>
      <c r="Y362" s="59">
        <v>72.000799999998705</v>
      </c>
      <c r="Z362" s="59">
        <v>86.400959999998449</v>
      </c>
      <c r="AA362" s="59">
        <v>93.601039999998321</v>
      </c>
      <c r="AB362" s="274">
        <v>108.00119999999805</v>
      </c>
      <c r="AC362" s="58">
        <v>75.791651134350104</v>
      </c>
      <c r="AD362" s="58">
        <v>101.05553484580014</v>
      </c>
      <c r="AE362" s="58">
        <v>111.16108833038015</v>
      </c>
      <c r="AF362" s="212">
        <v>217.2693999184703</v>
      </c>
      <c r="AG362" s="58">
        <f t="shared" ref="AG362:AN362" si="803">AG80-AG361-AG353-AG301</f>
        <v>587.25799999999981</v>
      </c>
      <c r="AH362" s="58">
        <f t="shared" ca="1" si="803"/>
        <v>837.46963059442533</v>
      </c>
      <c r="AI362" s="58">
        <f t="shared" ca="1" si="803"/>
        <v>954.39124095508669</v>
      </c>
      <c r="AJ362" s="212">
        <f t="shared" ca="1" si="803"/>
        <v>1120.5991284504871</v>
      </c>
      <c r="AK362" s="58">
        <f t="shared" si="803"/>
        <v>843.78800000000047</v>
      </c>
      <c r="AL362" s="58">
        <f t="shared" si="803"/>
        <v>817.28668350188673</v>
      </c>
      <c r="AM362" s="58">
        <f t="shared" si="803"/>
        <v>471.55899828190377</v>
      </c>
      <c r="AN362" s="212">
        <f t="shared" si="803"/>
        <v>692.67823403879447</v>
      </c>
      <c r="AO362" s="58">
        <f>AO367*AN362/AN367</f>
        <v>779.26301329364378</v>
      </c>
      <c r="AP362" s="58">
        <f>AP367*AO362/AO367</f>
        <v>818.22616395832608</v>
      </c>
      <c r="AQ362" s="58">
        <f t="shared" ref="AQ362:AZ362" si="804">(AQ367-AQ366)*AP362/(AP367-AP366)</f>
        <v>834.59068723749272</v>
      </c>
      <c r="AR362" s="212">
        <f t="shared" si="804"/>
        <v>761.94605744267403</v>
      </c>
      <c r="AS362" s="58">
        <f t="shared" si="804"/>
        <v>837.70773929066695</v>
      </c>
      <c r="AT362" s="58">
        <f t="shared" si="804"/>
        <v>859.13747215624221</v>
      </c>
      <c r="AU362" s="58">
        <f t="shared" si="804"/>
        <v>876.32022159936719</v>
      </c>
      <c r="AV362" s="212">
        <f t="shared" si="804"/>
        <v>800.04336031480761</v>
      </c>
      <c r="AW362" s="58">
        <f t="shared" si="804"/>
        <v>871.21604886229375</v>
      </c>
      <c r="AX362" s="58">
        <f t="shared" si="804"/>
        <v>893.50297104249205</v>
      </c>
      <c r="AY362" s="58">
        <f t="shared" si="804"/>
        <v>911.37303046334193</v>
      </c>
      <c r="AZ362" s="58">
        <f t="shared" si="804"/>
        <v>832.04509472740006</v>
      </c>
    </row>
    <row r="363" spans="2:52">
      <c r="B363" s="3" t="s">
        <v>410</v>
      </c>
      <c r="F363" s="58">
        <f t="shared" ca="1" si="802"/>
        <v>60.381999999999998</v>
      </c>
      <c r="G363" s="58">
        <f t="shared" ca="1" si="802"/>
        <v>141.70400000000001</v>
      </c>
      <c r="H363" s="58">
        <f t="shared" ca="1" si="802"/>
        <v>336.75700000000001</v>
      </c>
      <c r="I363" s="58">
        <f t="shared" ca="1" si="802"/>
        <v>426.07399999999984</v>
      </c>
      <c r="J363" s="58">
        <f t="shared" ca="1" si="802"/>
        <v>437.20800000000065</v>
      </c>
      <c r="K363" s="58">
        <f t="shared" ca="1" si="802"/>
        <v>2443.5810000000001</v>
      </c>
      <c r="L363" s="58">
        <f t="shared" ca="1" si="802"/>
        <v>2258.6345602929568</v>
      </c>
      <c r="M363" s="58">
        <f t="shared" ca="1" si="802"/>
        <v>2354.8164159421235</v>
      </c>
      <c r="N363" s="58">
        <f t="shared" ca="1" si="802"/>
        <v>2449.0090725798091</v>
      </c>
      <c r="Q363" s="58">
        <f t="shared" ref="Q363:AN363" si="805">Q81-Q354</f>
        <v>3.1970000000000001</v>
      </c>
      <c r="R363" s="58">
        <f t="shared" si="805"/>
        <v>4.6769999999999996</v>
      </c>
      <c r="S363" s="58">
        <f t="shared" si="805"/>
        <v>4.7110000000000003</v>
      </c>
      <c r="T363" s="212">
        <f t="shared" si="805"/>
        <v>47.796999999999997</v>
      </c>
      <c r="U363" s="58">
        <f t="shared" si="805"/>
        <v>15.64</v>
      </c>
      <c r="V363" s="58">
        <f t="shared" si="805"/>
        <v>21.681999999999999</v>
      </c>
      <c r="W363" s="58">
        <f t="shared" si="805"/>
        <v>43.670999999999999</v>
      </c>
      <c r="X363" s="212">
        <f t="shared" si="805"/>
        <v>60.710999999999999</v>
      </c>
      <c r="Y363" s="58">
        <f t="shared" si="805"/>
        <v>105.634</v>
      </c>
      <c r="Z363" s="58">
        <f t="shared" si="805"/>
        <v>121.92400000000001</v>
      </c>
      <c r="AA363" s="58">
        <f t="shared" si="805"/>
        <v>38.576999999999998</v>
      </c>
      <c r="AB363" s="212">
        <f t="shared" si="805"/>
        <v>70.622000000000014</v>
      </c>
      <c r="AC363" s="58">
        <f t="shared" si="805"/>
        <v>-64.932600000000235</v>
      </c>
      <c r="AD363" s="58">
        <f t="shared" si="805"/>
        <v>-102.07925</v>
      </c>
      <c r="AE363" s="58">
        <f t="shared" si="805"/>
        <v>173.91262500000005</v>
      </c>
      <c r="AF363" s="212">
        <f t="shared" si="805"/>
        <v>419.173225</v>
      </c>
      <c r="AG363" s="58">
        <f t="shared" si="805"/>
        <v>61.210000000000605</v>
      </c>
      <c r="AH363" s="58">
        <f t="shared" si="805"/>
        <v>13.354000000000042</v>
      </c>
      <c r="AI363" s="58">
        <f t="shared" si="805"/>
        <v>130.86500000000001</v>
      </c>
      <c r="AJ363" s="212">
        <f t="shared" si="805"/>
        <v>231.779</v>
      </c>
      <c r="AK363" s="58">
        <f t="shared" si="805"/>
        <v>342.41799999999989</v>
      </c>
      <c r="AL363" s="58">
        <f t="shared" si="805"/>
        <v>573.13400000000001</v>
      </c>
      <c r="AM363" s="58">
        <f t="shared" si="805"/>
        <v>1064.6040000000003</v>
      </c>
      <c r="AN363" s="212">
        <f t="shared" si="805"/>
        <v>463.42500000000018</v>
      </c>
      <c r="AO363" s="58">
        <f ca="1">AO367-AO369-AO362</f>
        <v>572.90335116605638</v>
      </c>
      <c r="AP363" s="58">
        <f ca="1">AP367-AP369-AP362</f>
        <v>571.19867783890447</v>
      </c>
      <c r="AQ363" s="58">
        <f t="shared" ref="AQ363:AZ363" ca="1" si="806">(AQ367-AQ366)*AP363/(AP367-AP366)</f>
        <v>582.62265139568262</v>
      </c>
      <c r="AR363" s="212">
        <f t="shared" ca="1" si="806"/>
        <v>531.90987989231314</v>
      </c>
      <c r="AS363" s="58">
        <f t="shared" ca="1" si="806"/>
        <v>584.79864635887827</v>
      </c>
      <c r="AT363" s="58">
        <f t="shared" ca="1" si="806"/>
        <v>599.75861173084968</v>
      </c>
      <c r="AU363" s="58">
        <f t="shared" ca="1" si="806"/>
        <v>611.75378396546682</v>
      </c>
      <c r="AV363" s="212">
        <f t="shared" ca="1" si="806"/>
        <v>558.50537388692885</v>
      </c>
      <c r="AW363" s="58">
        <f t="shared" ca="1" si="806"/>
        <v>608.19059221323357</v>
      </c>
      <c r="AX363" s="58">
        <f t="shared" ca="1" si="806"/>
        <v>623.74895620008374</v>
      </c>
      <c r="AY363" s="58">
        <f t="shared" ca="1" si="806"/>
        <v>636.22393532408557</v>
      </c>
      <c r="AZ363" s="58">
        <f t="shared" ca="1" si="806"/>
        <v>580.84558884240619</v>
      </c>
    </row>
    <row r="364" spans="2:52">
      <c r="B364" s="52" t="s">
        <v>537</v>
      </c>
      <c r="F364" s="58">
        <f t="shared" ref="F364:N364" ca="1" si="807">F81-F354-F365</f>
        <v>60.383000000000003</v>
      </c>
      <c r="G364" s="58">
        <f t="shared" ca="1" si="807"/>
        <v>141.70500000000001</v>
      </c>
      <c r="H364" s="58">
        <f t="shared" ca="1" si="807"/>
        <v>328.50299999999993</v>
      </c>
      <c r="I364" s="58">
        <f t="shared" ca="1" si="807"/>
        <v>426.07399999999984</v>
      </c>
      <c r="J364" s="58">
        <f t="shared" ca="1" si="807"/>
        <v>-1176.3508636363679</v>
      </c>
      <c r="K364" s="58">
        <f t="shared" ca="1" si="807"/>
        <v>2043.5740000000005</v>
      </c>
      <c r="L364" s="58">
        <f t="shared" ca="1" si="807"/>
        <v>2258.6345602929578</v>
      </c>
      <c r="M364" s="58">
        <f t="shared" ca="1" si="807"/>
        <v>2354.8164159421249</v>
      </c>
      <c r="N364" s="58">
        <f t="shared" ca="1" si="807"/>
        <v>2449.0090725798109</v>
      </c>
      <c r="Q364" s="58">
        <f>Q363-Q365</f>
        <v>3.1970000000000001</v>
      </c>
      <c r="R364" s="58">
        <f t="shared" ref="R364:AZ364" si="808">R363-R365</f>
        <v>4.6769999999999996</v>
      </c>
      <c r="S364" s="58">
        <f t="shared" si="808"/>
        <v>4.7110000000000003</v>
      </c>
      <c r="T364" s="212">
        <f t="shared" si="808"/>
        <v>47.796999999999997</v>
      </c>
      <c r="U364" s="58">
        <f t="shared" si="808"/>
        <v>15.64</v>
      </c>
      <c r="V364" s="58">
        <f t="shared" si="808"/>
        <v>21.681999999999999</v>
      </c>
      <c r="W364" s="58">
        <f t="shared" si="808"/>
        <v>43.670999999999999</v>
      </c>
      <c r="X364" s="212">
        <f t="shared" si="808"/>
        <v>60.710999999999999</v>
      </c>
      <c r="Y364" s="58">
        <f t="shared" si="808"/>
        <v>105.634</v>
      </c>
      <c r="Z364" s="58">
        <f t="shared" si="808"/>
        <v>121.92400000000001</v>
      </c>
      <c r="AA364" s="58">
        <f t="shared" si="808"/>
        <v>38.576999999999998</v>
      </c>
      <c r="AB364" s="212">
        <f t="shared" si="808"/>
        <v>70.622000000000014</v>
      </c>
      <c r="AC364" s="58">
        <f t="shared" si="808"/>
        <v>-64.932600000000235</v>
      </c>
      <c r="AD364" s="58">
        <f t="shared" si="808"/>
        <v>-102.07925</v>
      </c>
      <c r="AE364" s="58">
        <f t="shared" si="808"/>
        <v>173.91262500000005</v>
      </c>
      <c r="AF364" s="212">
        <f t="shared" si="808"/>
        <v>419.173225</v>
      </c>
      <c r="AG364" s="58">
        <f t="shared" si="808"/>
        <v>61.210000000000605</v>
      </c>
      <c r="AH364" s="58">
        <f t="shared" si="808"/>
        <v>13.354000000000042</v>
      </c>
      <c r="AI364" s="58">
        <f t="shared" si="808"/>
        <v>-637.49636363636546</v>
      </c>
      <c r="AJ364" s="212">
        <f t="shared" si="808"/>
        <v>-613.41850000000204</v>
      </c>
      <c r="AK364" s="58">
        <f t="shared" si="808"/>
        <v>342.41799999999989</v>
      </c>
      <c r="AL364" s="58">
        <f t="shared" si="808"/>
        <v>573.13400000000001</v>
      </c>
      <c r="AM364" s="58">
        <f t="shared" si="808"/>
        <v>664.60400000000027</v>
      </c>
      <c r="AN364" s="212">
        <f t="shared" si="808"/>
        <v>463.42500000000018</v>
      </c>
      <c r="AO364" s="58">
        <f t="shared" ca="1" si="808"/>
        <v>572.90335116605638</v>
      </c>
      <c r="AP364" s="58">
        <f t="shared" ca="1" si="808"/>
        <v>571.19867783890447</v>
      </c>
      <c r="AQ364" s="58">
        <f t="shared" ca="1" si="808"/>
        <v>582.62265139568262</v>
      </c>
      <c r="AR364" s="212">
        <f t="shared" ca="1" si="808"/>
        <v>531.90987989231314</v>
      </c>
      <c r="AS364" s="58">
        <f t="shared" ca="1" si="808"/>
        <v>584.79864635887827</v>
      </c>
      <c r="AT364" s="58">
        <f t="shared" ca="1" si="808"/>
        <v>599.75861173084968</v>
      </c>
      <c r="AU364" s="58">
        <f t="shared" ca="1" si="808"/>
        <v>611.75378396546682</v>
      </c>
      <c r="AV364" s="212">
        <f t="shared" ca="1" si="808"/>
        <v>558.50537388692885</v>
      </c>
      <c r="AW364" s="58">
        <f t="shared" ca="1" si="808"/>
        <v>608.19059221323357</v>
      </c>
      <c r="AX364" s="58">
        <f t="shared" ca="1" si="808"/>
        <v>623.74895620008374</v>
      </c>
      <c r="AY364" s="58">
        <f t="shared" ca="1" si="808"/>
        <v>636.22393532408557</v>
      </c>
      <c r="AZ364" s="58">
        <f t="shared" ca="1" si="808"/>
        <v>580.84558884240619</v>
      </c>
    </row>
    <row r="365" spans="2:52">
      <c r="B365" s="52" t="s">
        <v>538</v>
      </c>
      <c r="F365" s="58">
        <f t="shared" ref="F365:N369" ca="1" si="809">SUM(OFFSET($P365,0,F$1,1,4))</f>
        <v>0</v>
      </c>
      <c r="G365" s="58">
        <f t="shared" ca="1" si="809"/>
        <v>0</v>
      </c>
      <c r="H365" s="58">
        <f t="shared" ca="1" si="809"/>
        <v>0</v>
      </c>
      <c r="I365" s="58">
        <f t="shared" ca="1" si="809"/>
        <v>0</v>
      </c>
      <c r="J365" s="58">
        <f t="shared" ca="1" si="809"/>
        <v>1613.5588636363675</v>
      </c>
      <c r="K365" s="58">
        <f t="shared" ca="1" si="809"/>
        <v>400</v>
      </c>
      <c r="L365" s="58">
        <f t="shared" ca="1" si="809"/>
        <v>0</v>
      </c>
      <c r="M365" s="58">
        <f t="shared" ca="1" si="809"/>
        <v>0</v>
      </c>
      <c r="N365" s="58">
        <f t="shared" ca="1" si="809"/>
        <v>0</v>
      </c>
      <c r="Q365" s="58"/>
      <c r="R365" s="58"/>
      <c r="S365" s="58"/>
      <c r="T365" s="212"/>
      <c r="U365" s="58"/>
      <c r="V365" s="58"/>
      <c r="W365" s="58"/>
      <c r="X365" s="212"/>
      <c r="Y365" s="58"/>
      <c r="Z365" s="58"/>
      <c r="AA365" s="58"/>
      <c r="AB365" s="212"/>
      <c r="AC365" s="60"/>
      <c r="AD365" s="58"/>
      <c r="AE365" s="58"/>
      <c r="AF365" s="212"/>
      <c r="AG365" s="58"/>
      <c r="AH365" s="58"/>
      <c r="AI365" s="58">
        <f>AJ365/1.1</f>
        <v>768.36136363636547</v>
      </c>
      <c r="AJ365" s="212">
        <f>AJ338-22230/1.28</f>
        <v>845.19750000000204</v>
      </c>
      <c r="AK365" s="58"/>
      <c r="AL365" s="58"/>
      <c r="AM365" s="59">
        <v>400</v>
      </c>
      <c r="AO365" s="58"/>
      <c r="AP365" s="58"/>
      <c r="AQ365" s="58"/>
      <c r="AR365" s="212"/>
      <c r="AS365" s="58"/>
      <c r="AT365" s="58"/>
      <c r="AU365" s="58"/>
      <c r="AV365" s="212"/>
      <c r="AW365" s="58"/>
      <c r="AX365" s="58"/>
      <c r="AY365" s="58"/>
      <c r="AZ365" s="58"/>
    </row>
    <row r="366" spans="2:52">
      <c r="B366" s="52" t="s">
        <v>15</v>
      </c>
      <c r="F366" s="58">
        <f t="shared" ca="1" si="809"/>
        <v>0</v>
      </c>
      <c r="G366" s="58">
        <f t="shared" ca="1" si="809"/>
        <v>0</v>
      </c>
      <c r="H366" s="58">
        <f t="shared" ca="1" si="809"/>
        <v>0</v>
      </c>
      <c r="I366" s="58">
        <f t="shared" ca="1" si="809"/>
        <v>0</v>
      </c>
      <c r="J366" s="58">
        <f t="shared" ca="1" si="809"/>
        <v>0</v>
      </c>
      <c r="K366" s="58">
        <f t="shared" ca="1" si="809"/>
        <v>0</v>
      </c>
      <c r="L366" s="58">
        <f t="shared" ca="1" si="809"/>
        <v>133.6258738521571</v>
      </c>
      <c r="M366" s="58">
        <f t="shared" ca="1" si="809"/>
        <v>714.03555847129746</v>
      </c>
      <c r="N366" s="58">
        <f t="shared" ca="1" si="809"/>
        <v>3603.6779113130433</v>
      </c>
      <c r="Q366" s="58"/>
      <c r="R366" s="58"/>
      <c r="S366" s="58"/>
      <c r="T366" s="212"/>
      <c r="U366" s="58"/>
      <c r="V366" s="58"/>
      <c r="W366" s="58"/>
      <c r="X366" s="212"/>
      <c r="Y366" s="58"/>
      <c r="Z366" s="58"/>
      <c r="AA366" s="58"/>
      <c r="AB366" s="212"/>
      <c r="AC366" s="60"/>
      <c r="AD366" s="58"/>
      <c r="AE366" s="58"/>
      <c r="AF366" s="212"/>
      <c r="AG366" s="58"/>
      <c r="AH366" s="58"/>
      <c r="AI366" s="58"/>
      <c r="AJ366" s="212"/>
      <c r="AK366" s="58"/>
      <c r="AL366" s="58"/>
      <c r="AM366" s="59"/>
      <c r="AO366" s="58"/>
      <c r="AP366" s="58"/>
      <c r="AQ366" s="58">
        <f>Operating_Model!AQ103</f>
        <v>53.450349540862845</v>
      </c>
      <c r="AR366" s="212">
        <f>Operating_Model!AR103</f>
        <v>80.175524311294254</v>
      </c>
      <c r="AS366" s="58">
        <f>Operating_Model!AS103</f>
        <v>107.10533377069461</v>
      </c>
      <c r="AT366" s="58">
        <f>Operating_Model!AT103</f>
        <v>142.8071116942595</v>
      </c>
      <c r="AU366" s="58">
        <f>Operating_Model!AU103</f>
        <v>178.50888961782437</v>
      </c>
      <c r="AV366" s="212">
        <f>Operating_Model!AV103</f>
        <v>285.61422338851901</v>
      </c>
      <c r="AW366" s="58">
        <f>Operating_Model!AW103</f>
        <v>540.55168669695649</v>
      </c>
      <c r="AX366" s="58">
        <f>Operating_Model!AX103</f>
        <v>720.73558226260877</v>
      </c>
      <c r="AY366" s="58">
        <f>Operating_Model!AY103</f>
        <v>900.91947782826094</v>
      </c>
      <c r="AZ366" s="58">
        <f>Operating_Model!AZ103</f>
        <v>1441.4711645252175</v>
      </c>
    </row>
    <row r="367" spans="2:52">
      <c r="B367" s="3" t="s">
        <v>59</v>
      </c>
      <c r="F367" s="58">
        <f t="shared" ca="1" si="809"/>
        <v>27.56100000000005</v>
      </c>
      <c r="G367" s="58">
        <f t="shared" ca="1" si="809"/>
        <v>468.26499999999857</v>
      </c>
      <c r="H367" s="58">
        <f t="shared" ca="1" si="809"/>
        <v>1163.2710281170671</v>
      </c>
      <c r="I367" s="58">
        <f t="shared" ca="1" si="809"/>
        <v>1199.408006821347</v>
      </c>
      <c r="J367" s="58">
        <f t="shared" ca="1" si="809"/>
        <v>4894.4859999999999</v>
      </c>
      <c r="K367" s="58">
        <f t="shared" ca="1" si="809"/>
        <v>6122.3167896783161</v>
      </c>
      <c r="L367" s="58">
        <f t="shared" ca="1" si="809"/>
        <v>6539.2762734472126</v>
      </c>
      <c r="M367" s="58">
        <f t="shared" ca="1" si="809"/>
        <v>7479.0389689758922</v>
      </c>
      <c r="N367" s="58">
        <f t="shared" ca="1" si="809"/>
        <v>10639.281458237821</v>
      </c>
      <c r="Q367" s="58">
        <f t="shared" ref="Q367:AF367" si="810">Q306-Q368</f>
        <v>-4.40399999999957</v>
      </c>
      <c r="R367" s="58">
        <f t="shared" si="810"/>
        <v>-3.543000000000248</v>
      </c>
      <c r="S367" s="58">
        <f t="shared" si="810"/>
        <v>-4.2429999999995971</v>
      </c>
      <c r="T367" s="212">
        <f t="shared" si="810"/>
        <v>39.750999999999465</v>
      </c>
      <c r="U367" s="58">
        <f t="shared" ca="1" si="810"/>
        <v>66.424197721034773</v>
      </c>
      <c r="V367" s="58">
        <f t="shared" ca="1" si="810"/>
        <v>100.21586966228077</v>
      </c>
      <c r="W367" s="58">
        <f t="shared" ca="1" si="810"/>
        <v>132.13595721580228</v>
      </c>
      <c r="X367" s="212">
        <f t="shared" ca="1" si="810"/>
        <v>169.48897540088075</v>
      </c>
      <c r="Y367" s="58">
        <f t="shared" ca="1" si="810"/>
        <v>269.86005258030764</v>
      </c>
      <c r="Z367" s="58">
        <f t="shared" ca="1" si="810"/>
        <v>324.21570945496921</v>
      </c>
      <c r="AA367" s="58">
        <f t="shared" ca="1" si="810"/>
        <v>261.36691085154308</v>
      </c>
      <c r="AB367" s="212">
        <f t="shared" ca="1" si="810"/>
        <v>307.8283552302471</v>
      </c>
      <c r="AC367" s="58">
        <f t="shared" ca="1" si="810"/>
        <v>67.551685784496613</v>
      </c>
      <c r="AD367" s="58">
        <f t="shared" ca="1" si="810"/>
        <v>142.49742881369889</v>
      </c>
      <c r="AE367" s="58">
        <f t="shared" ca="1" si="810"/>
        <v>319.47022922634187</v>
      </c>
      <c r="AF367" s="212">
        <f t="shared" ca="1" si="810"/>
        <v>669.88866299680967</v>
      </c>
      <c r="AG367" s="58">
        <f t="shared" ref="AG367:AZ367" si="811">AG306</f>
        <v>900.06200000000001</v>
      </c>
      <c r="AH367" s="58">
        <f t="shared" si="811"/>
        <v>1089.07502</v>
      </c>
      <c r="AI367" s="58">
        <f t="shared" si="811"/>
        <v>1317.7807742</v>
      </c>
      <c r="AJ367" s="212">
        <f t="shared" si="811"/>
        <v>1587.5682057999998</v>
      </c>
      <c r="AK367" s="58">
        <f t="shared" si="811"/>
        <v>1362.0060000000001</v>
      </c>
      <c r="AL367" s="58">
        <f t="shared" si="811"/>
        <v>1601.4906312786081</v>
      </c>
      <c r="AM367" s="58">
        <f t="shared" si="811"/>
        <v>1769.6471475628618</v>
      </c>
      <c r="AN367" s="212">
        <f t="shared" si="811"/>
        <v>1389.1730108368465</v>
      </c>
      <c r="AO367" s="58">
        <f t="shared" si="811"/>
        <v>1562.8196371914523</v>
      </c>
      <c r="AP367" s="58">
        <f t="shared" si="811"/>
        <v>1640.9606190510251</v>
      </c>
      <c r="AQ367" s="58">
        <f t="shared" si="811"/>
        <v>1727.2301809729086</v>
      </c>
      <c r="AR367" s="212">
        <f t="shared" si="811"/>
        <v>1608.2658362318257</v>
      </c>
      <c r="AS367" s="58">
        <f t="shared" si="811"/>
        <v>1787.1364437515058</v>
      </c>
      <c r="AT367" s="58">
        <f t="shared" si="811"/>
        <v>1865.8157616978358</v>
      </c>
      <c r="AU367" s="58">
        <f t="shared" si="811"/>
        <v>1935.9777126214726</v>
      </c>
      <c r="AV367" s="212">
        <f t="shared" si="811"/>
        <v>1890.1090509050769</v>
      </c>
      <c r="AW367" s="58">
        <f t="shared" si="811"/>
        <v>2287.7840410770004</v>
      </c>
      <c r="AX367" s="58">
        <f t="shared" si="811"/>
        <v>2512.6645782663281</v>
      </c>
      <c r="AY367" s="58">
        <f t="shared" si="811"/>
        <v>2728.6870537520549</v>
      </c>
      <c r="AZ367" s="58">
        <f t="shared" si="811"/>
        <v>3110.1457851424379</v>
      </c>
    </row>
    <row r="368" spans="2:52">
      <c r="B368" s="52" t="s">
        <v>58</v>
      </c>
      <c r="F368" s="58">
        <f t="shared" ca="1" si="809"/>
        <v>501.72500000000002</v>
      </c>
      <c r="G368" s="58">
        <f t="shared" ca="1" si="809"/>
        <v>850.92200000000003</v>
      </c>
      <c r="H368" s="58">
        <f t="shared" ca="1" si="809"/>
        <v>1756.7550000000001</v>
      </c>
      <c r="I368" s="58">
        <f t="shared" ca="1" si="809"/>
        <v>4171.2120000000004</v>
      </c>
      <c r="J368" s="58">
        <f t="shared" ca="1" si="809"/>
        <v>0</v>
      </c>
      <c r="K368" s="58">
        <f t="shared" ca="1" si="809"/>
        <v>0</v>
      </c>
      <c r="L368" s="58">
        <f t="shared" ca="1" si="809"/>
        <v>0</v>
      </c>
      <c r="M368" s="58">
        <f t="shared" ca="1" si="809"/>
        <v>0</v>
      </c>
      <c r="N368" s="58">
        <f t="shared" ca="1" si="809"/>
        <v>0</v>
      </c>
      <c r="Q368" s="58">
        <f>Operating_Model!Q95</f>
        <v>95.174000000000007</v>
      </c>
      <c r="R368" s="58">
        <f>Operating_Model!R95</f>
        <v>109.39</v>
      </c>
      <c r="S368" s="58">
        <f>Operating_Model!S95</f>
        <v>153.06200000000001</v>
      </c>
      <c r="T368" s="212">
        <f>Operating_Model!T95</f>
        <v>144.09899999999999</v>
      </c>
      <c r="U368" s="58">
        <f>Operating_Model!U95</f>
        <v>182.678</v>
      </c>
      <c r="V368" s="58">
        <f>Operating_Model!V95</f>
        <v>176.12899999999999</v>
      </c>
      <c r="W368" s="58">
        <f>Operating_Model!W95</f>
        <v>241.14599999999999</v>
      </c>
      <c r="X368" s="212">
        <f>Operating_Model!X95</f>
        <v>250.96899999999999</v>
      </c>
      <c r="Y368" s="58">
        <f>Operating_Model!Y95</f>
        <v>335.47199999999998</v>
      </c>
      <c r="Z368" s="58">
        <f>Operating_Model!Z95</f>
        <v>400.39800000000002</v>
      </c>
      <c r="AA368" s="58">
        <f>Operating_Model!AA95</f>
        <v>501.12700000000001</v>
      </c>
      <c r="AB368" s="212">
        <f>Operating_Model!AB95</f>
        <v>519.75800000000004</v>
      </c>
      <c r="AC368" s="58">
        <f>Operating_Model!AC95</f>
        <v>671.07600000000002</v>
      </c>
      <c r="AD368" s="58">
        <f>Operating_Model!AD95</f>
        <v>880.96199999999999</v>
      </c>
      <c r="AE368" s="58">
        <f>Operating_Model!AE95</f>
        <v>1325.1370000000002</v>
      </c>
      <c r="AF368" s="212">
        <f>Operating_Model!AF95</f>
        <v>1294.037</v>
      </c>
      <c r="AG368" s="58"/>
      <c r="AH368" s="58"/>
      <c r="AI368" s="58"/>
      <c r="AJ368" s="212"/>
      <c r="AK368" s="58"/>
      <c r="AL368" s="58"/>
      <c r="AM368" s="58"/>
      <c r="AO368" s="58"/>
      <c r="AP368" s="58"/>
      <c r="AQ368" s="58"/>
      <c r="AR368" s="212"/>
      <c r="AS368" s="58"/>
      <c r="AT368" s="58"/>
      <c r="AU368" s="58"/>
      <c r="AV368" s="212"/>
      <c r="AW368" s="58"/>
      <c r="AX368" s="58"/>
      <c r="AY368" s="58"/>
      <c r="AZ368" s="58"/>
    </row>
    <row r="369" spans="2:52">
      <c r="B369" s="3" t="s">
        <v>56</v>
      </c>
      <c r="F369" s="58">
        <f t="shared" ca="1" si="809"/>
        <v>0</v>
      </c>
      <c r="G369" s="58">
        <f t="shared" ca="1" si="809"/>
        <v>310.5809999999982</v>
      </c>
      <c r="H369" s="58">
        <f t="shared" ca="1" si="809"/>
        <v>468.71802811707039</v>
      </c>
      <c r="I369" s="58">
        <f t="shared" ca="1" si="809"/>
        <v>619.79560682135036</v>
      </c>
      <c r="J369" s="58">
        <f t="shared" ca="1" si="809"/>
        <v>957.55999999999767</v>
      </c>
      <c r="K369" s="58">
        <f t="shared" ca="1" si="809"/>
        <v>853.42387385572977</v>
      </c>
      <c r="L369" s="58">
        <f t="shared" ca="1" si="809"/>
        <v>1005.0874237609028</v>
      </c>
      <c r="M369" s="58">
        <f t="shared" ca="1" si="809"/>
        <v>1196.295199973199</v>
      </c>
      <c r="N369" s="58">
        <f t="shared" ca="1" si="809"/>
        <v>1375.6519552523812</v>
      </c>
      <c r="Q369" s="58"/>
      <c r="R369" s="58"/>
      <c r="S369" s="58"/>
      <c r="T369" s="212"/>
      <c r="U369" s="58">
        <f t="shared" ref="U369:AZ369" ca="1" si="812">-U316</f>
        <v>59.006197721034681</v>
      </c>
      <c r="V369" s="58">
        <f t="shared" ca="1" si="812"/>
        <v>74.26594966228059</v>
      </c>
      <c r="W369" s="58">
        <f t="shared" ca="1" si="812"/>
        <v>86.597377215801188</v>
      </c>
      <c r="X369" s="212">
        <f t="shared" ca="1" si="812"/>
        <v>90.711475400881767</v>
      </c>
      <c r="Y369" s="58">
        <f t="shared" ca="1" si="812"/>
        <v>93.034252580308433</v>
      </c>
      <c r="Z369" s="58">
        <f t="shared" ca="1" si="812"/>
        <v>116.42874945496811</v>
      </c>
      <c r="AA369" s="58">
        <f t="shared" ca="1" si="812"/>
        <v>129.55387085154601</v>
      </c>
      <c r="AB369" s="212">
        <f t="shared" ca="1" si="812"/>
        <v>129.70115523024785</v>
      </c>
      <c r="AC369" s="58">
        <f t="shared" ca="1" si="812"/>
        <v>121.07963465014518</v>
      </c>
      <c r="AD369" s="58">
        <f t="shared" ca="1" si="812"/>
        <v>157.77814396789947</v>
      </c>
      <c r="AE369" s="58">
        <f t="shared" ca="1" si="812"/>
        <v>172.56551589596225</v>
      </c>
      <c r="AF369" s="212">
        <f t="shared" ca="1" si="812"/>
        <v>168.37231230734344</v>
      </c>
      <c r="AG369" s="58">
        <f t="shared" si="812"/>
        <v>251.59400000000096</v>
      </c>
      <c r="AH369" s="58">
        <f t="shared" ca="1" si="812"/>
        <v>238.25138940557616</v>
      </c>
      <c r="AI369" s="58">
        <f t="shared" ca="1" si="812"/>
        <v>232.52453324491196</v>
      </c>
      <c r="AJ369" s="212">
        <f t="shared" ca="1" si="812"/>
        <v>235.19007734950856</v>
      </c>
      <c r="AK369" s="58">
        <f t="shared" si="812"/>
        <v>175.79999999999927</v>
      </c>
      <c r="AL369" s="58">
        <f t="shared" si="812"/>
        <v>211.06994777672057</v>
      </c>
      <c r="AM369" s="58">
        <f t="shared" si="812"/>
        <v>233.48414928095636</v>
      </c>
      <c r="AN369" s="212">
        <f t="shared" si="812"/>
        <v>233.0697767980536</v>
      </c>
      <c r="AO369" s="58">
        <f t="shared" ca="1" si="812"/>
        <v>210.65327273175217</v>
      </c>
      <c r="AP369" s="58">
        <f t="shared" ca="1" si="812"/>
        <v>251.53577725379463</v>
      </c>
      <c r="AQ369" s="58">
        <f t="shared" ca="1" si="812"/>
        <v>271.10742874023106</v>
      </c>
      <c r="AR369" s="212">
        <f t="shared" ca="1" si="812"/>
        <v>271.79094503512493</v>
      </c>
      <c r="AS369" s="58">
        <f t="shared" ca="1" si="812"/>
        <v>260.48258830263086</v>
      </c>
      <c r="AT369" s="58">
        <f t="shared" ca="1" si="812"/>
        <v>299.38908027417341</v>
      </c>
      <c r="AU369" s="58">
        <f t="shared" ca="1" si="812"/>
        <v>325.87178420249359</v>
      </c>
      <c r="AV369" s="212">
        <f t="shared" ca="1" si="812"/>
        <v>310.55174719390118</v>
      </c>
      <c r="AW369" s="58">
        <f t="shared" ca="1" si="812"/>
        <v>303.47928237868211</v>
      </c>
      <c r="AX369" s="58">
        <f t="shared" ca="1" si="812"/>
        <v>342.49246986385771</v>
      </c>
      <c r="AY369" s="58">
        <f t="shared" ca="1" si="812"/>
        <v>370.48482340565067</v>
      </c>
      <c r="AZ369" s="58">
        <f t="shared" ca="1" si="812"/>
        <v>359.19537960419058</v>
      </c>
    </row>
    <row r="370" spans="2:52">
      <c r="AM370" s="58"/>
    </row>
    <row r="371" spans="2:52">
      <c r="B371" s="57" t="s">
        <v>55</v>
      </c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32"/>
      <c r="U371" s="56"/>
      <c r="V371" s="56"/>
      <c r="W371" s="56"/>
      <c r="X371" s="232"/>
      <c r="Y371" s="56"/>
      <c r="Z371" s="56"/>
      <c r="AA371" s="56"/>
      <c r="AB371" s="232"/>
      <c r="AC371" s="56"/>
      <c r="AD371" s="56"/>
      <c r="AE371" s="56"/>
      <c r="AF371" s="232"/>
      <c r="AG371" s="56"/>
      <c r="AH371" s="56"/>
      <c r="AI371" s="56"/>
      <c r="AJ371" s="232"/>
      <c r="AK371" s="56"/>
      <c r="AL371" s="56"/>
      <c r="AM371" s="56"/>
      <c r="AN371" s="232"/>
      <c r="AO371" s="56"/>
      <c r="AP371" s="56"/>
      <c r="AQ371" s="56"/>
      <c r="AR371" s="232"/>
      <c r="AS371" s="56"/>
      <c r="AT371" s="56"/>
      <c r="AU371" s="56"/>
      <c r="AV371" s="232"/>
      <c r="AW371" s="56"/>
      <c r="AX371" s="56"/>
      <c r="AY371" s="56"/>
      <c r="AZ371" s="56"/>
    </row>
    <row r="372" spans="2:52">
      <c r="B372" s="1" t="s">
        <v>54</v>
      </c>
      <c r="F372" s="51">
        <v>0.26900000000000002</v>
      </c>
      <c r="G372" s="51">
        <v>0.32700000000000001</v>
      </c>
      <c r="H372" s="51">
        <v>0.40200000000000002</v>
      </c>
      <c r="I372" s="51">
        <v>0.34100000000000003</v>
      </c>
      <c r="J372" s="51">
        <v>0.106</v>
      </c>
      <c r="K372" s="51">
        <v>0.107</v>
      </c>
    </row>
    <row r="373" spans="2:52">
      <c r="B373" s="1" t="s">
        <v>53</v>
      </c>
      <c r="F373" s="53"/>
      <c r="G373" s="53"/>
      <c r="H373" s="53"/>
      <c r="I373" s="53"/>
      <c r="J373" s="53"/>
    </row>
    <row r="374" spans="2:52">
      <c r="B374" s="1" t="s">
        <v>401</v>
      </c>
      <c r="F374" s="53"/>
      <c r="G374" s="53"/>
      <c r="H374" s="53"/>
      <c r="I374" s="53"/>
      <c r="J374" s="53"/>
    </row>
    <row r="375" spans="2:52">
      <c r="B375" s="3" t="s">
        <v>47</v>
      </c>
      <c r="F375" s="53"/>
      <c r="G375" s="53"/>
      <c r="H375" s="53"/>
      <c r="I375" s="53"/>
      <c r="J375" s="53"/>
      <c r="K375" s="51">
        <v>0.25700000000000001</v>
      </c>
    </row>
    <row r="376" spans="2:52">
      <c r="B376" s="3" t="s">
        <v>46</v>
      </c>
      <c r="F376" s="53"/>
      <c r="G376" s="53"/>
      <c r="H376" s="53"/>
      <c r="I376" s="53"/>
      <c r="J376" s="51">
        <v>0.16700000000000001</v>
      </c>
      <c r="K376" s="51">
        <v>-7.6999999999999999E-2</v>
      </c>
    </row>
    <row r="377" spans="2:52">
      <c r="B377" s="3" t="s">
        <v>28</v>
      </c>
      <c r="F377" s="53"/>
      <c r="G377" s="53"/>
      <c r="H377" s="53"/>
      <c r="I377" s="53"/>
      <c r="J377" s="53"/>
      <c r="K377" s="51">
        <v>0.22</v>
      </c>
    </row>
    <row r="378" spans="2:52">
      <c r="B378" s="3" t="s">
        <v>52</v>
      </c>
      <c r="F378" s="53"/>
      <c r="G378" s="53"/>
      <c r="H378" s="53"/>
      <c r="I378" s="53"/>
      <c r="J378" s="51">
        <v>0.18</v>
      </c>
      <c r="K378" s="51">
        <v>9.8000000000000004E-2</v>
      </c>
    </row>
    <row r="379" spans="2:52">
      <c r="B379" s="3" t="s">
        <v>403</v>
      </c>
      <c r="F379" s="53"/>
      <c r="G379" s="53"/>
      <c r="H379" s="53"/>
      <c r="I379" s="53"/>
      <c r="J379" s="51"/>
      <c r="K379" s="51">
        <v>1.7130000000000001</v>
      </c>
    </row>
    <row r="380" spans="2:52">
      <c r="B380" s="3" t="s">
        <v>51</v>
      </c>
      <c r="F380" s="53"/>
      <c r="G380" s="53"/>
      <c r="H380" s="53"/>
      <c r="I380" s="53"/>
      <c r="J380" s="51">
        <v>-0.38400000000000001</v>
      </c>
    </row>
    <row r="381" spans="2:52">
      <c r="B381" s="3" t="s">
        <v>50</v>
      </c>
      <c r="F381" s="53"/>
      <c r="G381" s="53"/>
      <c r="H381" s="53"/>
      <c r="I381" s="53"/>
      <c r="J381" s="53"/>
      <c r="K381" s="51">
        <v>2.6459999999999999</v>
      </c>
    </row>
    <row r="382" spans="2:52">
      <c r="B382" s="3" t="s">
        <v>49</v>
      </c>
      <c r="F382" s="53"/>
      <c r="G382" s="53"/>
      <c r="H382" s="53"/>
      <c r="I382" s="53"/>
      <c r="J382" s="51">
        <v>-8.7999999999999995E-2</v>
      </c>
      <c r="K382" s="51">
        <v>0.13800000000000001</v>
      </c>
    </row>
    <row r="383" spans="2:52">
      <c r="B383" s="3" t="s">
        <v>48</v>
      </c>
      <c r="F383" s="53"/>
      <c r="G383" s="53"/>
      <c r="H383" s="53"/>
      <c r="I383" s="53"/>
      <c r="J383" s="51">
        <v>-0.25</v>
      </c>
      <c r="K383" s="51">
        <v>-0.52900000000000003</v>
      </c>
    </row>
    <row r="384" spans="2:52">
      <c r="B384" s="3" t="s">
        <v>402</v>
      </c>
      <c r="F384" s="53"/>
      <c r="G384" s="53"/>
      <c r="H384" s="53"/>
      <c r="I384" s="53"/>
      <c r="J384" s="51">
        <v>2.988</v>
      </c>
      <c r="K384" s="51">
        <v>-0.57599999999999996</v>
      </c>
    </row>
    <row r="385" spans="2:11">
      <c r="B385" s="3" t="s">
        <v>99</v>
      </c>
      <c r="F385" s="53"/>
      <c r="G385" s="53"/>
      <c r="H385" s="53"/>
      <c r="I385" s="53"/>
      <c r="J385" s="51"/>
      <c r="K385" s="51">
        <v>0.748</v>
      </c>
    </row>
    <row r="386" spans="2:11">
      <c r="B386" s="1" t="s">
        <v>18</v>
      </c>
      <c r="F386" s="53"/>
      <c r="G386" s="53"/>
      <c r="H386" s="53"/>
      <c r="I386" s="53"/>
      <c r="J386" s="53"/>
    </row>
    <row r="387" spans="2:11">
      <c r="B387" s="3" t="s">
        <v>47</v>
      </c>
      <c r="F387" s="53"/>
      <c r="G387" s="53"/>
      <c r="H387" s="51">
        <v>0.438</v>
      </c>
      <c r="I387" s="51">
        <v>0.218</v>
      </c>
      <c r="J387" s="53"/>
    </row>
    <row r="388" spans="2:11">
      <c r="B388" s="3" t="s">
        <v>46</v>
      </c>
      <c r="F388" s="53"/>
      <c r="G388" s="53"/>
      <c r="H388" s="51">
        <v>0.69699999999999995</v>
      </c>
      <c r="I388" s="51">
        <v>0.27400000000000002</v>
      </c>
      <c r="J388" s="51">
        <v>0.13900000000000001</v>
      </c>
    </row>
    <row r="389" spans="2:11">
      <c r="B389" s="3" t="s">
        <v>28</v>
      </c>
      <c r="F389" s="53"/>
      <c r="G389" s="53"/>
      <c r="H389" s="53"/>
      <c r="I389" s="53"/>
      <c r="J389" s="51">
        <v>0.16900000000000001</v>
      </c>
    </row>
    <row r="390" spans="2:11">
      <c r="B390" s="3" t="s">
        <v>52</v>
      </c>
      <c r="F390" s="53"/>
      <c r="G390" s="53"/>
      <c r="H390" s="53"/>
      <c r="I390" s="51">
        <v>0.154</v>
      </c>
      <c r="J390" s="51">
        <v>0.20300000000000001</v>
      </c>
    </row>
    <row r="391" spans="2:11">
      <c r="B391" s="3" t="s">
        <v>51</v>
      </c>
      <c r="F391" s="53"/>
      <c r="G391" s="53"/>
      <c r="H391" s="53"/>
      <c r="I391" s="53"/>
      <c r="J391" s="51">
        <v>-0.748</v>
      </c>
    </row>
    <row r="392" spans="2:11">
      <c r="B392" s="3" t="s">
        <v>50</v>
      </c>
      <c r="F392" s="53"/>
      <c r="G392" s="53"/>
      <c r="H392" s="53"/>
      <c r="I392" s="53"/>
      <c r="J392" s="51">
        <v>-1.2909999999999999</v>
      </c>
    </row>
    <row r="393" spans="2:11">
      <c r="B393" s="3" t="s">
        <v>49</v>
      </c>
      <c r="F393" s="53"/>
      <c r="G393" s="51"/>
      <c r="H393" s="51">
        <v>0.42499999999999999</v>
      </c>
      <c r="I393" s="51">
        <v>0.28299999999999997</v>
      </c>
      <c r="J393" s="53"/>
    </row>
    <row r="394" spans="2:11">
      <c r="B394" s="3" t="s">
        <v>48</v>
      </c>
      <c r="F394" s="53"/>
      <c r="G394" s="53"/>
      <c r="H394" s="51">
        <v>0.71699999999999997</v>
      </c>
      <c r="I394" s="53"/>
      <c r="J394" s="51">
        <v>-0.246</v>
      </c>
    </row>
    <row r="395" spans="2:11">
      <c r="B395" s="8"/>
      <c r="F395" s="53"/>
      <c r="G395" s="53"/>
      <c r="H395" s="51"/>
      <c r="I395" s="53"/>
      <c r="J395" s="51"/>
    </row>
    <row r="396" spans="2:11">
      <c r="B396" s="1" t="s">
        <v>27</v>
      </c>
      <c r="F396" s="53"/>
      <c r="G396" s="53"/>
      <c r="H396" s="53"/>
      <c r="I396" s="53"/>
      <c r="J396" s="53"/>
    </row>
    <row r="397" spans="2:11">
      <c r="B397" s="3" t="s">
        <v>47</v>
      </c>
      <c r="F397" s="53"/>
      <c r="G397" s="53"/>
      <c r="H397" s="53"/>
      <c r="I397" s="55"/>
      <c r="J397" s="51">
        <v>-0.40100000000000002</v>
      </c>
    </row>
    <row r="398" spans="2:11">
      <c r="B398" s="3" t="s">
        <v>46</v>
      </c>
      <c r="F398" s="53"/>
      <c r="G398" s="53"/>
      <c r="H398" s="51">
        <v>4.7969999999999997</v>
      </c>
      <c r="I398" s="51">
        <v>1.28</v>
      </c>
      <c r="J398" s="53"/>
    </row>
    <row r="399" spans="2:11">
      <c r="B399" s="3" t="s">
        <v>45</v>
      </c>
      <c r="F399" s="53"/>
      <c r="G399" s="53"/>
      <c r="H399" s="51">
        <v>2.54</v>
      </c>
      <c r="I399" s="54">
        <v>0.4</v>
      </c>
      <c r="J399" s="53"/>
    </row>
    <row r="400" spans="2:11">
      <c r="B400" s="3" t="s">
        <v>41</v>
      </c>
      <c r="F400" s="53"/>
      <c r="G400" s="53"/>
      <c r="H400" s="51">
        <v>1.728</v>
      </c>
      <c r="I400" s="51">
        <v>0.53900000000000003</v>
      </c>
      <c r="J400" s="51">
        <v>-0.223</v>
      </c>
    </row>
    <row r="401" spans="2:11">
      <c r="B401" s="3" t="s">
        <v>44</v>
      </c>
      <c r="F401" s="53"/>
      <c r="G401" s="53"/>
      <c r="H401" s="51">
        <v>3.645</v>
      </c>
      <c r="I401" s="51">
        <v>1.579</v>
      </c>
      <c r="J401" s="51">
        <v>-0.31</v>
      </c>
    </row>
    <row r="402" spans="2:11">
      <c r="B402" s="3" t="s">
        <v>43</v>
      </c>
      <c r="F402" s="53"/>
      <c r="G402" s="53"/>
      <c r="H402" s="53"/>
      <c r="I402" s="53"/>
      <c r="J402" s="51">
        <v>2.988</v>
      </c>
    </row>
    <row r="403" spans="2:11">
      <c r="F403" s="53"/>
      <c r="G403" s="53"/>
      <c r="H403" s="53"/>
      <c r="I403" s="53"/>
      <c r="J403" s="53"/>
    </row>
    <row r="404" spans="2:11">
      <c r="B404" s="1" t="s">
        <v>3</v>
      </c>
      <c r="F404" s="53"/>
      <c r="G404" s="53"/>
      <c r="H404" s="53"/>
      <c r="I404" s="53"/>
      <c r="J404" s="53"/>
    </row>
    <row r="405" spans="2:11">
      <c r="B405" s="3" t="s">
        <v>42</v>
      </c>
      <c r="F405" s="53"/>
      <c r="G405" s="53"/>
      <c r="H405" s="53"/>
      <c r="I405" s="51"/>
      <c r="J405" s="51">
        <v>0.83699999999999997</v>
      </c>
      <c r="K405" s="51">
        <v>0.54500000000000004</v>
      </c>
    </row>
    <row r="406" spans="2:11">
      <c r="B406" s="3" t="s">
        <v>28</v>
      </c>
      <c r="F406" s="53"/>
      <c r="G406" s="53"/>
      <c r="H406" s="51">
        <v>0.75600000000000001</v>
      </c>
      <c r="I406" s="51">
        <v>0.80500000000000005</v>
      </c>
      <c r="J406" s="51">
        <v>0.60599999999999998</v>
      </c>
    </row>
    <row r="407" spans="2:11">
      <c r="B407" s="3" t="s">
        <v>30</v>
      </c>
      <c r="F407" s="53"/>
      <c r="G407" s="53"/>
      <c r="H407" s="51">
        <v>1.357</v>
      </c>
      <c r="I407" s="51">
        <v>1.36</v>
      </c>
      <c r="J407" s="51">
        <v>1.0409999999999999</v>
      </c>
      <c r="K407" s="51">
        <v>0.67300000000000004</v>
      </c>
    </row>
    <row r="408" spans="2:11">
      <c r="B408" s="3" t="s">
        <v>41</v>
      </c>
      <c r="F408" s="53"/>
      <c r="G408" s="53"/>
      <c r="H408" s="51">
        <v>0.47899999999999998</v>
      </c>
      <c r="I408" s="51">
        <v>0.44600000000000001</v>
      </c>
      <c r="J408" s="51">
        <v>0.501</v>
      </c>
      <c r="K408" s="51">
        <v>0.438</v>
      </c>
    </row>
    <row r="409" spans="2:11">
      <c r="B409" s="3" t="s">
        <v>40</v>
      </c>
      <c r="F409" s="53"/>
      <c r="G409" s="53"/>
      <c r="H409" s="51">
        <v>1.1919999999999999</v>
      </c>
      <c r="I409" s="51">
        <v>0.79800000000000004</v>
      </c>
      <c r="J409" s="53"/>
      <c r="K409" s="51">
        <v>0.51300000000000001</v>
      </c>
    </row>
    <row r="411" spans="2:11">
      <c r="B411" s="8" t="s">
        <v>39</v>
      </c>
    </row>
    <row r="412" spans="2:11">
      <c r="B412" s="3" t="s">
        <v>38</v>
      </c>
      <c r="H412" s="50">
        <f>H98/G98-1</f>
        <v>0.54439726334351835</v>
      </c>
      <c r="I412" s="50">
        <f>I98/H98-1</f>
        <v>0.29090131840257416</v>
      </c>
      <c r="J412" s="50">
        <f>J98/I98-1</f>
        <v>1.5957214314058943E-2</v>
      </c>
      <c r="K412" s="50">
        <f>K98/J98-1</f>
        <v>0.30995907993865801</v>
      </c>
    </row>
    <row r="413" spans="2:11">
      <c r="B413" s="3" t="s">
        <v>31</v>
      </c>
      <c r="H413" s="50">
        <f t="shared" ref="H413:K417" si="813">H101/G101-1</f>
        <v>0.70839783313076743</v>
      </c>
      <c r="I413" s="50">
        <f t="shared" si="813"/>
        <v>0.40022818657254788</v>
      </c>
      <c r="J413" s="50">
        <f t="shared" si="813"/>
        <v>0.1705991099510531</v>
      </c>
      <c r="K413" s="50">
        <f t="shared" si="813"/>
        <v>-6.8981913356412239E-2</v>
      </c>
    </row>
    <row r="414" spans="2:11">
      <c r="B414" s="3" t="s">
        <v>37</v>
      </c>
      <c r="H414" s="50">
        <f t="shared" si="813"/>
        <v>0.46904339392938943</v>
      </c>
      <c r="I414" s="50">
        <f t="shared" si="813"/>
        <v>0.30514297151806491</v>
      </c>
      <c r="J414" s="50">
        <f t="shared" si="813"/>
        <v>0.26896342419863406</v>
      </c>
      <c r="K414" s="50">
        <f t="shared" si="813"/>
        <v>0.17843718620240456</v>
      </c>
    </row>
    <row r="415" spans="2:11">
      <c r="B415" s="3" t="s">
        <v>36</v>
      </c>
      <c r="H415" s="50">
        <f t="shared" si="813"/>
        <v>0.29647457848220982</v>
      </c>
      <c r="I415" s="50">
        <f t="shared" si="813"/>
        <v>0.28773752446307022</v>
      </c>
      <c r="J415" s="50">
        <f t="shared" si="813"/>
        <v>0.20130698934960334</v>
      </c>
      <c r="K415" s="50">
        <f t="shared" si="813"/>
        <v>0.10182695788113594</v>
      </c>
    </row>
    <row r="416" spans="2:11">
      <c r="B416" s="3" t="s">
        <v>35</v>
      </c>
      <c r="H416" s="50">
        <f t="shared" si="813"/>
        <v>1.0479934318069732</v>
      </c>
      <c r="I416" s="50">
        <f t="shared" si="813"/>
        <v>0.75040032828948999</v>
      </c>
      <c r="J416" s="50">
        <f t="shared" si="813"/>
        <v>0.14120536097273062</v>
      </c>
      <c r="K416" s="50">
        <f t="shared" si="813"/>
        <v>6.0339575046961302E-2</v>
      </c>
    </row>
    <row r="417" spans="2:11">
      <c r="B417" s="3" t="s">
        <v>30</v>
      </c>
      <c r="H417" s="50">
        <f t="shared" si="813"/>
        <v>1.1774071036821194</v>
      </c>
      <c r="I417" s="50">
        <f t="shared" si="813"/>
        <v>1.0006683027887084</v>
      </c>
      <c r="J417" s="50">
        <f t="shared" si="813"/>
        <v>1.0997203518338678</v>
      </c>
      <c r="K417" s="50">
        <f t="shared" si="813"/>
        <v>0.70380303640133612</v>
      </c>
    </row>
    <row r="418" spans="2:11">
      <c r="B418" s="3"/>
      <c r="H418" s="50"/>
      <c r="I418" s="50"/>
      <c r="J418" s="50"/>
      <c r="K418" s="50"/>
    </row>
    <row r="419" spans="2:11">
      <c r="B419" s="3" t="s">
        <v>29</v>
      </c>
      <c r="H419" s="50">
        <f t="shared" ref="H419:K421" si="814">H116/G116-1</f>
        <v>1.0484144713946808</v>
      </c>
      <c r="I419" s="50">
        <f t="shared" si="814"/>
        <v>0.77058817773332522</v>
      </c>
      <c r="J419" s="50">
        <f t="shared" si="814"/>
        <v>-0.14411714577394508</v>
      </c>
      <c r="K419" s="50">
        <f t="shared" ca="1" si="814"/>
        <v>-0.22766438350978213</v>
      </c>
    </row>
    <row r="420" spans="2:11">
      <c r="B420" s="3" t="s">
        <v>34</v>
      </c>
      <c r="H420" s="50">
        <f t="shared" si="814"/>
        <v>0.77785977084801616</v>
      </c>
      <c r="I420" s="50">
        <f t="shared" si="814"/>
        <v>0.25083307607686334</v>
      </c>
      <c r="J420" s="50">
        <f t="shared" si="814"/>
        <v>3.2966198839591954E-2</v>
      </c>
      <c r="K420" s="50">
        <f t="shared" ca="1" si="814"/>
        <v>0.10067737067332283</v>
      </c>
    </row>
    <row r="421" spans="2:11">
      <c r="B421" s="3" t="s">
        <v>33</v>
      </c>
      <c r="H421" s="50">
        <f t="shared" si="814"/>
        <v>0.71363486683321042</v>
      </c>
      <c r="I421" s="50">
        <f t="shared" si="814"/>
        <v>0.43931772210804798</v>
      </c>
      <c r="J421" s="50">
        <f t="shared" si="814"/>
        <v>-4.3089919823479983E-2</v>
      </c>
      <c r="K421" s="50">
        <f t="shared" ca="1" si="814"/>
        <v>0.21487068818189736</v>
      </c>
    </row>
    <row r="423" spans="2:11">
      <c r="B423" s="8" t="s">
        <v>32</v>
      </c>
    </row>
    <row r="424" spans="2:11">
      <c r="B424" s="3" t="s">
        <v>31</v>
      </c>
    </row>
    <row r="425" spans="2:11">
      <c r="B425" s="52" t="s">
        <v>18</v>
      </c>
      <c r="G425" s="50">
        <f>1-G426</f>
        <v>0.99056693719070577</v>
      </c>
      <c r="H425" s="50">
        <f>1-H426</f>
        <v>0.99722004069981285</v>
      </c>
      <c r="I425" s="50">
        <f>1-I426</f>
        <v>0.87452466543484308</v>
      </c>
      <c r="J425" s="50">
        <f>I425*(1+J388)/(1+J413)</f>
        <v>0.8509177783092079</v>
      </c>
    </row>
    <row r="426" spans="2:11">
      <c r="B426" s="52" t="s">
        <v>27</v>
      </c>
      <c r="G426" s="50">
        <f>((1/(1+H413)-1/(1+H388))/((1/(1+H398)-1/(1+H388))))</f>
        <v>9.4330628092942539E-3</v>
      </c>
      <c r="H426" s="50">
        <f>(H413-H388)/(H398-H388)</f>
        <v>2.7799593001871896E-3</v>
      </c>
      <c r="I426" s="50">
        <f>(I413-I388)/(I398-I388)</f>
        <v>0.12547533456515692</v>
      </c>
      <c r="J426" s="50">
        <f>1-J425</f>
        <v>0.1490822216907921</v>
      </c>
    </row>
    <row r="427" spans="2:11">
      <c r="B427" s="52" t="s">
        <v>3</v>
      </c>
      <c r="G427" s="51">
        <v>0</v>
      </c>
      <c r="H427" s="51">
        <v>0</v>
      </c>
      <c r="I427" s="51">
        <v>0</v>
      </c>
      <c r="J427" s="51">
        <v>0</v>
      </c>
    </row>
    <row r="428" spans="2:11">
      <c r="B428" s="3" t="s">
        <v>30</v>
      </c>
    </row>
    <row r="429" spans="2:11">
      <c r="B429" s="52" t="s">
        <v>18</v>
      </c>
      <c r="G429" s="50">
        <f>1-G431</f>
        <v>0.29000000000000004</v>
      </c>
      <c r="H429" s="50">
        <f>1-H431</f>
        <v>0.23143908313237938</v>
      </c>
      <c r="I429" s="50">
        <f>1-I431</f>
        <v>9.3401059396330255E-2</v>
      </c>
      <c r="J429" s="50">
        <f>1-J431</f>
        <v>0.11875482077601296</v>
      </c>
    </row>
    <row r="430" spans="2:11">
      <c r="B430" s="52" t="s">
        <v>27</v>
      </c>
      <c r="G430" s="51">
        <v>0</v>
      </c>
      <c r="H430" s="51">
        <v>0</v>
      </c>
      <c r="I430" s="51">
        <v>0</v>
      </c>
      <c r="J430" s="51">
        <v>0</v>
      </c>
    </row>
    <row r="431" spans="2:11">
      <c r="B431" s="52" t="s">
        <v>3</v>
      </c>
      <c r="G431" s="51">
        <v>0.71</v>
      </c>
      <c r="H431" s="50">
        <f>(G431*(1+H407)/(1+H417))</f>
        <v>0.76856091686762062</v>
      </c>
      <c r="I431" s="50">
        <f>(H431*(1+I407)/(1+I417))</f>
        <v>0.90659894060366975</v>
      </c>
      <c r="J431" s="50">
        <f>(I431*(1+J407)/(1+J417))</f>
        <v>0.88124517922398704</v>
      </c>
    </row>
    <row r="432" spans="2:11">
      <c r="B432" s="3" t="s">
        <v>29</v>
      </c>
    </row>
    <row r="433" spans="2:52">
      <c r="B433" s="52" t="s">
        <v>18</v>
      </c>
      <c r="G433" s="50">
        <f>1-G435-G434</f>
        <v>0.62447628942168065</v>
      </c>
      <c r="H433" s="50">
        <f>G433*(1+H394)/(1+H419)</f>
        <v>0.52344181507709786</v>
      </c>
      <c r="I433" s="50">
        <f>(1-SUM(I434:I435))</f>
        <v>0.34833716268850512</v>
      </c>
      <c r="J433" s="50">
        <f>I433*(1+J394)/(1+J419)</f>
        <v>0.3068716932116074</v>
      </c>
    </row>
    <row r="434" spans="2:52">
      <c r="B434" s="52" t="s">
        <v>27</v>
      </c>
      <c r="G434" s="51">
        <v>0.28552371057831938</v>
      </c>
      <c r="H434" s="50">
        <f>G434*(1+H400)/(1+H419)</f>
        <v>0.38024955073048688</v>
      </c>
      <c r="I434" s="50">
        <f>H434*(1+I401)/(1+I419)</f>
        <v>0.55386317590200629</v>
      </c>
      <c r="J434" s="50">
        <f>I434*(1+J400)/(1+J419)</f>
        <v>0.50281611034843188</v>
      </c>
    </row>
    <row r="435" spans="2:52">
      <c r="B435" s="52" t="s">
        <v>3</v>
      </c>
      <c r="G435" s="51">
        <v>0.09</v>
      </c>
      <c r="H435" s="50">
        <f>G435*(1+H409)/(1+H419)</f>
        <v>9.6308634192415268E-2</v>
      </c>
      <c r="I435" s="50">
        <f>H435*(1+I409)/(1+I419)</f>
        <v>9.7799661409488606E-2</v>
      </c>
      <c r="J435" s="50">
        <f>1-SUM(J433:J434)</f>
        <v>0.19031219643996078</v>
      </c>
    </row>
    <row r="436" spans="2:52">
      <c r="B436" s="3" t="s">
        <v>28</v>
      </c>
      <c r="G436" s="50"/>
      <c r="H436" s="50"/>
      <c r="I436" s="50"/>
      <c r="J436" s="50"/>
    </row>
    <row r="437" spans="2:52">
      <c r="B437" s="52" t="s">
        <v>18</v>
      </c>
      <c r="G437" s="50">
        <f>1-G439-G438</f>
        <v>0.81499999999999995</v>
      </c>
      <c r="H437" s="50">
        <f>1-SUM(H438:H439)</f>
        <v>0.71814311155746424</v>
      </c>
      <c r="I437" s="50">
        <f>1-SUM(I438:I439)</f>
        <v>0.64758296006803795</v>
      </c>
      <c r="J437" s="50">
        <f>I437*(1+J389)/(1+J414)</f>
        <v>0.59656918858603558</v>
      </c>
    </row>
    <row r="438" spans="2:52">
      <c r="B438" s="52" t="s">
        <v>27</v>
      </c>
      <c r="G438" s="51">
        <v>0.05</v>
      </c>
      <c r="H438" s="50">
        <f>G438*(1+H399)/(1+H414)</f>
        <v>0.12048657019351985</v>
      </c>
      <c r="I438" s="50">
        <f>H438*(1+I399)/(1+I414)</f>
        <v>0.12924346370630019</v>
      </c>
      <c r="J438" s="50">
        <f>(1-J437-J439)</f>
        <v>0.12098235262977408</v>
      </c>
    </row>
    <row r="439" spans="2:52">
      <c r="B439" s="52" t="s">
        <v>3</v>
      </c>
      <c r="G439" s="51">
        <v>0.13500000000000001</v>
      </c>
      <c r="H439" s="50">
        <f>G439*(1+H406)/(1+H414)</f>
        <v>0.1613703182490159</v>
      </c>
      <c r="I439" s="50">
        <f>H439*(1+I406)/(1+I414)</f>
        <v>0.22317357622566189</v>
      </c>
      <c r="J439" s="50">
        <f>I439*(1+J406)/(1+J414)</f>
        <v>0.28244845878419034</v>
      </c>
    </row>
    <row r="440" spans="2:52">
      <c r="G440" s="50"/>
      <c r="H440" s="50"/>
      <c r="I440" s="50"/>
      <c r="J440" s="50"/>
    </row>
    <row r="441" spans="2:52">
      <c r="G441" s="50"/>
      <c r="H441" s="50"/>
      <c r="I441" s="50"/>
      <c r="J441" s="50"/>
    </row>
    <row r="442" spans="2:52">
      <c r="B442" s="1" t="s">
        <v>660</v>
      </c>
      <c r="G442" s="2"/>
      <c r="H442" s="2"/>
      <c r="I442" s="2"/>
      <c r="J442" s="2"/>
      <c r="L442" s="199">
        <f ca="1">+L92</f>
        <v>5896.799259702655</v>
      </c>
      <c r="M442" s="199">
        <f ca="1">+M92</f>
        <v>7202.147828211363</v>
      </c>
      <c r="N442" s="199">
        <f ca="1">+N92</f>
        <v>8665.7267650388276</v>
      </c>
      <c r="AO442" s="200">
        <f t="shared" ref="AO442:AZ442" ca="1" si="815">+AO92</f>
        <v>1226.2336703100652</v>
      </c>
      <c r="AP442" s="200">
        <f t="shared" ca="1" si="815"/>
        <v>1467.9383470884191</v>
      </c>
      <c r="AQ442" s="200">
        <f t="shared" ca="1" si="815"/>
        <v>1603.1444514952916</v>
      </c>
      <c r="AR442" s="212">
        <f t="shared" ca="1" si="815"/>
        <v>1599.4827908088791</v>
      </c>
      <c r="AS442" s="200">
        <f t="shared" ca="1" si="815"/>
        <v>1553.5130146336433</v>
      </c>
      <c r="AT442" s="200">
        <f t="shared" ca="1" si="815"/>
        <v>1791.5872450007835</v>
      </c>
      <c r="AU442" s="200">
        <f t="shared" ca="1" si="815"/>
        <v>1961.0517134957204</v>
      </c>
      <c r="AV442" s="212">
        <f t="shared" ca="1" si="815"/>
        <v>1895.995855081216</v>
      </c>
      <c r="AW442" s="200">
        <f t="shared" ca="1" si="815"/>
        <v>1886.3926161745646</v>
      </c>
      <c r="AX442" s="200">
        <f t="shared" ca="1" si="815"/>
        <v>2139.3195982052994</v>
      </c>
      <c r="AY442" s="200">
        <f t="shared" ca="1" si="815"/>
        <v>2327.2677239658187</v>
      </c>
      <c r="AZ442" s="200">
        <f t="shared" ca="1" si="815"/>
        <v>2312.7468266931451</v>
      </c>
    </row>
    <row r="443" spans="2:52">
      <c r="G443" s="2"/>
      <c r="H443" s="2"/>
      <c r="I443" s="2"/>
      <c r="J443" s="2"/>
    </row>
    <row r="444" spans="2:52">
      <c r="G444" s="2"/>
      <c r="H444" s="2"/>
      <c r="I444" s="2"/>
      <c r="J444" s="2"/>
    </row>
    <row r="445" spans="2:52">
      <c r="G445" s="2"/>
      <c r="H445" s="2"/>
      <c r="I445" s="2"/>
      <c r="J445" s="2"/>
    </row>
    <row r="446" spans="2:52">
      <c r="G446" s="40"/>
      <c r="H446" s="40"/>
      <c r="I446" s="40"/>
      <c r="J446" s="40"/>
    </row>
    <row r="447" spans="2:52" customFormat="1"/>
    <row r="448" spans="2:52">
      <c r="B448" s="1" t="s">
        <v>729</v>
      </c>
      <c r="F448" s="1" t="s">
        <v>720</v>
      </c>
      <c r="G448" s="40" t="s">
        <v>721</v>
      </c>
      <c r="H448" s="40" t="s">
        <v>722</v>
      </c>
      <c r="I448" s="40" t="s">
        <v>723</v>
      </c>
      <c r="J448" s="40" t="s">
        <v>724</v>
      </c>
      <c r="K448" s="1" t="s">
        <v>725</v>
      </c>
      <c r="L448" s="1" t="s">
        <v>726</v>
      </c>
      <c r="M448" s="1" t="s">
        <v>727</v>
      </c>
      <c r="N448" s="1" t="s">
        <v>728</v>
      </c>
    </row>
    <row r="449" spans="7:10">
      <c r="G449" s="38"/>
      <c r="H449" s="38"/>
      <c r="I449" s="38"/>
      <c r="J449" s="38"/>
    </row>
    <row r="450" spans="7:10">
      <c r="G450" s="38"/>
      <c r="H450" s="38"/>
      <c r="I450" s="38"/>
      <c r="J450" s="38"/>
    </row>
    <row r="451" spans="7:10">
      <c r="H451" s="38"/>
      <c r="I451" s="38"/>
      <c r="J451" s="38"/>
    </row>
    <row r="452" spans="7:10">
      <c r="H452" s="38"/>
      <c r="I452" s="38"/>
      <c r="J452" s="38"/>
    </row>
    <row r="453" spans="7:10">
      <c r="H453" s="38"/>
      <c r="I453" s="38"/>
      <c r="J453" s="38"/>
    </row>
    <row r="454" spans="7:10">
      <c r="H454" s="38"/>
      <c r="I454" s="38"/>
      <c r="J454" s="38"/>
    </row>
    <row r="457" spans="7:10">
      <c r="G457" s="38"/>
      <c r="H457" s="38"/>
      <c r="I457" s="38"/>
      <c r="J457" s="37"/>
    </row>
  </sheetData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G276"/>
  <sheetViews>
    <sheetView showGridLines="0" zoomScale="110" zoomScaleNormal="110" workbookViewId="0">
      <pane xSplit="2" ySplit="4" topLeftCell="C5" activePane="bottomRight" state="frozen"/>
      <selection activeCell="BB6" sqref="BB6"/>
      <selection pane="topRight" activeCell="BB6" sqref="BB6"/>
      <selection pane="bottomLeft" activeCell="BB6" sqref="BB6"/>
      <selection pane="bottomRight" activeCell="C5" sqref="C5"/>
    </sheetView>
  </sheetViews>
  <sheetFormatPr defaultColWidth="10.83203125" defaultRowHeight="11.25"/>
  <cols>
    <col min="1" max="1" width="10.83203125" style="1"/>
    <col min="2" max="2" width="45" style="1" customWidth="1"/>
    <col min="3" max="4" width="12.6640625" style="1" customWidth="1"/>
    <col min="5" max="52" width="13.1640625" style="1" customWidth="1"/>
    <col min="53" max="53" width="10.83203125" style="20" customWidth="1"/>
    <col min="54" max="54" width="31.5" customWidth="1"/>
    <col min="60" max="16384" width="10.83203125" style="20"/>
  </cols>
  <sheetData>
    <row r="1" spans="1:52">
      <c r="D1" s="48" t="s">
        <v>140</v>
      </c>
      <c r="E1" s="48"/>
      <c r="F1" s="48">
        <v>1</v>
      </c>
      <c r="G1" s="49">
        <f t="shared" ref="G1:M1" si="0">F1+4</f>
        <v>5</v>
      </c>
      <c r="H1" s="49">
        <f t="shared" si="0"/>
        <v>9</v>
      </c>
      <c r="I1" s="49">
        <f t="shared" si="0"/>
        <v>13</v>
      </c>
      <c r="J1" s="49">
        <f t="shared" si="0"/>
        <v>17</v>
      </c>
      <c r="K1" s="49">
        <f t="shared" si="0"/>
        <v>21</v>
      </c>
      <c r="L1" s="49">
        <f t="shared" si="0"/>
        <v>25</v>
      </c>
      <c r="M1" s="49">
        <f t="shared" si="0"/>
        <v>29</v>
      </c>
      <c r="N1" s="49">
        <f>M1+4</f>
        <v>33</v>
      </c>
    </row>
    <row r="2" spans="1:52">
      <c r="A2" s="47"/>
      <c r="B2" s="19" t="s">
        <v>269</v>
      </c>
      <c r="D2" s="48" t="s">
        <v>138</v>
      </c>
      <c r="F2" s="48">
        <f t="shared" ref="F2:M2" si="1">F1+3</f>
        <v>4</v>
      </c>
      <c r="G2" s="48">
        <f t="shared" si="1"/>
        <v>8</v>
      </c>
      <c r="H2" s="48">
        <f t="shared" si="1"/>
        <v>12</v>
      </c>
      <c r="I2" s="48">
        <f t="shared" si="1"/>
        <v>16</v>
      </c>
      <c r="J2" s="48">
        <f t="shared" si="1"/>
        <v>20</v>
      </c>
      <c r="K2" s="48">
        <f t="shared" si="1"/>
        <v>24</v>
      </c>
      <c r="L2" s="48">
        <f t="shared" si="1"/>
        <v>28</v>
      </c>
      <c r="M2" s="48">
        <f t="shared" si="1"/>
        <v>32</v>
      </c>
      <c r="N2" s="48">
        <f t="shared" ref="N2" si="2">N1+3</f>
        <v>36</v>
      </c>
    </row>
    <row r="3" spans="1:52">
      <c r="A3" s="47"/>
      <c r="B3" s="18" t="s">
        <v>88</v>
      </c>
    </row>
    <row r="4" spans="1:52">
      <c r="C4" s="1" t="s">
        <v>5</v>
      </c>
      <c r="D4" s="1" t="s">
        <v>4</v>
      </c>
      <c r="E4" s="106"/>
      <c r="F4" s="46">
        <v>2012</v>
      </c>
      <c r="G4" s="46">
        <f t="shared" ref="G4:N4" si="3">+F4+1</f>
        <v>2013</v>
      </c>
      <c r="H4" s="46">
        <f t="shared" si="3"/>
        <v>2014</v>
      </c>
      <c r="I4" s="46">
        <f t="shared" si="3"/>
        <v>2015</v>
      </c>
      <c r="J4" s="46">
        <f t="shared" si="3"/>
        <v>2016</v>
      </c>
      <c r="K4" s="46">
        <f t="shared" si="3"/>
        <v>2017</v>
      </c>
      <c r="L4" s="45">
        <f t="shared" si="3"/>
        <v>2018</v>
      </c>
      <c r="M4" s="45">
        <f t="shared" si="3"/>
        <v>2019</v>
      </c>
      <c r="N4" s="45">
        <f t="shared" si="3"/>
        <v>2020</v>
      </c>
      <c r="Q4" s="16">
        <v>12</v>
      </c>
      <c r="R4" s="15">
        <f>Q4</f>
        <v>12</v>
      </c>
      <c r="S4" s="14">
        <f>R4</f>
        <v>12</v>
      </c>
      <c r="T4" s="17">
        <f>S4</f>
        <v>12</v>
      </c>
      <c r="U4" s="16">
        <f t="shared" ref="U4:AV4" si="4">Q4+1</f>
        <v>13</v>
      </c>
      <c r="V4" s="15">
        <f t="shared" si="4"/>
        <v>13</v>
      </c>
      <c r="W4" s="14">
        <f t="shared" si="4"/>
        <v>13</v>
      </c>
      <c r="X4" s="17">
        <f t="shared" si="4"/>
        <v>13</v>
      </c>
      <c r="Y4" s="16">
        <f t="shared" si="4"/>
        <v>14</v>
      </c>
      <c r="Z4" s="15">
        <f t="shared" si="4"/>
        <v>14</v>
      </c>
      <c r="AA4" s="14">
        <f t="shared" si="4"/>
        <v>14</v>
      </c>
      <c r="AB4" s="17">
        <f t="shared" si="4"/>
        <v>14</v>
      </c>
      <c r="AC4" s="16">
        <f t="shared" si="4"/>
        <v>15</v>
      </c>
      <c r="AD4" s="15">
        <f t="shared" si="4"/>
        <v>15</v>
      </c>
      <c r="AE4" s="14">
        <f t="shared" si="4"/>
        <v>15</v>
      </c>
      <c r="AF4" s="17">
        <f t="shared" si="4"/>
        <v>15</v>
      </c>
      <c r="AG4" s="16">
        <f t="shared" si="4"/>
        <v>16</v>
      </c>
      <c r="AH4" s="15">
        <f t="shared" si="4"/>
        <v>16</v>
      </c>
      <c r="AI4" s="14">
        <f t="shared" si="4"/>
        <v>16</v>
      </c>
      <c r="AJ4" s="17">
        <f t="shared" si="4"/>
        <v>16</v>
      </c>
      <c r="AK4" s="16">
        <f t="shared" si="4"/>
        <v>17</v>
      </c>
      <c r="AL4" s="15">
        <f t="shared" si="4"/>
        <v>17</v>
      </c>
      <c r="AM4" s="14">
        <f t="shared" si="4"/>
        <v>17</v>
      </c>
      <c r="AN4" s="17">
        <f t="shared" si="4"/>
        <v>17</v>
      </c>
      <c r="AO4" s="44">
        <f t="shared" si="4"/>
        <v>18</v>
      </c>
      <c r="AP4" s="43">
        <f t="shared" si="4"/>
        <v>18</v>
      </c>
      <c r="AQ4" s="42">
        <f t="shared" si="4"/>
        <v>18</v>
      </c>
      <c r="AR4" s="41">
        <f t="shared" si="4"/>
        <v>18</v>
      </c>
      <c r="AS4" s="44">
        <f t="shared" si="4"/>
        <v>19</v>
      </c>
      <c r="AT4" s="43">
        <f t="shared" si="4"/>
        <v>19</v>
      </c>
      <c r="AU4" s="42">
        <f t="shared" si="4"/>
        <v>19</v>
      </c>
      <c r="AV4" s="41">
        <f t="shared" si="4"/>
        <v>19</v>
      </c>
      <c r="AW4" s="44">
        <f t="shared" ref="AW4" si="5">AS4+1</f>
        <v>20</v>
      </c>
      <c r="AX4" s="43">
        <f t="shared" ref="AX4" si="6">AT4+1</f>
        <v>20</v>
      </c>
      <c r="AY4" s="42">
        <f t="shared" ref="AY4" si="7">AU4+1</f>
        <v>20</v>
      </c>
      <c r="AZ4" s="41">
        <f t="shared" ref="AZ4" si="8">AV4+1</f>
        <v>20</v>
      </c>
    </row>
    <row r="5" spans="1:52">
      <c r="B5" s="122" t="s">
        <v>268</v>
      </c>
      <c r="C5" s="5"/>
      <c r="D5" s="5"/>
      <c r="E5" s="144"/>
      <c r="F5" s="144"/>
      <c r="G5" s="144"/>
      <c r="H5" s="144"/>
      <c r="I5" s="144"/>
      <c r="J5" s="144"/>
      <c r="K5" s="143"/>
      <c r="L5" s="143"/>
      <c r="M5" s="143"/>
      <c r="N5" s="143"/>
      <c r="O5" s="5"/>
      <c r="P5" s="5"/>
      <c r="Q5" s="142"/>
      <c r="R5" s="141"/>
      <c r="S5" s="140"/>
      <c r="T5" s="139"/>
      <c r="U5" s="142"/>
      <c r="V5" s="141"/>
      <c r="W5" s="140"/>
      <c r="X5" s="139"/>
      <c r="Y5" s="142"/>
      <c r="Z5" s="141"/>
      <c r="AA5" s="140"/>
      <c r="AB5" s="139"/>
      <c r="AC5" s="142"/>
      <c r="AD5" s="141"/>
      <c r="AE5" s="140"/>
      <c r="AF5" s="139"/>
      <c r="AG5" s="142"/>
      <c r="AH5" s="141"/>
      <c r="AI5" s="140"/>
      <c r="AJ5" s="139"/>
      <c r="AK5" s="138"/>
      <c r="AL5" s="137"/>
      <c r="AM5" s="136"/>
      <c r="AN5" s="135"/>
      <c r="AO5" s="138"/>
      <c r="AP5" s="137"/>
      <c r="AQ5" s="136"/>
      <c r="AR5" s="135"/>
      <c r="AS5" s="138"/>
      <c r="AT5" s="137"/>
      <c r="AU5" s="136"/>
      <c r="AV5" s="135"/>
      <c r="AW5" s="135"/>
      <c r="AX5" s="135"/>
      <c r="AY5" s="135"/>
      <c r="AZ5" s="135"/>
    </row>
    <row r="6" spans="1:52">
      <c r="B6" s="8" t="s">
        <v>153</v>
      </c>
      <c r="E6" s="106"/>
      <c r="F6" s="106"/>
      <c r="G6" s="106"/>
      <c r="H6" s="106"/>
      <c r="I6" s="106"/>
      <c r="J6" s="106"/>
      <c r="K6" s="134"/>
      <c r="L6" s="134"/>
      <c r="M6" s="134"/>
      <c r="N6" s="134"/>
      <c r="Q6" s="133"/>
      <c r="R6" s="132"/>
      <c r="S6" s="131"/>
      <c r="T6" s="130"/>
      <c r="U6" s="133"/>
      <c r="V6" s="132"/>
      <c r="W6" s="131"/>
      <c r="X6" s="130"/>
      <c r="Y6" s="133"/>
      <c r="Z6" s="132"/>
      <c r="AA6" s="131"/>
      <c r="AB6" s="130"/>
      <c r="AC6" s="133"/>
      <c r="AD6" s="132"/>
      <c r="AE6" s="131"/>
      <c r="AF6" s="130"/>
      <c r="AG6" s="133"/>
      <c r="AH6" s="132"/>
      <c r="AI6" s="131"/>
      <c r="AJ6" s="130"/>
      <c r="AK6" s="129"/>
      <c r="AL6" s="128"/>
      <c r="AM6" s="127"/>
      <c r="AN6" s="126"/>
      <c r="AO6" s="129"/>
      <c r="AP6" s="128"/>
      <c r="AQ6" s="127"/>
      <c r="AR6" s="126"/>
      <c r="AS6" s="129"/>
      <c r="AT6" s="128"/>
      <c r="AU6" s="127"/>
      <c r="AV6" s="126"/>
      <c r="AW6" s="126"/>
      <c r="AX6" s="126"/>
      <c r="AY6" s="126"/>
      <c r="AZ6" s="126"/>
    </row>
    <row r="7" spans="1:52">
      <c r="B7" s="3" t="s">
        <v>267</v>
      </c>
      <c r="E7" s="120">
        <v>4127.482</v>
      </c>
      <c r="F7" s="109">
        <f t="shared" ref="F7:M15" ca="1" si="9">OFFSET($P7,0,F$2,1,1)</f>
        <v>11880.632</v>
      </c>
      <c r="G7" s="109">
        <f t="shared" ca="1" si="9"/>
        <v>9691.7970000000005</v>
      </c>
      <c r="H7" s="109">
        <f t="shared" ca="1" si="9"/>
        <v>13852.725</v>
      </c>
      <c r="I7" s="109">
        <f t="shared" ca="1" si="9"/>
        <v>9959.9320000000007</v>
      </c>
      <c r="J7" s="109">
        <f t="shared" ca="1" si="9"/>
        <v>10898.463</v>
      </c>
      <c r="K7" s="109">
        <f t="shared" ca="1" si="9"/>
        <v>11084</v>
      </c>
      <c r="L7" s="109">
        <f t="shared" ca="1" si="9"/>
        <v>28889.798612268212</v>
      </c>
      <c r="M7" s="109">
        <f t="shared" ca="1" si="9"/>
        <v>34475.244618439974</v>
      </c>
      <c r="N7" s="109">
        <f t="shared" ref="N7:N15" ca="1" si="10">OFFSET($P7,0,N$2,1,1)</f>
        <v>51623.615001674829</v>
      </c>
      <c r="O7" s="58"/>
      <c r="P7" s="58"/>
      <c r="Q7" s="58"/>
      <c r="R7" s="58"/>
      <c r="S7" s="58"/>
      <c r="T7" s="120">
        <v>11880.632</v>
      </c>
      <c r="U7" s="120">
        <v>8727.2620000000006</v>
      </c>
      <c r="V7" s="120">
        <v>9028.9989999999998</v>
      </c>
      <c r="W7" s="120">
        <v>17811.025000000001</v>
      </c>
      <c r="X7" s="120">
        <v>9691.7970000000005</v>
      </c>
      <c r="Y7" s="120">
        <v>8793.3529999999992</v>
      </c>
      <c r="Z7" s="120">
        <v>12367.575000000001</v>
      </c>
      <c r="AA7" s="120">
        <v>9957.5589999999993</v>
      </c>
      <c r="AB7" s="120">
        <v>13852.725</v>
      </c>
      <c r="AC7" s="120">
        <v>13218.041999999999</v>
      </c>
      <c r="AD7" s="120">
        <v>21296.827000000001</v>
      </c>
      <c r="AE7" s="120">
        <v>14575.19</v>
      </c>
      <c r="AF7" s="120">
        <v>9959.9320000000007</v>
      </c>
      <c r="AG7" s="120">
        <v>12593.244000000001</v>
      </c>
      <c r="AH7" s="120">
        <v>15769.276</v>
      </c>
      <c r="AI7" s="120">
        <v>11478.89</v>
      </c>
      <c r="AJ7" s="120">
        <v>10898.463</v>
      </c>
      <c r="AK7" s="120">
        <v>14565.758</v>
      </c>
      <c r="AL7" s="120">
        <v>15484</v>
      </c>
      <c r="AM7" s="120">
        <v>15357</v>
      </c>
      <c r="AN7" s="120">
        <v>11084</v>
      </c>
      <c r="AO7" s="58">
        <f t="shared" ref="AO7:AV7" ca="1" si="11">AO132</f>
        <v>35856.827222480308</v>
      </c>
      <c r="AP7" s="58">
        <f t="shared" ca="1" si="11"/>
        <v>31158.191818323561</v>
      </c>
      <c r="AQ7" s="58">
        <f t="shared" ca="1" si="11"/>
        <v>56301.89423551222</v>
      </c>
      <c r="AR7" s="58">
        <f t="shared" ca="1" si="11"/>
        <v>28889.798612268212</v>
      </c>
      <c r="AS7" s="58">
        <f t="shared" ca="1" si="11"/>
        <v>71936.679377950961</v>
      </c>
      <c r="AT7" s="58">
        <f t="shared" ca="1" si="11"/>
        <v>21427.466104401028</v>
      </c>
      <c r="AU7" s="58">
        <f t="shared" ca="1" si="11"/>
        <v>103899.55299791448</v>
      </c>
      <c r="AV7" s="58">
        <f t="shared" ca="1" si="11"/>
        <v>34475.244618439974</v>
      </c>
      <c r="AW7" s="58">
        <f t="shared" ref="AW7:AZ7" ca="1" si="12">AW132</f>
        <v>127913.17476427143</v>
      </c>
      <c r="AX7" s="58">
        <f t="shared" ca="1" si="12"/>
        <v>36465.680258879016</v>
      </c>
      <c r="AY7" s="58">
        <f t="shared" ca="1" si="12"/>
        <v>163888.29439707811</v>
      </c>
      <c r="AZ7" s="58">
        <f t="shared" ca="1" si="12"/>
        <v>51623.615001674829</v>
      </c>
    </row>
    <row r="8" spans="1:52">
      <c r="B8" s="3" t="s">
        <v>266</v>
      </c>
      <c r="E8" s="120">
        <v>483.387</v>
      </c>
      <c r="F8" s="109">
        <f t="shared" ca="1" si="9"/>
        <v>395.029</v>
      </c>
      <c r="G8" s="109">
        <f t="shared" ca="1" si="9"/>
        <v>259.53300000000002</v>
      </c>
      <c r="H8" s="109">
        <f t="shared" ca="1" si="9"/>
        <v>413.01</v>
      </c>
      <c r="I8" s="109">
        <f t="shared" ca="1" si="9"/>
        <v>95.997</v>
      </c>
      <c r="J8" s="109">
        <f t="shared" ca="1" si="9"/>
        <v>317.52100000000002</v>
      </c>
      <c r="K8" s="109">
        <f t="shared" ca="1" si="9"/>
        <v>252</v>
      </c>
      <c r="L8" s="109">
        <f t="shared" ca="1" si="9"/>
        <v>252</v>
      </c>
      <c r="M8" s="109">
        <f t="shared" ca="1" si="9"/>
        <v>252</v>
      </c>
      <c r="N8" s="109">
        <f t="shared" ca="1" si="10"/>
        <v>252</v>
      </c>
      <c r="O8" s="58"/>
      <c r="P8" s="58"/>
      <c r="Q8" s="58"/>
      <c r="R8" s="58"/>
      <c r="S8" s="58"/>
      <c r="T8" s="120">
        <v>395.029</v>
      </c>
      <c r="U8" s="120">
        <v>250.232</v>
      </c>
      <c r="V8" s="120">
        <v>330.75400000000002</v>
      </c>
      <c r="W8" s="120">
        <v>466.87400000000002</v>
      </c>
      <c r="X8" s="120">
        <v>259.53300000000002</v>
      </c>
      <c r="Y8" s="120">
        <v>263.75700000000001</v>
      </c>
      <c r="Z8" s="120">
        <v>357.68299999999999</v>
      </c>
      <c r="AA8" s="120">
        <v>447.726</v>
      </c>
      <c r="AB8" s="120">
        <v>413.01</v>
      </c>
      <c r="AC8" s="120">
        <v>530.97500000000002</v>
      </c>
      <c r="AD8" s="120">
        <v>646.4</v>
      </c>
      <c r="AE8" s="120">
        <v>1968.4490000000001</v>
      </c>
      <c r="AF8" s="120">
        <v>95.997</v>
      </c>
      <c r="AG8" s="120">
        <v>229.887</v>
      </c>
      <c r="AH8" s="120">
        <v>78.245000000000005</v>
      </c>
      <c r="AI8" s="120">
        <v>155.68799999999999</v>
      </c>
      <c r="AJ8" s="120">
        <v>317.52100000000002</v>
      </c>
      <c r="AK8" s="120">
        <v>114.605</v>
      </c>
      <c r="AL8" s="120">
        <v>123</v>
      </c>
      <c r="AM8" s="120">
        <v>447</v>
      </c>
      <c r="AN8" s="120">
        <v>252</v>
      </c>
      <c r="AO8" s="89">
        <f t="shared" ref="AO8:AV8" si="13">AN8</f>
        <v>252</v>
      </c>
      <c r="AP8" s="89">
        <f t="shared" si="13"/>
        <v>252</v>
      </c>
      <c r="AQ8" s="89">
        <f t="shared" si="13"/>
        <v>252</v>
      </c>
      <c r="AR8" s="89">
        <f t="shared" si="13"/>
        <v>252</v>
      </c>
      <c r="AS8" s="89">
        <f t="shared" si="13"/>
        <v>252</v>
      </c>
      <c r="AT8" s="89">
        <f t="shared" si="13"/>
        <v>252</v>
      </c>
      <c r="AU8" s="89">
        <f t="shared" si="13"/>
        <v>252</v>
      </c>
      <c r="AV8" s="89">
        <f t="shared" si="13"/>
        <v>252</v>
      </c>
      <c r="AW8" s="89">
        <f t="shared" ref="AW8:AW9" si="14">AV8</f>
        <v>252</v>
      </c>
      <c r="AX8" s="89">
        <f t="shared" ref="AX8:AX9" si="15">AW8</f>
        <v>252</v>
      </c>
      <c r="AY8" s="89">
        <f t="shared" ref="AY8:AY9" si="16">AX8</f>
        <v>252</v>
      </c>
      <c r="AZ8" s="89">
        <f t="shared" ref="AZ8:AZ9" si="17">AY8</f>
        <v>252</v>
      </c>
    </row>
    <row r="9" spans="1:52">
      <c r="B9" s="3" t="s">
        <v>265</v>
      </c>
      <c r="E9" s="120">
        <v>10051.578</v>
      </c>
      <c r="F9" s="109">
        <f t="shared" ca="1" si="9"/>
        <v>20604.223000000002</v>
      </c>
      <c r="G9" s="109">
        <f t="shared" ca="1" si="9"/>
        <v>28734.760999999999</v>
      </c>
      <c r="H9" s="109">
        <f t="shared" ca="1" si="9"/>
        <v>42698.830999999998</v>
      </c>
      <c r="I9" s="109">
        <f t="shared" ca="1" si="9"/>
        <v>57969.241999999998</v>
      </c>
      <c r="J9" s="109">
        <f t="shared" ca="1" si="9"/>
        <v>71195.629000000001</v>
      </c>
      <c r="K9" s="109">
        <f t="shared" ca="1" si="9"/>
        <v>89381</v>
      </c>
      <c r="L9" s="109">
        <f t="shared" ca="1" si="9"/>
        <v>89381</v>
      </c>
      <c r="M9" s="109">
        <f t="shared" ca="1" si="9"/>
        <v>89381</v>
      </c>
      <c r="N9" s="109">
        <f t="shared" ca="1" si="10"/>
        <v>89381</v>
      </c>
      <c r="O9" s="58"/>
      <c r="P9" s="58"/>
      <c r="Q9" s="58"/>
      <c r="R9" s="58"/>
      <c r="S9" s="58"/>
      <c r="T9" s="120">
        <v>20604.223000000002</v>
      </c>
      <c r="U9" s="120">
        <v>25089.510999999999</v>
      </c>
      <c r="V9" s="120">
        <v>25040.393</v>
      </c>
      <c r="W9" s="120">
        <v>25489.360000000001</v>
      </c>
      <c r="X9" s="120">
        <v>28734.760999999999</v>
      </c>
      <c r="Y9" s="120">
        <v>30885.437999999998</v>
      </c>
      <c r="Z9" s="120">
        <v>36290.964</v>
      </c>
      <c r="AA9" s="120">
        <v>41390.303999999996</v>
      </c>
      <c r="AB9" s="120">
        <v>42698.830999999998</v>
      </c>
      <c r="AC9" s="120">
        <v>44820.228999999999</v>
      </c>
      <c r="AD9" s="120">
        <v>53661.976999999999</v>
      </c>
      <c r="AE9" s="120">
        <v>55568.671999999999</v>
      </c>
      <c r="AF9" s="120">
        <v>57969.241999999998</v>
      </c>
      <c r="AG9" s="120">
        <v>58752.894999999997</v>
      </c>
      <c r="AH9" s="120">
        <v>60042.767</v>
      </c>
      <c r="AI9" s="120">
        <v>66882.649999999994</v>
      </c>
      <c r="AJ9" s="120">
        <v>71195.629000000001</v>
      </c>
      <c r="AK9" s="120">
        <v>76112.428</v>
      </c>
      <c r="AL9" s="120">
        <v>76668</v>
      </c>
      <c r="AM9" s="120">
        <v>92730</v>
      </c>
      <c r="AN9" s="120">
        <v>89381</v>
      </c>
      <c r="AO9" s="89">
        <f t="shared" ref="AO9:AV9" si="18">AN9</f>
        <v>89381</v>
      </c>
      <c r="AP9" s="89">
        <f t="shared" si="18"/>
        <v>89381</v>
      </c>
      <c r="AQ9" s="89">
        <f t="shared" si="18"/>
        <v>89381</v>
      </c>
      <c r="AR9" s="89">
        <f t="shared" si="18"/>
        <v>89381</v>
      </c>
      <c r="AS9" s="89">
        <f t="shared" si="18"/>
        <v>89381</v>
      </c>
      <c r="AT9" s="89">
        <f t="shared" si="18"/>
        <v>89381</v>
      </c>
      <c r="AU9" s="89">
        <f t="shared" si="18"/>
        <v>89381</v>
      </c>
      <c r="AV9" s="89">
        <f t="shared" si="18"/>
        <v>89381</v>
      </c>
      <c r="AW9" s="89">
        <f t="shared" si="14"/>
        <v>89381</v>
      </c>
      <c r="AX9" s="89">
        <f t="shared" si="15"/>
        <v>89381</v>
      </c>
      <c r="AY9" s="89">
        <f t="shared" si="16"/>
        <v>89381</v>
      </c>
      <c r="AZ9" s="89">
        <f t="shared" si="17"/>
        <v>89381</v>
      </c>
    </row>
    <row r="10" spans="1:52">
      <c r="B10" s="3" t="s">
        <v>264</v>
      </c>
      <c r="E10" s="58"/>
      <c r="F10" s="109">
        <f t="shared" ca="1" si="9"/>
        <v>1253.4829999999999</v>
      </c>
      <c r="G10" s="109">
        <f t="shared" ca="1" si="9"/>
        <v>2220.846</v>
      </c>
      <c r="H10" s="109">
        <f t="shared" ca="1" si="9"/>
        <v>3664.4470000000001</v>
      </c>
      <c r="I10" s="109">
        <f t="shared" ca="1" si="9"/>
        <v>3926.9859999999999</v>
      </c>
      <c r="J10" s="109">
        <f t="shared" ca="1" si="9"/>
        <v>4109.3239999999996</v>
      </c>
      <c r="K10" s="109">
        <f t="shared" ca="1" si="9"/>
        <v>4571</v>
      </c>
      <c r="L10" s="109">
        <f t="shared" ca="1" si="9"/>
        <v>4401.4019201052906</v>
      </c>
      <c r="M10" s="109">
        <f t="shared" ca="1" si="9"/>
        <v>2850.9905027801906</v>
      </c>
      <c r="N10" s="109">
        <f t="shared" ca="1" si="10"/>
        <v>2095.4970147857857</v>
      </c>
      <c r="O10" s="58"/>
      <c r="P10" s="58"/>
      <c r="Q10" s="58"/>
      <c r="R10" s="58"/>
      <c r="S10" s="58"/>
      <c r="T10" s="120">
        <v>1253.4829999999999</v>
      </c>
      <c r="U10" s="120">
        <v>1428.0709999999999</v>
      </c>
      <c r="V10" s="120">
        <v>1786.6379999999999</v>
      </c>
      <c r="W10" s="120">
        <v>2182.0300000000002</v>
      </c>
      <c r="X10" s="120">
        <v>2220.846</v>
      </c>
      <c r="Y10" s="120">
        <v>2356.721</v>
      </c>
      <c r="Z10" s="120">
        <v>2906.7649999999999</v>
      </c>
      <c r="AA10" s="120">
        <v>3559.9259999999999</v>
      </c>
      <c r="AB10" s="120">
        <v>3664.4470000000001</v>
      </c>
      <c r="AC10" s="120">
        <v>3534.5770000000002</v>
      </c>
      <c r="AD10" s="120">
        <v>3804.1669999999999</v>
      </c>
      <c r="AE10" s="120">
        <v>4177.3620000000001</v>
      </c>
      <c r="AF10" s="120">
        <v>3926.9859999999999</v>
      </c>
      <c r="AG10" s="120">
        <v>3539.6990000000001</v>
      </c>
      <c r="AH10" s="120">
        <v>4083.3240000000001</v>
      </c>
      <c r="AI10" s="120">
        <v>4263.8329999999996</v>
      </c>
      <c r="AJ10" s="120">
        <v>4109.3239999999996</v>
      </c>
      <c r="AK10" s="120">
        <v>3494.5770000000002</v>
      </c>
      <c r="AL10" s="120">
        <v>4097</v>
      </c>
      <c r="AM10" s="120">
        <v>4728</v>
      </c>
      <c r="AN10" s="120">
        <v>4571</v>
      </c>
      <c r="AO10" s="109">
        <f t="shared" ref="AO10:AV10" ca="1" si="19">AO232</f>
        <v>4510.2555047143414</v>
      </c>
      <c r="AP10" s="109">
        <f t="shared" ca="1" si="19"/>
        <v>4139.3471409555823</v>
      </c>
      <c r="AQ10" s="109">
        <f t="shared" ca="1" si="19"/>
        <v>6165.6994204970142</v>
      </c>
      <c r="AR10" s="109">
        <f t="shared" ca="1" si="19"/>
        <v>4401.4019201052906</v>
      </c>
      <c r="AS10" s="109">
        <f t="shared" ca="1" si="19"/>
        <v>6694.175437106358</v>
      </c>
      <c r="AT10" s="109">
        <f t="shared" ca="1" si="19"/>
        <v>3222.6979471764153</v>
      </c>
      <c r="AU10" s="109">
        <f t="shared" ca="1" si="19"/>
        <v>7982.3652775417486</v>
      </c>
      <c r="AV10" s="109">
        <f t="shared" ca="1" si="19"/>
        <v>2850.9905027801906</v>
      </c>
      <c r="AW10" s="109">
        <f t="shared" ref="AW10:AZ10" ca="1" si="20">AW232</f>
        <v>8937.9843573834369</v>
      </c>
      <c r="AX10" s="109">
        <f t="shared" ca="1" si="20"/>
        <v>1757.726251621687</v>
      </c>
      <c r="AY10" s="109">
        <f t="shared" ca="1" si="20"/>
        <v>10293.197718942396</v>
      </c>
      <c r="AZ10" s="109">
        <f t="shared" ca="1" si="20"/>
        <v>2095.4970147857857</v>
      </c>
    </row>
    <row r="11" spans="1:52">
      <c r="B11" s="3" t="s">
        <v>263</v>
      </c>
      <c r="E11" s="58"/>
      <c r="F11" s="109">
        <f t="shared" ca="1" si="9"/>
        <v>0</v>
      </c>
      <c r="G11" s="109">
        <f t="shared" ca="1" si="9"/>
        <v>0</v>
      </c>
      <c r="H11" s="109">
        <f t="shared" ca="1" si="9"/>
        <v>0.05</v>
      </c>
      <c r="I11" s="109">
        <f t="shared" ca="1" si="9"/>
        <v>1940.559</v>
      </c>
      <c r="J11" s="109">
        <f t="shared" ca="1" si="9"/>
        <v>345.59399999999999</v>
      </c>
      <c r="K11" s="109">
        <f t="shared" ca="1" si="9"/>
        <v>168</v>
      </c>
      <c r="L11" s="109">
        <f t="shared" ca="1" si="9"/>
        <v>168</v>
      </c>
      <c r="M11" s="109">
        <f t="shared" ca="1" si="9"/>
        <v>168</v>
      </c>
      <c r="N11" s="109">
        <f t="shared" ca="1" si="10"/>
        <v>168</v>
      </c>
      <c r="O11" s="58"/>
      <c r="P11" s="58"/>
      <c r="Q11" s="58"/>
      <c r="R11" s="58"/>
      <c r="S11" s="58"/>
      <c r="T11" s="120"/>
      <c r="U11" s="120"/>
      <c r="V11" s="120"/>
      <c r="W11" s="120"/>
      <c r="X11" s="120"/>
      <c r="Y11" s="120"/>
      <c r="Z11" s="120"/>
      <c r="AA11" s="120"/>
      <c r="AB11" s="120">
        <v>0.05</v>
      </c>
      <c r="AC11" s="120"/>
      <c r="AD11" s="120"/>
      <c r="AE11" s="120"/>
      <c r="AF11" s="120">
        <v>1940.559</v>
      </c>
      <c r="AG11" s="120">
        <v>66.105000000000004</v>
      </c>
      <c r="AH11" s="120">
        <v>146.07499999999999</v>
      </c>
      <c r="AI11" s="120">
        <v>268.40499999999997</v>
      </c>
      <c r="AJ11" s="120">
        <v>345.59399999999999</v>
      </c>
      <c r="AK11" s="120">
        <v>318.46100000000001</v>
      </c>
      <c r="AL11" s="120">
        <v>845</v>
      </c>
      <c r="AM11" s="120">
        <v>993</v>
      </c>
      <c r="AN11" s="120">
        <v>168</v>
      </c>
      <c r="AO11" s="89">
        <f t="shared" ref="AO11:AV11" si="21">AN11</f>
        <v>168</v>
      </c>
      <c r="AP11" s="89">
        <f t="shared" si="21"/>
        <v>168</v>
      </c>
      <c r="AQ11" s="89">
        <f t="shared" si="21"/>
        <v>168</v>
      </c>
      <c r="AR11" s="89">
        <f t="shared" si="21"/>
        <v>168</v>
      </c>
      <c r="AS11" s="89">
        <f t="shared" si="21"/>
        <v>168</v>
      </c>
      <c r="AT11" s="89">
        <f t="shared" si="21"/>
        <v>168</v>
      </c>
      <c r="AU11" s="89">
        <f t="shared" si="21"/>
        <v>168</v>
      </c>
      <c r="AV11" s="89">
        <f t="shared" si="21"/>
        <v>168</v>
      </c>
      <c r="AW11" s="89">
        <f t="shared" ref="AW11" si="22">AV11</f>
        <v>168</v>
      </c>
      <c r="AX11" s="89">
        <f t="shared" ref="AX11" si="23">AW11</f>
        <v>168</v>
      </c>
      <c r="AY11" s="89">
        <f t="shared" ref="AY11" si="24">AX11</f>
        <v>168</v>
      </c>
      <c r="AZ11" s="89">
        <f t="shared" ref="AZ11" si="25">AY11</f>
        <v>168</v>
      </c>
    </row>
    <row r="12" spans="1:52">
      <c r="B12" s="3" t="s">
        <v>262</v>
      </c>
      <c r="E12" s="58"/>
      <c r="F12" s="109">
        <f t="shared" ca="1" si="9"/>
        <v>380.40699999999998</v>
      </c>
      <c r="G12" s="109">
        <f t="shared" ca="1" si="9"/>
        <v>1835.2650000000001</v>
      </c>
      <c r="H12" s="109">
        <f t="shared" ca="1" si="9"/>
        <v>3407.4270000000001</v>
      </c>
      <c r="I12" s="109">
        <f t="shared" ca="1" si="9"/>
        <v>4113.84</v>
      </c>
      <c r="J12" s="109">
        <f t="shared" ca="1" si="9"/>
        <v>3344.5160000000001</v>
      </c>
      <c r="K12" s="109">
        <f t="shared" ca="1" si="9"/>
        <v>3425</v>
      </c>
      <c r="L12" s="109">
        <f t="shared" ca="1" si="9"/>
        <v>3887.8580866554112</v>
      </c>
      <c r="M12" s="109">
        <f t="shared" ca="1" si="9"/>
        <v>3341.039134312301</v>
      </c>
      <c r="N12" s="109">
        <f t="shared" ca="1" si="10"/>
        <v>1945.8331751560545</v>
      </c>
      <c r="O12" s="58"/>
      <c r="P12" s="58"/>
      <c r="Q12" s="58"/>
      <c r="R12" s="58"/>
      <c r="S12" s="58"/>
      <c r="T12" s="120">
        <v>380.40699999999998</v>
      </c>
      <c r="U12" s="120">
        <v>337.29500000000002</v>
      </c>
      <c r="V12" s="120">
        <v>996.24400000000003</v>
      </c>
      <c r="W12" s="120">
        <v>1379.48</v>
      </c>
      <c r="X12" s="120">
        <v>1835.2650000000001</v>
      </c>
      <c r="Y12" s="120">
        <v>1724.62</v>
      </c>
      <c r="Z12" s="120">
        <v>2120.614</v>
      </c>
      <c r="AA12" s="120">
        <v>2775.241</v>
      </c>
      <c r="AB12" s="120">
        <v>3407.4270000000001</v>
      </c>
      <c r="AC12" s="120">
        <v>3554.5749999999998</v>
      </c>
      <c r="AD12" s="120">
        <v>4053.9120000000003</v>
      </c>
      <c r="AE12" s="120">
        <v>5649.9360000000006</v>
      </c>
      <c r="AF12" s="120">
        <v>4113.84</v>
      </c>
      <c r="AG12" s="120">
        <v>4416.2349999999997</v>
      </c>
      <c r="AH12" s="120">
        <v>4792.4369999999999</v>
      </c>
      <c r="AI12" s="120">
        <v>5605.3490000000002</v>
      </c>
      <c r="AJ12" s="120">
        <v>3344.5160000000001</v>
      </c>
      <c r="AK12" s="120">
        <v>3516.989</v>
      </c>
      <c r="AL12" s="120">
        <v>4679</v>
      </c>
      <c r="AM12" s="120">
        <v>5248</v>
      </c>
      <c r="AN12" s="120">
        <v>3425</v>
      </c>
      <c r="AO12" s="109">
        <f t="shared" ref="AO12:AV12" ca="1" si="26">AO234</f>
        <v>3981.5136546774465</v>
      </c>
      <c r="AP12" s="109">
        <f t="shared" ca="1" si="26"/>
        <v>3103.2749717726847</v>
      </c>
      <c r="AQ12" s="109">
        <f t="shared" ca="1" si="26"/>
        <v>4735.4052072705326</v>
      </c>
      <c r="AR12" s="109">
        <f t="shared" ca="1" si="26"/>
        <v>3887.8580866554112</v>
      </c>
      <c r="AS12" s="109">
        <f t="shared" ca="1" si="26"/>
        <v>4999.8374624867574</v>
      </c>
      <c r="AT12" s="109">
        <f t="shared" ca="1" si="26"/>
        <v>3940.1460875525681</v>
      </c>
      <c r="AU12" s="109">
        <f t="shared" ca="1" si="26"/>
        <v>6087.9867426698456</v>
      </c>
      <c r="AV12" s="109">
        <f t="shared" ca="1" si="26"/>
        <v>3341.039134312301</v>
      </c>
      <c r="AW12" s="109">
        <f t="shared" ref="AW12:AZ12" ca="1" si="27">AW234</f>
        <v>7501.8068918222998</v>
      </c>
      <c r="AX12" s="109">
        <f t="shared" ca="1" si="27"/>
        <v>2636.6713599131963</v>
      </c>
      <c r="AY12" s="109">
        <f t="shared" ca="1" si="27"/>
        <v>8982.014701168604</v>
      </c>
      <c r="AZ12" s="109">
        <f t="shared" ca="1" si="27"/>
        <v>1945.8331751560545</v>
      </c>
    </row>
    <row r="13" spans="1:52">
      <c r="B13" s="3" t="s">
        <v>251</v>
      </c>
      <c r="E13" s="58"/>
      <c r="F13" s="109">
        <f t="shared" ca="1" si="9"/>
        <v>0</v>
      </c>
      <c r="G13" s="109">
        <f t="shared" ca="1" si="9"/>
        <v>0</v>
      </c>
      <c r="H13" s="109">
        <f t="shared" ca="1" si="9"/>
        <v>0</v>
      </c>
      <c r="I13" s="109">
        <f t="shared" ca="1" si="9"/>
        <v>227.107</v>
      </c>
      <c r="J13" s="109">
        <f t="shared" ca="1" si="9"/>
        <v>1800.3969999999999</v>
      </c>
      <c r="K13" s="109">
        <f t="shared" ca="1" si="9"/>
        <v>23938</v>
      </c>
      <c r="L13" s="109">
        <f t="shared" ca="1" si="9"/>
        <v>31730.833238549822</v>
      </c>
      <c r="M13" s="109">
        <f t="shared" ca="1" si="9"/>
        <v>29966.342657155754</v>
      </c>
      <c r="N13" s="109">
        <f t="shared" ca="1" si="10"/>
        <v>29422.459596914745</v>
      </c>
      <c r="O13" s="58"/>
      <c r="P13" s="58"/>
      <c r="Q13" s="58"/>
      <c r="R13" s="58"/>
      <c r="S13" s="58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>
        <v>227.107</v>
      </c>
      <c r="AG13" s="120"/>
      <c r="AH13" s="120"/>
      <c r="AI13" s="120"/>
      <c r="AJ13" s="120">
        <v>1800.3969999999999</v>
      </c>
      <c r="AK13" s="120">
        <v>5243.7719999999999</v>
      </c>
      <c r="AL13" s="120">
        <v>9190</v>
      </c>
      <c r="AM13" s="120">
        <v>14070</v>
      </c>
      <c r="AN13" s="120">
        <v>23938</v>
      </c>
      <c r="AO13" s="109">
        <f t="shared" ref="AO13:AV13" ca="1" si="28">AO235</f>
        <v>29593.052641124348</v>
      </c>
      <c r="AP13" s="109">
        <f t="shared" ca="1" si="28"/>
        <v>30076.197221524919</v>
      </c>
      <c r="AQ13" s="109">
        <f t="shared" ca="1" si="28"/>
        <v>30095.098514559733</v>
      </c>
      <c r="AR13" s="109">
        <f t="shared" ca="1" si="28"/>
        <v>31730.833238549822</v>
      </c>
      <c r="AS13" s="109">
        <f t="shared" ca="1" si="28"/>
        <v>30207.498509011857</v>
      </c>
      <c r="AT13" s="109">
        <f t="shared" ca="1" si="28"/>
        <v>32179.765694331985</v>
      </c>
      <c r="AU13" s="109">
        <f t="shared" ca="1" si="28"/>
        <v>30988.099656322262</v>
      </c>
      <c r="AV13" s="109">
        <f t="shared" ca="1" si="28"/>
        <v>29966.342657155754</v>
      </c>
      <c r="AW13" s="109">
        <f t="shared" ref="AW13:AZ13" ca="1" si="29">AW235</f>
        <v>27766.654896092947</v>
      </c>
      <c r="AX13" s="109">
        <f t="shared" ca="1" si="29"/>
        <v>29724.462584904792</v>
      </c>
      <c r="AY13" s="109">
        <f t="shared" ca="1" si="29"/>
        <v>30955.175771926984</v>
      </c>
      <c r="AZ13" s="109">
        <f t="shared" ca="1" si="29"/>
        <v>29422.459596914745</v>
      </c>
    </row>
    <row r="14" spans="1:52">
      <c r="B14" s="3" t="s">
        <v>261</v>
      </c>
      <c r="E14" s="58"/>
      <c r="F14" s="109">
        <f t="shared" ca="1" si="9"/>
        <v>160.315</v>
      </c>
      <c r="G14" s="109">
        <f t="shared" ca="1" si="9"/>
        <v>286.84399999999999</v>
      </c>
      <c r="H14" s="109">
        <f t="shared" ca="1" si="9"/>
        <v>0</v>
      </c>
      <c r="I14" s="109">
        <f t="shared" ca="1" si="9"/>
        <v>0</v>
      </c>
      <c r="J14" s="109">
        <f t="shared" ca="1" si="9"/>
        <v>0</v>
      </c>
      <c r="K14" s="109">
        <f t="shared" ca="1" si="9"/>
        <v>0</v>
      </c>
      <c r="L14" s="109">
        <f t="shared" ca="1" si="9"/>
        <v>0</v>
      </c>
      <c r="M14" s="109">
        <f t="shared" ca="1" si="9"/>
        <v>0</v>
      </c>
      <c r="N14" s="109">
        <f t="shared" ca="1" si="10"/>
        <v>0</v>
      </c>
      <c r="O14" s="58"/>
      <c r="P14" s="58"/>
      <c r="Q14" s="58"/>
      <c r="R14" s="58"/>
      <c r="S14" s="58"/>
      <c r="T14" s="120">
        <v>160.315</v>
      </c>
      <c r="U14" s="120">
        <v>196.49600000000001</v>
      </c>
      <c r="V14" s="120">
        <v>243.482</v>
      </c>
      <c r="W14" s="120">
        <v>297.24</v>
      </c>
      <c r="X14" s="120">
        <v>286.84399999999999</v>
      </c>
      <c r="Y14" s="120">
        <v>406.24</v>
      </c>
      <c r="Z14" s="120">
        <v>520.82500000000005</v>
      </c>
      <c r="AA14" s="120">
        <v>652.36400000000003</v>
      </c>
      <c r="AB14" s="120">
        <v>0</v>
      </c>
      <c r="AC14" s="120">
        <v>826.49400000000003</v>
      </c>
      <c r="AD14" s="120">
        <v>985.12599999999998</v>
      </c>
      <c r="AE14" s="120">
        <v>1279.9090000000001</v>
      </c>
      <c r="AF14" s="120">
        <v>0</v>
      </c>
      <c r="AG14" s="120"/>
      <c r="AH14" s="120"/>
      <c r="AI14" s="120"/>
      <c r="AJ14" s="120"/>
      <c r="AK14" s="120">
        <v>0</v>
      </c>
      <c r="AL14" s="120">
        <v>0</v>
      </c>
      <c r="AM14" s="120">
        <v>0</v>
      </c>
      <c r="AN14" s="120">
        <f t="shared" ref="AN14:AV14" si="30">AM14</f>
        <v>0</v>
      </c>
      <c r="AO14" s="89">
        <f t="shared" si="30"/>
        <v>0</v>
      </c>
      <c r="AP14" s="89">
        <f t="shared" si="30"/>
        <v>0</v>
      </c>
      <c r="AQ14" s="89">
        <f t="shared" si="30"/>
        <v>0</v>
      </c>
      <c r="AR14" s="89">
        <f t="shared" si="30"/>
        <v>0</v>
      </c>
      <c r="AS14" s="89">
        <f t="shared" si="30"/>
        <v>0</v>
      </c>
      <c r="AT14" s="89">
        <f t="shared" si="30"/>
        <v>0</v>
      </c>
      <c r="AU14" s="89">
        <f t="shared" si="30"/>
        <v>0</v>
      </c>
      <c r="AV14" s="89">
        <f t="shared" si="30"/>
        <v>0</v>
      </c>
      <c r="AW14" s="89">
        <f t="shared" ref="AW14:AW15" si="31">AV14</f>
        <v>0</v>
      </c>
      <c r="AX14" s="89">
        <f t="shared" ref="AX14:AX15" si="32">AW14</f>
        <v>0</v>
      </c>
      <c r="AY14" s="89">
        <f t="shared" ref="AY14:AY15" si="33">AX14</f>
        <v>0</v>
      </c>
      <c r="AZ14" s="89">
        <f t="shared" ref="AZ14:AZ15" si="34">AY14</f>
        <v>0</v>
      </c>
    </row>
    <row r="15" spans="1:52">
      <c r="B15" s="3" t="s">
        <v>260</v>
      </c>
      <c r="E15" s="58"/>
      <c r="F15" s="109">
        <f t="shared" ca="1" si="9"/>
        <v>0</v>
      </c>
      <c r="G15" s="109">
        <f t="shared" ca="1" si="9"/>
        <v>0</v>
      </c>
      <c r="H15" s="109">
        <f t="shared" ca="1" si="9"/>
        <v>0</v>
      </c>
      <c r="I15" s="109">
        <f t="shared" ca="1" si="9"/>
        <v>0</v>
      </c>
      <c r="J15" s="109">
        <f t="shared" ca="1" si="9"/>
        <v>7747.4359999999997</v>
      </c>
      <c r="K15" s="109">
        <f t="shared" ca="1" si="9"/>
        <v>18350</v>
      </c>
      <c r="L15" s="109">
        <f t="shared" ca="1" si="9"/>
        <v>18350</v>
      </c>
      <c r="M15" s="109">
        <f t="shared" ca="1" si="9"/>
        <v>18350</v>
      </c>
      <c r="N15" s="109">
        <f t="shared" ca="1" si="10"/>
        <v>18350</v>
      </c>
      <c r="O15" s="58"/>
      <c r="P15" s="58"/>
      <c r="Q15" s="58"/>
      <c r="R15" s="58"/>
      <c r="S15" s="58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>
        <v>7747.4359999999997</v>
      </c>
      <c r="AK15" s="120">
        <v>16066.794</v>
      </c>
      <c r="AL15" s="120">
        <v>24998</v>
      </c>
      <c r="AM15" s="120">
        <v>21496</v>
      </c>
      <c r="AN15" s="120">
        <v>18350</v>
      </c>
      <c r="AO15" s="89">
        <f t="shared" ref="AO15:AV15" si="35">AN15</f>
        <v>18350</v>
      </c>
      <c r="AP15" s="89">
        <f t="shared" si="35"/>
        <v>18350</v>
      </c>
      <c r="AQ15" s="89">
        <f t="shared" si="35"/>
        <v>18350</v>
      </c>
      <c r="AR15" s="89">
        <f t="shared" si="35"/>
        <v>18350</v>
      </c>
      <c r="AS15" s="89">
        <f t="shared" si="35"/>
        <v>18350</v>
      </c>
      <c r="AT15" s="89">
        <f t="shared" si="35"/>
        <v>18350</v>
      </c>
      <c r="AU15" s="89">
        <f t="shared" si="35"/>
        <v>18350</v>
      </c>
      <c r="AV15" s="89">
        <f t="shared" si="35"/>
        <v>18350</v>
      </c>
      <c r="AW15" s="89">
        <f t="shared" si="31"/>
        <v>18350</v>
      </c>
      <c r="AX15" s="89">
        <f t="shared" si="32"/>
        <v>18350</v>
      </c>
      <c r="AY15" s="89">
        <f t="shared" si="33"/>
        <v>18350</v>
      </c>
      <c r="AZ15" s="89">
        <f t="shared" si="34"/>
        <v>18350</v>
      </c>
    </row>
    <row r="16" spans="1:52">
      <c r="B16" s="9" t="s">
        <v>259</v>
      </c>
      <c r="C16" s="8"/>
      <c r="D16" s="8"/>
      <c r="E16" s="82"/>
      <c r="F16" s="117">
        <f t="shared" ref="F16:N16" ca="1" si="36">SUM(F7:F15)</f>
        <v>34674.089000000007</v>
      </c>
      <c r="G16" s="117">
        <f t="shared" ca="1" si="36"/>
        <v>43029.045999999995</v>
      </c>
      <c r="H16" s="117">
        <f t="shared" ca="1" si="36"/>
        <v>64036.490000000005</v>
      </c>
      <c r="I16" s="117">
        <f t="shared" ca="1" si="36"/>
        <v>78233.663</v>
      </c>
      <c r="J16" s="117">
        <f t="shared" ca="1" si="36"/>
        <v>99758.87999999999</v>
      </c>
      <c r="K16" s="117">
        <f t="shared" ca="1" si="36"/>
        <v>151169</v>
      </c>
      <c r="L16" s="117">
        <f t="shared" ca="1" si="36"/>
        <v>177060.89185757871</v>
      </c>
      <c r="M16" s="117">
        <f t="shared" ca="1" si="36"/>
        <v>178784.61691268822</v>
      </c>
      <c r="N16" s="117">
        <f t="shared" ca="1" si="36"/>
        <v>193238.40478853142</v>
      </c>
      <c r="O16" s="82"/>
      <c r="P16" s="82"/>
      <c r="Q16" s="82"/>
      <c r="R16" s="82"/>
      <c r="S16" s="82"/>
      <c r="T16" s="117">
        <f t="shared" ref="T16:AZ16" si="37">SUM(T7:T15)</f>
        <v>34674.089000000007</v>
      </c>
      <c r="U16" s="117">
        <f t="shared" si="37"/>
        <v>36028.866999999998</v>
      </c>
      <c r="V16" s="117">
        <f t="shared" si="37"/>
        <v>37426.51</v>
      </c>
      <c r="W16" s="117">
        <f t="shared" si="37"/>
        <v>47626.009000000005</v>
      </c>
      <c r="X16" s="117">
        <f t="shared" si="37"/>
        <v>43029.045999999995</v>
      </c>
      <c r="Y16" s="117">
        <f t="shared" si="37"/>
        <v>44430.128999999994</v>
      </c>
      <c r="Z16" s="117">
        <f t="shared" si="37"/>
        <v>54564.425999999999</v>
      </c>
      <c r="AA16" s="117">
        <f t="shared" si="37"/>
        <v>58783.119999999995</v>
      </c>
      <c r="AB16" s="117">
        <f t="shared" si="37"/>
        <v>64036.490000000005</v>
      </c>
      <c r="AC16" s="117">
        <f t="shared" si="37"/>
        <v>66484.892000000007</v>
      </c>
      <c r="AD16" s="117">
        <f t="shared" si="37"/>
        <v>84448.409</v>
      </c>
      <c r="AE16" s="117">
        <f t="shared" si="37"/>
        <v>83219.517999999996</v>
      </c>
      <c r="AF16" s="117">
        <f t="shared" si="37"/>
        <v>78233.663</v>
      </c>
      <c r="AG16" s="117">
        <f t="shared" si="37"/>
        <v>79598.064999999988</v>
      </c>
      <c r="AH16" s="117">
        <f t="shared" si="37"/>
        <v>84912.123999999996</v>
      </c>
      <c r="AI16" s="117">
        <f t="shared" si="37"/>
        <v>88654.814999999988</v>
      </c>
      <c r="AJ16" s="117">
        <f t="shared" si="37"/>
        <v>99758.87999999999</v>
      </c>
      <c r="AK16" s="117">
        <f t="shared" si="37"/>
        <v>119433.38399999999</v>
      </c>
      <c r="AL16" s="117">
        <f t="shared" si="37"/>
        <v>136084</v>
      </c>
      <c r="AM16" s="117">
        <f t="shared" si="37"/>
        <v>155069</v>
      </c>
      <c r="AN16" s="117">
        <f t="shared" si="37"/>
        <v>151169</v>
      </c>
      <c r="AO16" s="117">
        <f t="shared" ca="1" si="37"/>
        <v>182092.64902299645</v>
      </c>
      <c r="AP16" s="117">
        <f t="shared" ca="1" si="37"/>
        <v>176628.01115257674</v>
      </c>
      <c r="AQ16" s="117">
        <f t="shared" ca="1" si="37"/>
        <v>205449.0973778395</v>
      </c>
      <c r="AR16" s="117">
        <f t="shared" ca="1" si="37"/>
        <v>177060.89185757871</v>
      </c>
      <c r="AS16" s="117">
        <f t="shared" ca="1" si="37"/>
        <v>221989.19078655593</v>
      </c>
      <c r="AT16" s="117">
        <f t="shared" ca="1" si="37"/>
        <v>168921.075833462</v>
      </c>
      <c r="AU16" s="117">
        <f t="shared" ca="1" si="37"/>
        <v>257109.00467444834</v>
      </c>
      <c r="AV16" s="117">
        <f t="shared" ca="1" si="37"/>
        <v>178784.61691268822</v>
      </c>
      <c r="AW16" s="117">
        <f t="shared" ca="1" si="37"/>
        <v>280270.62090957013</v>
      </c>
      <c r="AX16" s="117">
        <f t="shared" ca="1" si="37"/>
        <v>178735.5404553187</v>
      </c>
      <c r="AY16" s="117">
        <f t="shared" ca="1" si="37"/>
        <v>322269.6825891161</v>
      </c>
      <c r="AZ16" s="117">
        <f t="shared" ca="1" si="37"/>
        <v>193238.40478853142</v>
      </c>
    </row>
    <row r="17" spans="2:52">
      <c r="B17" s="9"/>
      <c r="C17" s="8"/>
      <c r="D17" s="8"/>
      <c r="E17" s="82"/>
      <c r="F17" s="117"/>
      <c r="G17" s="117"/>
      <c r="H17" s="117"/>
      <c r="I17" s="117"/>
      <c r="J17" s="117"/>
      <c r="K17" s="117"/>
      <c r="L17" s="117"/>
      <c r="M17" s="117"/>
      <c r="N17" s="117"/>
      <c r="O17" s="82"/>
      <c r="P17" s="82"/>
      <c r="Q17" s="82"/>
      <c r="R17" s="82"/>
      <c r="S17" s="82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2:52">
      <c r="B18" s="3" t="s">
        <v>258</v>
      </c>
      <c r="E18" s="58"/>
      <c r="F18" s="109">
        <f t="shared" ref="F18:M25" ca="1" si="38">OFFSET($P18,0,F$2,1,1)</f>
        <v>3887.877</v>
      </c>
      <c r="G18" s="109">
        <f t="shared" ca="1" si="38"/>
        <v>5370.268</v>
      </c>
      <c r="H18" s="109">
        <f t="shared" ca="1" si="38"/>
        <v>8705.3639999999996</v>
      </c>
      <c r="I18" s="109">
        <f t="shared" ca="1" si="38"/>
        <v>10627.127</v>
      </c>
      <c r="J18" s="109">
        <f t="shared" ca="1" si="38"/>
        <v>11294.348</v>
      </c>
      <c r="K18" s="109">
        <f t="shared" ca="1" si="38"/>
        <v>12475</v>
      </c>
      <c r="L18" s="109">
        <f t="shared" ca="1" si="38"/>
        <v>14210.597120655073</v>
      </c>
      <c r="M18" s="109">
        <f t="shared" ca="1" si="38"/>
        <v>16615.857402142316</v>
      </c>
      <c r="N18" s="109">
        <f t="shared" ref="N18:N25" ca="1" si="39">OFFSET($P18,0,N$2,1,1)</f>
        <v>19651.649396571611</v>
      </c>
      <c r="O18" s="58"/>
      <c r="P18" s="58"/>
      <c r="Q18" s="58"/>
      <c r="R18" s="58"/>
      <c r="S18" s="58"/>
      <c r="T18" s="120">
        <v>3887.877</v>
      </c>
      <c r="U18" s="120">
        <v>3872.6840000000002</v>
      </c>
      <c r="V18" s="120">
        <v>4231.3649999999998</v>
      </c>
      <c r="W18" s="120">
        <v>4600.2520000000004</v>
      </c>
      <c r="X18" s="120">
        <v>5370.268</v>
      </c>
      <c r="Y18" s="120">
        <v>6255.7430000000004</v>
      </c>
      <c r="Z18" s="120">
        <v>7232.49</v>
      </c>
      <c r="AA18" s="120">
        <v>8138.3909999999996</v>
      </c>
      <c r="AB18" s="120">
        <v>8705.3639999999996</v>
      </c>
      <c r="AC18" s="120">
        <v>9153.7909999999993</v>
      </c>
      <c r="AD18" s="120">
        <v>9863.2129999999997</v>
      </c>
      <c r="AE18" s="120">
        <v>10564.579</v>
      </c>
      <c r="AF18" s="120">
        <v>10627.127</v>
      </c>
      <c r="AG18" s="120">
        <v>10489.45</v>
      </c>
      <c r="AH18" s="120">
        <v>11016.548000000001</v>
      </c>
      <c r="AI18" s="120">
        <v>11181.883</v>
      </c>
      <c r="AJ18" s="120">
        <v>11294.348</v>
      </c>
      <c r="AK18" s="120">
        <v>11144.763999999999</v>
      </c>
      <c r="AL18" s="120">
        <v>11641</v>
      </c>
      <c r="AM18" s="120">
        <v>12058</v>
      </c>
      <c r="AN18" s="120">
        <v>12475</v>
      </c>
      <c r="AO18" s="109">
        <f t="shared" ref="AO18:AV18" ca="1" si="40">AO203</f>
        <v>12699.648246655317</v>
      </c>
      <c r="AP18" s="109">
        <f t="shared" ca="1" si="40"/>
        <v>13152.577948346478</v>
      </c>
      <c r="AQ18" s="109">
        <f t="shared" ca="1" si="40"/>
        <v>13706.255459329135</v>
      </c>
      <c r="AR18" s="109">
        <f t="shared" ca="1" si="40"/>
        <v>14210.597120655073</v>
      </c>
      <c r="AS18" s="109">
        <f t="shared" ca="1" si="40"/>
        <v>14626.471531262057</v>
      </c>
      <c r="AT18" s="109">
        <f t="shared" ca="1" si="40"/>
        <v>15251.173313635883</v>
      </c>
      <c r="AU18" s="109">
        <f t="shared" ca="1" si="40"/>
        <v>15997.454636606823</v>
      </c>
      <c r="AV18" s="109">
        <f t="shared" ca="1" si="40"/>
        <v>16615.857402142316</v>
      </c>
      <c r="AW18" s="109">
        <f t="shared" ref="AW18:AZ18" ca="1" si="41">AW203</f>
        <v>17173.529688548864</v>
      </c>
      <c r="AX18" s="109">
        <f t="shared" ca="1" si="41"/>
        <v>17943.517051559586</v>
      </c>
      <c r="AY18" s="109">
        <f t="shared" ca="1" si="41"/>
        <v>18841.99120673686</v>
      </c>
      <c r="AZ18" s="109">
        <f t="shared" ca="1" si="41"/>
        <v>19651.649396571611</v>
      </c>
    </row>
    <row r="19" spans="2:52">
      <c r="B19" s="3" t="s">
        <v>257</v>
      </c>
      <c r="E19" s="58"/>
      <c r="F19" s="109">
        <f t="shared" ca="1" si="38"/>
        <v>1587.665</v>
      </c>
      <c r="G19" s="109">
        <f t="shared" ca="1" si="38"/>
        <v>3630.3150000000001</v>
      </c>
      <c r="H19" s="109">
        <f t="shared" ca="1" si="38"/>
        <v>3574.3589999999999</v>
      </c>
      <c r="I19" s="109">
        <f t="shared" ca="1" si="38"/>
        <v>3334.6190000000001</v>
      </c>
      <c r="J19" s="109">
        <f t="shared" ca="1" si="38"/>
        <v>3872.2269999999999</v>
      </c>
      <c r="K19" s="109">
        <f t="shared" ca="1" si="38"/>
        <v>5467</v>
      </c>
      <c r="L19" s="109">
        <f t="shared" ca="1" si="38"/>
        <v>6555.7940517818133</v>
      </c>
      <c r="M19" s="109">
        <f t="shared" ca="1" si="38"/>
        <v>6109.2863324218133</v>
      </c>
      <c r="N19" s="109">
        <f t="shared" ca="1" si="39"/>
        <v>4186.4928722158866</v>
      </c>
      <c r="O19" s="58"/>
      <c r="P19" s="58"/>
      <c r="Q19" s="58"/>
      <c r="R19" s="58"/>
      <c r="S19" s="58"/>
      <c r="T19" s="120">
        <v>1587.665</v>
      </c>
      <c r="U19" s="120">
        <v>1974.2360000000001</v>
      </c>
      <c r="V19" s="120">
        <v>2315.4589999999998</v>
      </c>
      <c r="W19" s="120">
        <v>2304.5279999999998</v>
      </c>
      <c r="X19" s="120">
        <v>3630.3150000000001</v>
      </c>
      <c r="Y19" s="120">
        <v>3625.502</v>
      </c>
      <c r="Z19" s="120">
        <v>3478.03</v>
      </c>
      <c r="AA19" s="120">
        <v>3421.817</v>
      </c>
      <c r="AB19" s="120">
        <v>3574.3589999999999</v>
      </c>
      <c r="AC19" s="120">
        <v>3547.4259999999999</v>
      </c>
      <c r="AD19" s="120">
        <v>3633.241</v>
      </c>
      <c r="AE19" s="120">
        <v>3574.3159999999998</v>
      </c>
      <c r="AF19" s="120">
        <v>3334.6190000000001</v>
      </c>
      <c r="AG19" s="120">
        <v>3421.21</v>
      </c>
      <c r="AH19" s="120">
        <v>3489.6190000000001</v>
      </c>
      <c r="AI19" s="120">
        <v>4185.2629999999999</v>
      </c>
      <c r="AJ19" s="120">
        <v>3872.2269999999999</v>
      </c>
      <c r="AK19" s="120">
        <v>5025.8069999999998</v>
      </c>
      <c r="AL19" s="120">
        <v>4900</v>
      </c>
      <c r="AM19" s="120">
        <v>4895</v>
      </c>
      <c r="AN19" s="120">
        <v>5467</v>
      </c>
      <c r="AO19" s="109">
        <f t="shared" ref="AO19:AV19" ca="1" si="42">AO216</f>
        <v>6188.3028812222483</v>
      </c>
      <c r="AP19" s="109">
        <f t="shared" ca="1" si="42"/>
        <v>6308.56736018027</v>
      </c>
      <c r="AQ19" s="109">
        <f t="shared" ca="1" si="42"/>
        <v>6614.54831886586</v>
      </c>
      <c r="AR19" s="109">
        <f t="shared" ca="1" si="42"/>
        <v>6555.7940517818133</v>
      </c>
      <c r="AS19" s="109">
        <f t="shared" ca="1" si="42"/>
        <v>6557.747929964281</v>
      </c>
      <c r="AT19" s="109">
        <f t="shared" ca="1" si="42"/>
        <v>6384.771644123296</v>
      </c>
      <c r="AU19" s="109">
        <f t="shared" ca="1" si="42"/>
        <v>6412.3873261512927</v>
      </c>
      <c r="AV19" s="109">
        <f t="shared" ca="1" si="42"/>
        <v>6109.2863324218133</v>
      </c>
      <c r="AW19" s="109">
        <f t="shared" ref="AW19:AZ19" ca="1" si="43">AW216</f>
        <v>5621.7459799512299</v>
      </c>
      <c r="AX19" s="109">
        <f t="shared" ca="1" si="43"/>
        <v>4853.9659390356946</v>
      </c>
      <c r="AY19" s="109">
        <f t="shared" ca="1" si="43"/>
        <v>4577.6219108994874</v>
      </c>
      <c r="AZ19" s="109">
        <f t="shared" ca="1" si="43"/>
        <v>4186.4928722158866</v>
      </c>
    </row>
    <row r="20" spans="2:52">
      <c r="B20" s="3" t="s">
        <v>256</v>
      </c>
      <c r="E20" s="58"/>
      <c r="F20" s="109">
        <f t="shared" ca="1" si="38"/>
        <v>3877.5639999999999</v>
      </c>
      <c r="G20" s="109">
        <f t="shared" ca="1" si="38"/>
        <v>16864.349999999999</v>
      </c>
      <c r="H20" s="109">
        <f t="shared" ca="1" si="38"/>
        <v>17418.895</v>
      </c>
      <c r="I20" s="109">
        <f t="shared" ca="1" si="38"/>
        <v>15395.573</v>
      </c>
      <c r="J20" s="109">
        <f t="shared" ca="1" si="38"/>
        <v>15342.096</v>
      </c>
      <c r="K20" s="109">
        <f t="shared" ca="1" si="38"/>
        <v>15806</v>
      </c>
      <c r="L20" s="109">
        <f t="shared" ca="1" si="38"/>
        <v>15806</v>
      </c>
      <c r="M20" s="109">
        <f t="shared" ca="1" si="38"/>
        <v>15806</v>
      </c>
      <c r="N20" s="109">
        <f t="shared" ca="1" si="39"/>
        <v>15806</v>
      </c>
      <c r="O20" s="58"/>
      <c r="P20" s="58"/>
      <c r="Q20" s="58"/>
      <c r="R20" s="58"/>
      <c r="S20" s="58"/>
      <c r="T20" s="120">
        <v>3877.5639999999999</v>
      </c>
      <c r="U20" s="120">
        <v>4151.2579999999998</v>
      </c>
      <c r="V20" s="120">
        <v>5983.192</v>
      </c>
      <c r="W20" s="120">
        <v>6202.4269999999997</v>
      </c>
      <c r="X20" s="120">
        <v>16864.349999999999</v>
      </c>
      <c r="Y20" s="120">
        <v>17146.417000000001</v>
      </c>
      <c r="Z20" s="120">
        <v>17128.542000000001</v>
      </c>
      <c r="AA20" s="120">
        <v>17324.508000000002</v>
      </c>
      <c r="AB20" s="120">
        <v>17418.895</v>
      </c>
      <c r="AC20" s="120">
        <v>17435.437000000002</v>
      </c>
      <c r="AD20" s="120">
        <v>17727.971000000001</v>
      </c>
      <c r="AE20" s="120">
        <v>17699.331999999999</v>
      </c>
      <c r="AF20" s="120">
        <v>15395.573</v>
      </c>
      <c r="AG20" s="120">
        <v>15395.573</v>
      </c>
      <c r="AH20" s="120">
        <v>15267.732</v>
      </c>
      <c r="AI20" s="120">
        <v>15267.733</v>
      </c>
      <c r="AJ20" s="120">
        <v>15342.096</v>
      </c>
      <c r="AK20" s="120">
        <v>15841.57</v>
      </c>
      <c r="AL20" s="120">
        <v>15847</v>
      </c>
      <c r="AM20" s="120">
        <v>15810</v>
      </c>
      <c r="AN20" s="120">
        <v>15806</v>
      </c>
      <c r="AO20" s="89">
        <f t="shared" ref="AO20:AV20" si="44">AN20</f>
        <v>15806</v>
      </c>
      <c r="AP20" s="89">
        <f t="shared" si="44"/>
        <v>15806</v>
      </c>
      <c r="AQ20" s="89">
        <f t="shared" si="44"/>
        <v>15806</v>
      </c>
      <c r="AR20" s="89">
        <f t="shared" si="44"/>
        <v>15806</v>
      </c>
      <c r="AS20" s="89">
        <f t="shared" si="44"/>
        <v>15806</v>
      </c>
      <c r="AT20" s="89">
        <f t="shared" si="44"/>
        <v>15806</v>
      </c>
      <c r="AU20" s="89">
        <f t="shared" si="44"/>
        <v>15806</v>
      </c>
      <c r="AV20" s="89">
        <f t="shared" si="44"/>
        <v>15806</v>
      </c>
      <c r="AW20" s="89">
        <f t="shared" ref="AW20:AW23" si="45">AV20</f>
        <v>15806</v>
      </c>
      <c r="AX20" s="89">
        <f t="shared" ref="AX20:AX23" si="46">AW20</f>
        <v>15806</v>
      </c>
      <c r="AY20" s="89">
        <f t="shared" ref="AY20:AY23" si="47">AX20</f>
        <v>15806</v>
      </c>
      <c r="AZ20" s="89">
        <f t="shared" ref="AZ20:AZ23" si="48">AY20</f>
        <v>15806</v>
      </c>
    </row>
    <row r="21" spans="2:52">
      <c r="B21" s="3" t="s">
        <v>255</v>
      </c>
      <c r="E21" s="58"/>
      <c r="F21" s="109">
        <f t="shared" ca="1" si="38"/>
        <v>803.49900000000002</v>
      </c>
      <c r="G21" s="109">
        <f t="shared" ca="1" si="38"/>
        <v>634.77700000000004</v>
      </c>
      <c r="H21" s="109">
        <f t="shared" ca="1" si="38"/>
        <v>3544.9229999999998</v>
      </c>
      <c r="I21" s="109">
        <f t="shared" ca="1" si="38"/>
        <v>37958.591</v>
      </c>
      <c r="J21" s="109">
        <f t="shared" ca="1" si="38"/>
        <v>45690.362999999998</v>
      </c>
      <c r="K21" s="109">
        <f t="shared" ca="1" si="38"/>
        <v>56283</v>
      </c>
      <c r="L21" s="109">
        <f t="shared" ca="1" si="38"/>
        <v>56283</v>
      </c>
      <c r="M21" s="109">
        <f t="shared" ca="1" si="38"/>
        <v>56283</v>
      </c>
      <c r="N21" s="109">
        <f t="shared" ca="1" si="39"/>
        <v>56283</v>
      </c>
      <c r="O21" s="58"/>
      <c r="P21" s="58"/>
      <c r="Q21" s="58"/>
      <c r="R21" s="58"/>
      <c r="S21" s="58"/>
      <c r="T21" s="120">
        <v>803.49900000000002</v>
      </c>
      <c r="U21" s="120">
        <v>909.29700000000003</v>
      </c>
      <c r="V21" s="120">
        <v>1603.5319999999999</v>
      </c>
      <c r="W21" s="120">
        <v>2133.6819999999998</v>
      </c>
      <c r="X21" s="120">
        <v>634.77700000000004</v>
      </c>
      <c r="Y21" s="120">
        <v>966.76</v>
      </c>
      <c r="Z21" s="120">
        <v>1888.41</v>
      </c>
      <c r="AA21" s="120">
        <v>2382.9769999999999</v>
      </c>
      <c r="AB21" s="120">
        <v>3544.9229999999998</v>
      </c>
      <c r="AC21" s="120">
        <v>4713.5720000000001</v>
      </c>
      <c r="AD21" s="120">
        <v>5582.9520000000002</v>
      </c>
      <c r="AE21" s="120">
        <v>8176.6549999999997</v>
      </c>
      <c r="AF21" s="120">
        <v>37958.591</v>
      </c>
      <c r="AG21" s="120">
        <v>38299.459000000003</v>
      </c>
      <c r="AH21" s="120">
        <v>40642.995999999999</v>
      </c>
      <c r="AI21" s="120">
        <v>41229.703999999998</v>
      </c>
      <c r="AJ21" s="120">
        <v>45690.362999999998</v>
      </c>
      <c r="AK21" s="120">
        <v>45668.766000000003</v>
      </c>
      <c r="AL21" s="120">
        <v>45007</v>
      </c>
      <c r="AM21" s="120">
        <v>46214</v>
      </c>
      <c r="AN21" s="120">
        <v>56283</v>
      </c>
      <c r="AO21" s="89">
        <f t="shared" ref="AO21:AV21" si="49">AN21</f>
        <v>56283</v>
      </c>
      <c r="AP21" s="89">
        <f t="shared" si="49"/>
        <v>56283</v>
      </c>
      <c r="AQ21" s="89">
        <f t="shared" si="49"/>
        <v>56283</v>
      </c>
      <c r="AR21" s="89">
        <f t="shared" si="49"/>
        <v>56283</v>
      </c>
      <c r="AS21" s="89">
        <f t="shared" si="49"/>
        <v>56283</v>
      </c>
      <c r="AT21" s="89">
        <f t="shared" si="49"/>
        <v>56283</v>
      </c>
      <c r="AU21" s="89">
        <f t="shared" si="49"/>
        <v>56283</v>
      </c>
      <c r="AV21" s="89">
        <f t="shared" si="49"/>
        <v>56283</v>
      </c>
      <c r="AW21" s="89">
        <f t="shared" si="45"/>
        <v>56283</v>
      </c>
      <c r="AX21" s="89">
        <f t="shared" si="46"/>
        <v>56283</v>
      </c>
      <c r="AY21" s="89">
        <f t="shared" si="47"/>
        <v>56283</v>
      </c>
      <c r="AZ21" s="89">
        <f t="shared" si="48"/>
        <v>56283</v>
      </c>
    </row>
    <row r="22" spans="2:52">
      <c r="B22" s="3" t="s">
        <v>254</v>
      </c>
      <c r="E22" s="58"/>
      <c r="F22" s="109">
        <f t="shared" ca="1" si="38"/>
        <v>53.302999999999997</v>
      </c>
      <c r="G22" s="109">
        <f t="shared" ca="1" si="38"/>
        <v>97.94</v>
      </c>
      <c r="H22" s="109">
        <f t="shared" ca="1" si="38"/>
        <v>944.07899999999995</v>
      </c>
      <c r="I22" s="109">
        <f t="shared" ca="1" si="38"/>
        <v>1008.174</v>
      </c>
      <c r="J22" s="109">
        <f t="shared" ca="1" si="38"/>
        <v>1100.23</v>
      </c>
      <c r="K22" s="109">
        <f t="shared" ca="1" si="38"/>
        <v>1532</v>
      </c>
      <c r="L22" s="109">
        <f t="shared" ca="1" si="38"/>
        <v>1532</v>
      </c>
      <c r="M22" s="109">
        <f t="shared" ca="1" si="38"/>
        <v>1532</v>
      </c>
      <c r="N22" s="109">
        <f t="shared" ca="1" si="39"/>
        <v>1532</v>
      </c>
      <c r="O22" s="58"/>
      <c r="P22" s="58"/>
      <c r="Q22" s="58"/>
      <c r="R22" s="58"/>
      <c r="S22" s="58"/>
      <c r="T22" s="120">
        <v>53.302999999999997</v>
      </c>
      <c r="U22" s="120">
        <v>53.625</v>
      </c>
      <c r="V22" s="120">
        <v>48.575000000000003</v>
      </c>
      <c r="W22" s="120">
        <v>48.573999999999998</v>
      </c>
      <c r="X22" s="120">
        <v>97.94</v>
      </c>
      <c r="Y22" s="120">
        <v>96.436000000000007</v>
      </c>
      <c r="Z22" s="120">
        <v>96.528999999999996</v>
      </c>
      <c r="AA22" s="120">
        <v>100.01900000000001</v>
      </c>
      <c r="AB22" s="120">
        <v>944.07899999999995</v>
      </c>
      <c r="AC22" s="120">
        <v>257.928</v>
      </c>
      <c r="AD22" s="120">
        <v>258.01100000000002</v>
      </c>
      <c r="AE22" s="120">
        <v>258.649</v>
      </c>
      <c r="AF22" s="120">
        <v>1008.174</v>
      </c>
      <c r="AG22" s="120">
        <v>1269.0360000000001</v>
      </c>
      <c r="AH22" s="120">
        <v>1131.4359999999999</v>
      </c>
      <c r="AI22" s="120">
        <v>930.11699999999996</v>
      </c>
      <c r="AJ22" s="120">
        <v>1100.23</v>
      </c>
      <c r="AK22" s="120">
        <v>1413.415</v>
      </c>
      <c r="AL22" s="120">
        <v>1494</v>
      </c>
      <c r="AM22" s="120">
        <v>1532</v>
      </c>
      <c r="AN22" s="120">
        <v>1532</v>
      </c>
      <c r="AO22" s="89">
        <f t="shared" ref="AO22:AV22" si="50">AN22</f>
        <v>1532</v>
      </c>
      <c r="AP22" s="89">
        <f t="shared" si="50"/>
        <v>1532</v>
      </c>
      <c r="AQ22" s="89">
        <f t="shared" si="50"/>
        <v>1532</v>
      </c>
      <c r="AR22" s="89">
        <f t="shared" si="50"/>
        <v>1532</v>
      </c>
      <c r="AS22" s="89">
        <f t="shared" si="50"/>
        <v>1532</v>
      </c>
      <c r="AT22" s="89">
        <f t="shared" si="50"/>
        <v>1532</v>
      </c>
      <c r="AU22" s="89">
        <f t="shared" si="50"/>
        <v>1532</v>
      </c>
      <c r="AV22" s="89">
        <f t="shared" si="50"/>
        <v>1532</v>
      </c>
      <c r="AW22" s="89">
        <f t="shared" si="45"/>
        <v>1532</v>
      </c>
      <c r="AX22" s="89">
        <f t="shared" si="46"/>
        <v>1532</v>
      </c>
      <c r="AY22" s="89">
        <f t="shared" si="47"/>
        <v>1532</v>
      </c>
      <c r="AZ22" s="89">
        <f t="shared" si="48"/>
        <v>1532</v>
      </c>
    </row>
    <row r="23" spans="2:52">
      <c r="B23" s="3" t="s">
        <v>253</v>
      </c>
      <c r="E23" s="58"/>
      <c r="F23" s="109">
        <f t="shared" ca="1" si="38"/>
        <v>0</v>
      </c>
      <c r="G23" s="109">
        <f t="shared" ca="1" si="38"/>
        <v>370.916</v>
      </c>
      <c r="H23" s="109">
        <f t="shared" ca="1" si="38"/>
        <v>0</v>
      </c>
      <c r="I23" s="109">
        <f t="shared" ca="1" si="38"/>
        <v>9.7249999999999996</v>
      </c>
      <c r="J23" s="109">
        <f t="shared" ca="1" si="38"/>
        <v>11.153</v>
      </c>
      <c r="K23" s="109">
        <f t="shared" ca="1" si="38"/>
        <v>9</v>
      </c>
      <c r="L23" s="109">
        <f t="shared" ca="1" si="38"/>
        <v>9</v>
      </c>
      <c r="M23" s="109">
        <f t="shared" ca="1" si="38"/>
        <v>9</v>
      </c>
      <c r="N23" s="109">
        <f t="shared" ca="1" si="39"/>
        <v>9</v>
      </c>
      <c r="O23" s="58"/>
      <c r="P23" s="58"/>
      <c r="Q23" s="58"/>
      <c r="R23" s="58"/>
      <c r="S23" s="58"/>
      <c r="T23" s="120">
        <v>0</v>
      </c>
      <c r="U23" s="120">
        <v>0</v>
      </c>
      <c r="V23" s="120">
        <v>0</v>
      </c>
      <c r="W23" s="120">
        <v>0</v>
      </c>
      <c r="X23" s="120">
        <v>370.916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/>
      <c r="AE23" s="120">
        <v>0</v>
      </c>
      <c r="AF23" s="120">
        <v>9.7249999999999996</v>
      </c>
      <c r="AG23" s="120">
        <v>9.7449999999999992</v>
      </c>
      <c r="AH23" s="120">
        <v>9.4909999999999997</v>
      </c>
      <c r="AI23" s="120">
        <v>9.4909999999999997</v>
      </c>
      <c r="AJ23" s="120">
        <v>11.153</v>
      </c>
      <c r="AK23" s="120">
        <v>10.622999999999999</v>
      </c>
      <c r="AL23" s="120">
        <v>11</v>
      </c>
      <c r="AM23" s="120">
        <v>10</v>
      </c>
      <c r="AN23" s="120">
        <v>9</v>
      </c>
      <c r="AO23" s="89">
        <f t="shared" ref="AO23:AV23" si="51">AN23</f>
        <v>9</v>
      </c>
      <c r="AP23" s="89">
        <f t="shared" si="51"/>
        <v>9</v>
      </c>
      <c r="AQ23" s="89">
        <f t="shared" si="51"/>
        <v>9</v>
      </c>
      <c r="AR23" s="89">
        <f t="shared" si="51"/>
        <v>9</v>
      </c>
      <c r="AS23" s="89">
        <f t="shared" si="51"/>
        <v>9</v>
      </c>
      <c r="AT23" s="89">
        <f t="shared" si="51"/>
        <v>9</v>
      </c>
      <c r="AU23" s="89">
        <f t="shared" si="51"/>
        <v>9</v>
      </c>
      <c r="AV23" s="89">
        <f t="shared" si="51"/>
        <v>9</v>
      </c>
      <c r="AW23" s="89">
        <f t="shared" si="45"/>
        <v>9</v>
      </c>
      <c r="AX23" s="89">
        <f t="shared" si="46"/>
        <v>9</v>
      </c>
      <c r="AY23" s="89">
        <f t="shared" si="47"/>
        <v>9</v>
      </c>
      <c r="AZ23" s="89">
        <f t="shared" si="48"/>
        <v>9</v>
      </c>
    </row>
    <row r="24" spans="2:52">
      <c r="B24" s="3" t="s">
        <v>252</v>
      </c>
      <c r="E24" s="58"/>
      <c r="F24" s="109">
        <f t="shared" ca="1" si="38"/>
        <v>784.89300000000003</v>
      </c>
      <c r="G24" s="109">
        <f t="shared" ca="1" si="38"/>
        <v>988.072</v>
      </c>
      <c r="H24" s="109">
        <f t="shared" ca="1" si="38"/>
        <v>893.952</v>
      </c>
      <c r="I24" s="109">
        <f t="shared" ca="1" si="38"/>
        <v>1285.836</v>
      </c>
      <c r="J24" s="109">
        <f t="shared" ca="1" si="38"/>
        <v>2219.277</v>
      </c>
      <c r="K24" s="109">
        <f t="shared" ca="1" si="38"/>
        <v>5520</v>
      </c>
      <c r="L24" s="109">
        <f t="shared" ca="1" si="38"/>
        <v>5873.5620745673177</v>
      </c>
      <c r="M24" s="109">
        <f t="shared" ca="1" si="38"/>
        <v>6454.6100444619578</v>
      </c>
      <c r="N24" s="109">
        <f t="shared" ca="1" si="39"/>
        <v>7253.9464599415778</v>
      </c>
      <c r="O24" s="58"/>
      <c r="P24" s="58"/>
      <c r="Q24" s="58"/>
      <c r="R24" s="58"/>
      <c r="S24" s="58"/>
      <c r="T24" s="120">
        <v>784.89300000000003</v>
      </c>
      <c r="U24" s="120">
        <v>850.298</v>
      </c>
      <c r="V24" s="120">
        <v>791.82600000000002</v>
      </c>
      <c r="W24" s="120">
        <v>1028.683</v>
      </c>
      <c r="X24" s="120">
        <v>988.072</v>
      </c>
      <c r="Y24" s="120">
        <v>856.10599999999999</v>
      </c>
      <c r="Z24" s="120">
        <v>1035.4259999999999</v>
      </c>
      <c r="AA24" s="120">
        <v>1075.3969999999999</v>
      </c>
      <c r="AB24" s="120">
        <v>893.952</v>
      </c>
      <c r="AC24" s="120">
        <v>1149.242</v>
      </c>
      <c r="AD24" s="120">
        <v>1197.2919999999999</v>
      </c>
      <c r="AE24" s="120">
        <v>1129.98</v>
      </c>
      <c r="AF24" s="120">
        <v>1285.836</v>
      </c>
      <c r="AG24" s="120">
        <v>1669.0319999999999</v>
      </c>
      <c r="AH24" s="120">
        <v>2474.7869999999998</v>
      </c>
      <c r="AI24" s="120">
        <v>3494.28</v>
      </c>
      <c r="AJ24" s="120">
        <v>2219.277</v>
      </c>
      <c r="AK24" s="120">
        <v>3369.7950000000001</v>
      </c>
      <c r="AL24" s="120">
        <v>3528</v>
      </c>
      <c r="AM24" s="120">
        <v>4169</v>
      </c>
      <c r="AN24" s="120">
        <v>5520</v>
      </c>
      <c r="AO24" s="109">
        <f t="shared" ref="AO24:AV24" ca="1" si="52">AO240</f>
        <v>4502.9275272554096</v>
      </c>
      <c r="AP24" s="109">
        <f t="shared" ca="1" si="52"/>
        <v>5390.5072138794912</v>
      </c>
      <c r="AQ24" s="109">
        <f t="shared" ca="1" si="52"/>
        <v>5887.0113378706419</v>
      </c>
      <c r="AR24" s="109">
        <f t="shared" ca="1" si="52"/>
        <v>5873.5620745673177</v>
      </c>
      <c r="AS24" s="109">
        <f t="shared" ca="1" si="52"/>
        <v>5288.6751999081625</v>
      </c>
      <c r="AT24" s="109">
        <f t="shared" ca="1" si="52"/>
        <v>6099.1604178040288</v>
      </c>
      <c r="AU24" s="109">
        <f t="shared" ca="1" si="52"/>
        <v>6676.0766567335859</v>
      </c>
      <c r="AV24" s="109">
        <f t="shared" ca="1" si="52"/>
        <v>6454.6100444619578</v>
      </c>
      <c r="AW24" s="109">
        <f t="shared" ref="AW24:AZ24" ca="1" si="53">AW240</f>
        <v>5916.6795182158339</v>
      </c>
      <c r="AX24" s="109">
        <f t="shared" ca="1" si="53"/>
        <v>6709.9867295189542</v>
      </c>
      <c r="AY24" s="109">
        <f t="shared" ca="1" si="53"/>
        <v>7299.4879734688684</v>
      </c>
      <c r="AZ24" s="109">
        <f t="shared" ca="1" si="53"/>
        <v>7253.9464599415778</v>
      </c>
    </row>
    <row r="25" spans="2:52">
      <c r="B25" s="3" t="s">
        <v>251</v>
      </c>
      <c r="E25" s="58"/>
      <c r="F25" s="109">
        <f t="shared" ca="1" si="38"/>
        <v>0</v>
      </c>
      <c r="G25" s="109">
        <f t="shared" ca="1" si="38"/>
        <v>0</v>
      </c>
      <c r="H25" s="109">
        <f t="shared" ca="1" si="38"/>
        <v>0</v>
      </c>
      <c r="I25" s="109">
        <f t="shared" ca="1" si="38"/>
        <v>0</v>
      </c>
      <c r="J25" s="109">
        <f t="shared" ca="1" si="38"/>
        <v>2708.817</v>
      </c>
      <c r="K25" s="109">
        <f t="shared" ca="1" si="38"/>
        <v>3467</v>
      </c>
      <c r="L25" s="109">
        <f t="shared" ca="1" si="38"/>
        <v>4351.6896776156145</v>
      </c>
      <c r="M25" s="109">
        <f t="shared" ca="1" si="38"/>
        <v>5518.7332971041778</v>
      </c>
      <c r="N25" s="109">
        <f t="shared" ca="1" si="39"/>
        <v>7191.5966010943557</v>
      </c>
      <c r="O25" s="58"/>
      <c r="P25" s="58"/>
      <c r="Q25" s="58"/>
      <c r="R25" s="58"/>
      <c r="S25" s="58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>
        <v>2708.817</v>
      </c>
      <c r="AK25" s="120">
        <v>3229.63</v>
      </c>
      <c r="AL25" s="120">
        <v>3648</v>
      </c>
      <c r="AM25" s="120">
        <v>3699</v>
      </c>
      <c r="AN25" s="120">
        <v>3467</v>
      </c>
      <c r="AO25" s="109">
        <f t="shared" ref="AO25:AV25" ca="1" si="54">AO237</f>
        <v>4286.0353206942154</v>
      </c>
      <c r="AP25" s="109">
        <f t="shared" ca="1" si="54"/>
        <v>4101.9226236914992</v>
      </c>
      <c r="AQ25" s="109">
        <f t="shared" ca="1" si="54"/>
        <v>4300.4856064444657</v>
      </c>
      <c r="AR25" s="109">
        <f t="shared" ca="1" si="54"/>
        <v>4351.6896776156145</v>
      </c>
      <c r="AS25" s="109">
        <f t="shared" ca="1" si="54"/>
        <v>4784.3860944239823</v>
      </c>
      <c r="AT25" s="109">
        <f t="shared" ca="1" si="54"/>
        <v>4846.8015054338348</v>
      </c>
      <c r="AU25" s="109">
        <f t="shared" ca="1" si="54"/>
        <v>4821.3867787494237</v>
      </c>
      <c r="AV25" s="109">
        <f t="shared" ca="1" si="54"/>
        <v>5518.7332971041778</v>
      </c>
      <c r="AW25" s="109">
        <f t="shared" ref="AW25:AZ25" ca="1" si="55">AW237</f>
        <v>7226.0667293899105</v>
      </c>
      <c r="AX25" s="109">
        <f t="shared" ca="1" si="55"/>
        <v>7410.919599211511</v>
      </c>
      <c r="AY25" s="109">
        <f t="shared" ca="1" si="55"/>
        <v>7241.0260235337018</v>
      </c>
      <c r="AZ25" s="109">
        <f t="shared" ca="1" si="55"/>
        <v>7191.5966010943557</v>
      </c>
    </row>
    <row r="26" spans="2:52">
      <c r="B26" s="9" t="s">
        <v>250</v>
      </c>
      <c r="E26" s="58"/>
      <c r="F26" s="117">
        <f t="shared" ref="F26:M26" ca="1" si="56">SUM(F18:F25)</f>
        <v>10994.800999999999</v>
      </c>
      <c r="G26" s="117">
        <f t="shared" ca="1" si="56"/>
        <v>27956.637999999999</v>
      </c>
      <c r="H26" s="117">
        <f t="shared" ca="1" si="56"/>
        <v>35081.572</v>
      </c>
      <c r="I26" s="117">
        <f t="shared" ca="1" si="56"/>
        <v>69619.645000000004</v>
      </c>
      <c r="J26" s="117">
        <f t="shared" ca="1" si="56"/>
        <v>82238.510999999999</v>
      </c>
      <c r="K26" s="117">
        <f t="shared" ca="1" si="56"/>
        <v>100559</v>
      </c>
      <c r="L26" s="117">
        <f t="shared" ca="1" si="56"/>
        <v>104621.64292461982</v>
      </c>
      <c r="M26" s="117">
        <f t="shared" ca="1" si="56"/>
        <v>108328.48707613026</v>
      </c>
      <c r="N26" s="117">
        <f t="shared" ref="N26" ca="1" si="57">SUM(N18:N25)</f>
        <v>111913.68532982343</v>
      </c>
      <c r="O26" s="58"/>
      <c r="P26" s="58"/>
      <c r="Q26" s="58"/>
      <c r="R26" s="58"/>
      <c r="S26" s="58"/>
      <c r="T26" s="117">
        <f t="shared" ref="T26:AV26" si="58">SUM(T18:T25)</f>
        <v>10994.800999999999</v>
      </c>
      <c r="U26" s="117">
        <f t="shared" si="58"/>
        <v>11811.398000000001</v>
      </c>
      <c r="V26" s="117">
        <f t="shared" si="58"/>
        <v>14973.949000000001</v>
      </c>
      <c r="W26" s="117">
        <f t="shared" si="58"/>
        <v>16318.146000000001</v>
      </c>
      <c r="X26" s="117">
        <f t="shared" si="58"/>
        <v>27956.637999999999</v>
      </c>
      <c r="Y26" s="117">
        <f t="shared" si="58"/>
        <v>28946.964000000004</v>
      </c>
      <c r="Z26" s="117">
        <f t="shared" si="58"/>
        <v>30859.427</v>
      </c>
      <c r="AA26" s="117">
        <f t="shared" si="58"/>
        <v>32443.109</v>
      </c>
      <c r="AB26" s="117">
        <f t="shared" si="58"/>
        <v>35081.572</v>
      </c>
      <c r="AC26" s="117">
        <f t="shared" si="58"/>
        <v>36257.396000000001</v>
      </c>
      <c r="AD26" s="117">
        <f t="shared" si="58"/>
        <v>38262.68</v>
      </c>
      <c r="AE26" s="117">
        <f t="shared" si="58"/>
        <v>41403.510999999999</v>
      </c>
      <c r="AF26" s="117">
        <f t="shared" si="58"/>
        <v>69619.645000000004</v>
      </c>
      <c r="AG26" s="117">
        <f t="shared" si="58"/>
        <v>70553.505000000005</v>
      </c>
      <c r="AH26" s="117">
        <f t="shared" si="58"/>
        <v>74032.608999999997</v>
      </c>
      <c r="AI26" s="117">
        <f t="shared" si="58"/>
        <v>76298.47099999999</v>
      </c>
      <c r="AJ26" s="117">
        <f t="shared" si="58"/>
        <v>82238.510999999999</v>
      </c>
      <c r="AK26" s="117">
        <f t="shared" si="58"/>
        <v>85704.37000000001</v>
      </c>
      <c r="AL26" s="117">
        <f t="shared" si="58"/>
        <v>86076</v>
      </c>
      <c r="AM26" s="117">
        <f t="shared" si="58"/>
        <v>88387</v>
      </c>
      <c r="AN26" s="117">
        <f t="shared" si="58"/>
        <v>100559</v>
      </c>
      <c r="AO26" s="117">
        <f t="shared" ca="1" si="58"/>
        <v>101306.91397582718</v>
      </c>
      <c r="AP26" s="117">
        <f t="shared" ca="1" si="58"/>
        <v>102583.57514609775</v>
      </c>
      <c r="AQ26" s="117">
        <f t="shared" ca="1" si="58"/>
        <v>104138.3007225101</v>
      </c>
      <c r="AR26" s="117">
        <f t="shared" ca="1" si="58"/>
        <v>104621.64292461982</v>
      </c>
      <c r="AS26" s="117">
        <f t="shared" ca="1" si="58"/>
        <v>104887.28075555849</v>
      </c>
      <c r="AT26" s="117">
        <f t="shared" ca="1" si="58"/>
        <v>106211.90688099703</v>
      </c>
      <c r="AU26" s="117">
        <f t="shared" ca="1" si="58"/>
        <v>107537.30539824112</v>
      </c>
      <c r="AV26" s="117">
        <f t="shared" ca="1" si="58"/>
        <v>108328.48707613026</v>
      </c>
      <c r="AW26" s="117">
        <f t="shared" ref="AW26:AZ26" ca="1" si="59">SUM(AW18:AW25)</f>
        <v>109568.02191610585</v>
      </c>
      <c r="AX26" s="117">
        <f t="shared" ca="1" si="59"/>
        <v>110548.38931932574</v>
      </c>
      <c r="AY26" s="117">
        <f t="shared" ca="1" si="59"/>
        <v>111590.12711463893</v>
      </c>
      <c r="AZ26" s="117">
        <f t="shared" ca="1" si="59"/>
        <v>111913.68532982343</v>
      </c>
    </row>
    <row r="27" spans="2:52">
      <c r="B27" s="9"/>
      <c r="E27" s="58"/>
      <c r="F27" s="109"/>
      <c r="G27" s="109"/>
      <c r="H27" s="109"/>
      <c r="I27" s="109"/>
      <c r="J27" s="115"/>
      <c r="K27" s="115"/>
      <c r="L27" s="115"/>
      <c r="M27" s="115"/>
      <c r="N27" s="115"/>
      <c r="O27" s="58"/>
      <c r="P27" s="58"/>
      <c r="Q27" s="58"/>
      <c r="R27" s="58"/>
      <c r="S27" s="58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70"/>
      <c r="AO27" s="70"/>
      <c r="AP27" s="70"/>
    </row>
    <row r="28" spans="2:52">
      <c r="B28" s="9" t="s">
        <v>249</v>
      </c>
      <c r="C28" s="8"/>
      <c r="D28" s="8"/>
      <c r="E28" s="82"/>
      <c r="F28" s="117">
        <f t="shared" ref="F28:M28" ca="1" si="60">F26+F16</f>
        <v>45668.890000000007</v>
      </c>
      <c r="G28" s="117">
        <f t="shared" ca="1" si="60"/>
        <v>70985.683999999994</v>
      </c>
      <c r="H28" s="117">
        <f t="shared" ca="1" si="60"/>
        <v>99118.062000000005</v>
      </c>
      <c r="I28" s="117">
        <f t="shared" ca="1" si="60"/>
        <v>147853.30800000002</v>
      </c>
      <c r="J28" s="117">
        <f t="shared" ca="1" si="60"/>
        <v>181997.391</v>
      </c>
      <c r="K28" s="117">
        <f t="shared" ca="1" si="60"/>
        <v>251728</v>
      </c>
      <c r="L28" s="117">
        <f t="shared" ca="1" si="60"/>
        <v>281682.53478219855</v>
      </c>
      <c r="M28" s="117">
        <f t="shared" ca="1" si="60"/>
        <v>287113.10398881848</v>
      </c>
      <c r="N28" s="117">
        <f t="shared" ref="N28" ca="1" si="61">N26+N16</f>
        <v>305152.09011835488</v>
      </c>
      <c r="O28" s="82"/>
      <c r="P28" s="82"/>
      <c r="Q28" s="82"/>
      <c r="R28" s="82"/>
      <c r="S28" s="82"/>
      <c r="T28" s="117">
        <f t="shared" ref="T28:AV28" si="62">T26+T16</f>
        <v>45668.890000000007</v>
      </c>
      <c r="U28" s="117">
        <f t="shared" si="62"/>
        <v>47840.264999999999</v>
      </c>
      <c r="V28" s="117">
        <f t="shared" si="62"/>
        <v>52400.459000000003</v>
      </c>
      <c r="W28" s="117">
        <f t="shared" si="62"/>
        <v>63944.155000000006</v>
      </c>
      <c r="X28" s="117">
        <f t="shared" si="62"/>
        <v>70985.683999999994</v>
      </c>
      <c r="Y28" s="117">
        <f t="shared" si="62"/>
        <v>73377.092999999993</v>
      </c>
      <c r="Z28" s="117">
        <f t="shared" si="62"/>
        <v>85423.853000000003</v>
      </c>
      <c r="AA28" s="117">
        <f t="shared" si="62"/>
        <v>91226.228999999992</v>
      </c>
      <c r="AB28" s="117">
        <f t="shared" si="62"/>
        <v>99118.062000000005</v>
      </c>
      <c r="AC28" s="117">
        <f t="shared" si="62"/>
        <v>102742.288</v>
      </c>
      <c r="AD28" s="117">
        <f t="shared" si="62"/>
        <v>122711.08900000001</v>
      </c>
      <c r="AE28" s="117">
        <f t="shared" si="62"/>
        <v>124623.02899999999</v>
      </c>
      <c r="AF28" s="117">
        <f t="shared" si="62"/>
        <v>147853.30800000002</v>
      </c>
      <c r="AG28" s="117">
        <f t="shared" si="62"/>
        <v>150151.57</v>
      </c>
      <c r="AH28" s="117">
        <f t="shared" si="62"/>
        <v>158944.73300000001</v>
      </c>
      <c r="AI28" s="117">
        <f t="shared" si="62"/>
        <v>164953.28599999996</v>
      </c>
      <c r="AJ28" s="117">
        <f t="shared" si="62"/>
        <v>181997.391</v>
      </c>
      <c r="AK28" s="117">
        <f t="shared" si="62"/>
        <v>205137.75400000002</v>
      </c>
      <c r="AL28" s="117">
        <f t="shared" si="62"/>
        <v>222160</v>
      </c>
      <c r="AM28" s="117">
        <f t="shared" si="62"/>
        <v>243456</v>
      </c>
      <c r="AN28" s="117">
        <f t="shared" si="62"/>
        <v>251728</v>
      </c>
      <c r="AO28" s="117">
        <f t="shared" ca="1" si="62"/>
        <v>283399.56299882365</v>
      </c>
      <c r="AP28" s="117">
        <f t="shared" ca="1" si="62"/>
        <v>279211.58629867446</v>
      </c>
      <c r="AQ28" s="117">
        <f t="shared" ca="1" si="62"/>
        <v>309587.39810034959</v>
      </c>
      <c r="AR28" s="117">
        <f t="shared" ca="1" si="62"/>
        <v>281682.53478219855</v>
      </c>
      <c r="AS28" s="117">
        <f t="shared" ca="1" si="62"/>
        <v>326876.47154211439</v>
      </c>
      <c r="AT28" s="117">
        <f t="shared" ca="1" si="62"/>
        <v>275132.98271445907</v>
      </c>
      <c r="AU28" s="117">
        <f t="shared" ca="1" si="62"/>
        <v>364646.31007268943</v>
      </c>
      <c r="AV28" s="117">
        <f t="shared" ca="1" si="62"/>
        <v>287113.10398881848</v>
      </c>
      <c r="AW28" s="117">
        <f t="shared" ref="AW28:AZ28" ca="1" si="63">AW26+AW16</f>
        <v>389838.64282567601</v>
      </c>
      <c r="AX28" s="117">
        <f t="shared" ca="1" si="63"/>
        <v>289283.92977464444</v>
      </c>
      <c r="AY28" s="117">
        <f t="shared" ca="1" si="63"/>
        <v>433859.80970375502</v>
      </c>
      <c r="AZ28" s="117">
        <f t="shared" ca="1" si="63"/>
        <v>305152.09011835488</v>
      </c>
    </row>
    <row r="29" spans="2:52">
      <c r="B29" s="8"/>
      <c r="C29" s="8"/>
      <c r="D29" s="8"/>
      <c r="E29" s="82"/>
      <c r="F29" s="117"/>
      <c r="G29" s="117"/>
      <c r="H29" s="117"/>
      <c r="I29" s="117"/>
      <c r="J29" s="125"/>
      <c r="K29" s="125"/>
      <c r="L29" s="125"/>
      <c r="M29" s="125"/>
      <c r="N29" s="125"/>
      <c r="O29" s="82"/>
      <c r="P29" s="82"/>
      <c r="Q29" s="82"/>
      <c r="R29" s="82"/>
      <c r="S29" s="82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70"/>
      <c r="AO29" s="70"/>
      <c r="AP29" s="70"/>
    </row>
    <row r="30" spans="2:52">
      <c r="B30" s="8" t="s">
        <v>248</v>
      </c>
      <c r="E30" s="58"/>
      <c r="F30" s="109"/>
      <c r="G30" s="109"/>
      <c r="H30" s="109"/>
      <c r="I30" s="109"/>
      <c r="J30" s="109"/>
      <c r="K30" s="109"/>
      <c r="L30" s="109"/>
      <c r="M30" s="109"/>
      <c r="N30" s="109"/>
      <c r="O30" s="58"/>
      <c r="P30" s="58"/>
      <c r="Q30" s="58"/>
      <c r="R30" s="58"/>
      <c r="S30" s="58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2:52">
      <c r="B31" s="3" t="s">
        <v>192</v>
      </c>
      <c r="E31" s="58"/>
      <c r="F31" s="109">
        <f t="shared" ref="F31:M39" ca="1" si="64">OFFSET($P31,0,F$2,1,1)</f>
        <v>0</v>
      </c>
      <c r="G31" s="109">
        <f t="shared" ca="1" si="64"/>
        <v>0</v>
      </c>
      <c r="H31" s="109">
        <f t="shared" ca="1" si="64"/>
        <v>93</v>
      </c>
      <c r="I31" s="109">
        <f t="shared" ca="1" si="64"/>
        <v>100</v>
      </c>
      <c r="J31" s="109">
        <f t="shared" ca="1" si="64"/>
        <v>1115</v>
      </c>
      <c r="K31" s="109">
        <f t="shared" ca="1" si="64"/>
        <v>1244</v>
      </c>
      <c r="L31" s="109">
        <f t="shared" ca="1" si="64"/>
        <v>0</v>
      </c>
      <c r="M31" s="109">
        <f t="shared" ca="1" si="64"/>
        <v>0</v>
      </c>
      <c r="N31" s="109">
        <f t="shared" ref="N31:N39" ca="1" si="65">OFFSET($P31,0,N$2,1,1)</f>
        <v>0</v>
      </c>
      <c r="O31" s="58"/>
      <c r="P31" s="58"/>
      <c r="Q31" s="58"/>
      <c r="R31" s="58"/>
      <c r="S31" s="58"/>
      <c r="T31" s="120">
        <v>0</v>
      </c>
      <c r="U31" s="120">
        <v>0</v>
      </c>
      <c r="V31" s="120">
        <v>47.2</v>
      </c>
      <c r="W31" s="120">
        <v>25.05</v>
      </c>
      <c r="X31" s="120">
        <v>0</v>
      </c>
      <c r="Y31" s="120">
        <v>0</v>
      </c>
      <c r="Z31" s="120">
        <v>43.43</v>
      </c>
      <c r="AA31" s="120">
        <v>92.159000000000006</v>
      </c>
      <c r="AB31" s="120">
        <v>93</v>
      </c>
      <c r="AC31" s="120">
        <v>95.460999999999999</v>
      </c>
      <c r="AD31" s="120">
        <v>49.65</v>
      </c>
      <c r="AE31" s="120">
        <v>704.24300000000005</v>
      </c>
      <c r="AF31" s="120">
        <v>100</v>
      </c>
      <c r="AG31" s="120">
        <v>174.2</v>
      </c>
      <c r="AH31" s="120">
        <v>174.2</v>
      </c>
      <c r="AI31" s="120">
        <v>594.29999999999995</v>
      </c>
      <c r="AJ31" s="120">
        <v>1115</v>
      </c>
      <c r="AK31" s="120">
        <v>1055.6790000000001</v>
      </c>
      <c r="AL31" s="120">
        <v>1056</v>
      </c>
      <c r="AM31" s="120">
        <v>1353</v>
      </c>
      <c r="AN31" s="120">
        <v>1244</v>
      </c>
      <c r="AO31" s="109">
        <f>SUM(AO143:AO144)</f>
        <v>1254</v>
      </c>
      <c r="AP31" s="109">
        <f t="shared" ref="AP31:AZ31" si="66">SUM(AP143:AP144)</f>
        <v>1254</v>
      </c>
      <c r="AQ31" s="109">
        <f t="shared" si="66"/>
        <v>500</v>
      </c>
      <c r="AR31" s="109">
        <f t="shared" ca="1" si="66"/>
        <v>0</v>
      </c>
      <c r="AS31" s="109">
        <f t="shared" ca="1" si="66"/>
        <v>0</v>
      </c>
      <c r="AT31" s="109">
        <f t="shared" ca="1" si="66"/>
        <v>0</v>
      </c>
      <c r="AU31" s="109">
        <f t="shared" ca="1" si="66"/>
        <v>0</v>
      </c>
      <c r="AV31" s="109">
        <f t="shared" ca="1" si="66"/>
        <v>0</v>
      </c>
      <c r="AW31" s="109">
        <f t="shared" si="66"/>
        <v>0</v>
      </c>
      <c r="AX31" s="109">
        <f t="shared" si="66"/>
        <v>0</v>
      </c>
      <c r="AY31" s="109">
        <f t="shared" si="66"/>
        <v>0</v>
      </c>
      <c r="AZ31" s="109">
        <f t="shared" si="66"/>
        <v>0</v>
      </c>
    </row>
    <row r="32" spans="2:52">
      <c r="B32" s="3" t="s">
        <v>247</v>
      </c>
      <c r="E32" s="58"/>
      <c r="F32" s="109">
        <f t="shared" ca="1" si="64"/>
        <v>0</v>
      </c>
      <c r="G32" s="109">
        <f t="shared" ca="1" si="64"/>
        <v>0</v>
      </c>
      <c r="H32" s="109">
        <f t="shared" ca="1" si="64"/>
        <v>0</v>
      </c>
      <c r="I32" s="109">
        <f t="shared" ca="1" si="64"/>
        <v>0</v>
      </c>
      <c r="J32" s="109">
        <f t="shared" ca="1" si="64"/>
        <v>0</v>
      </c>
      <c r="K32" s="109">
        <f t="shared" ca="1" si="64"/>
        <v>0</v>
      </c>
      <c r="L32" s="109">
        <f t="shared" ca="1" si="64"/>
        <v>0</v>
      </c>
      <c r="M32" s="109">
        <f t="shared" ca="1" si="64"/>
        <v>0</v>
      </c>
      <c r="N32" s="109">
        <f t="shared" ca="1" si="65"/>
        <v>0</v>
      </c>
      <c r="O32" s="58"/>
      <c r="P32" s="58"/>
      <c r="Q32" s="58"/>
      <c r="R32" s="58"/>
      <c r="S32" s="58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>
        <v>8484.7860000000001</v>
      </c>
      <c r="AL32" s="120">
        <v>8340</v>
      </c>
      <c r="AM32" s="120">
        <v>8186</v>
      </c>
      <c r="AN32" s="120">
        <v>0</v>
      </c>
      <c r="AO32" s="109">
        <f t="shared" ref="AO32:AV32" si="67">AO153</f>
        <v>0</v>
      </c>
      <c r="AP32" s="109">
        <f t="shared" si="67"/>
        <v>0</v>
      </c>
      <c r="AQ32" s="109">
        <f t="shared" si="67"/>
        <v>0</v>
      </c>
      <c r="AR32" s="109">
        <f t="shared" si="67"/>
        <v>0</v>
      </c>
      <c r="AS32" s="109">
        <f t="shared" si="67"/>
        <v>0</v>
      </c>
      <c r="AT32" s="109">
        <f t="shared" si="67"/>
        <v>0</v>
      </c>
      <c r="AU32" s="109">
        <f t="shared" si="67"/>
        <v>0</v>
      </c>
      <c r="AV32" s="109">
        <f t="shared" si="67"/>
        <v>0</v>
      </c>
      <c r="AW32" s="109">
        <f t="shared" ref="AW32:AZ32" si="68">AW153</f>
        <v>0</v>
      </c>
      <c r="AX32" s="109">
        <f t="shared" si="68"/>
        <v>0</v>
      </c>
      <c r="AY32" s="109">
        <f t="shared" si="68"/>
        <v>0</v>
      </c>
      <c r="AZ32" s="109">
        <f t="shared" si="68"/>
        <v>0</v>
      </c>
    </row>
    <row r="33" spans="1:59">
      <c r="B33" s="3" t="s">
        <v>246</v>
      </c>
      <c r="E33" s="58"/>
      <c r="F33" s="109">
        <f t="shared" ca="1" si="64"/>
        <v>2170.9780000000001</v>
      </c>
      <c r="G33" s="109">
        <f t="shared" ca="1" si="64"/>
        <v>343.625</v>
      </c>
      <c r="H33" s="109">
        <f t="shared" ca="1" si="64"/>
        <v>2167.4050000000002</v>
      </c>
      <c r="I33" s="109">
        <f t="shared" ca="1" si="64"/>
        <v>974.82</v>
      </c>
      <c r="J33" s="109">
        <f t="shared" ca="1" si="64"/>
        <v>3468.2959999999998</v>
      </c>
      <c r="K33" s="109">
        <f t="shared" ca="1" si="64"/>
        <v>10</v>
      </c>
      <c r="L33" s="109">
        <f t="shared" ca="1" si="64"/>
        <v>0</v>
      </c>
      <c r="M33" s="109">
        <f t="shared" ca="1" si="64"/>
        <v>0</v>
      </c>
      <c r="N33" s="109">
        <f t="shared" ca="1" si="65"/>
        <v>0</v>
      </c>
      <c r="O33" s="58"/>
      <c r="P33" s="58"/>
      <c r="Q33" s="58"/>
      <c r="R33" s="58"/>
      <c r="S33" s="58"/>
      <c r="T33" s="120">
        <v>2170.9780000000001</v>
      </c>
      <c r="U33" s="120">
        <v>2169.741</v>
      </c>
      <c r="V33" s="120">
        <v>2147.5439999999999</v>
      </c>
      <c r="W33" s="120">
        <v>0</v>
      </c>
      <c r="X33" s="120">
        <v>343.625</v>
      </c>
      <c r="Y33" s="120">
        <v>352.45100000000002</v>
      </c>
      <c r="Z33" s="120">
        <v>352.15600000000001</v>
      </c>
      <c r="AA33" s="120">
        <v>2495.5210000000002</v>
      </c>
      <c r="AB33" s="120">
        <v>2167.4050000000002</v>
      </c>
      <c r="AC33" s="120">
        <v>2167.5430000000001</v>
      </c>
      <c r="AD33" s="120">
        <v>2171.87</v>
      </c>
      <c r="AE33" s="120">
        <v>0</v>
      </c>
      <c r="AF33" s="120">
        <v>974.82</v>
      </c>
      <c r="AG33" s="120">
        <v>969.78</v>
      </c>
      <c r="AH33" s="120">
        <v>996.91499999999996</v>
      </c>
      <c r="AI33" s="120">
        <v>3330.67</v>
      </c>
      <c r="AJ33" s="120">
        <v>3468.2959999999998</v>
      </c>
      <c r="AK33" s="120">
        <v>3446.5830000000001</v>
      </c>
      <c r="AL33" s="120">
        <v>3399</v>
      </c>
      <c r="AM33" s="120">
        <v>1008</v>
      </c>
      <c r="AN33" s="120">
        <v>10</v>
      </c>
      <c r="AO33" s="109">
        <f t="shared" ref="AO33:AV33" si="69">AO144</f>
        <v>500</v>
      </c>
      <c r="AP33" s="109">
        <f t="shared" si="69"/>
        <v>500</v>
      </c>
      <c r="AQ33" s="109">
        <f t="shared" si="69"/>
        <v>500</v>
      </c>
      <c r="AR33" s="109">
        <f t="shared" si="69"/>
        <v>0</v>
      </c>
      <c r="AS33" s="109">
        <f t="shared" si="69"/>
        <v>0</v>
      </c>
      <c r="AT33" s="109">
        <f t="shared" si="69"/>
        <v>0</v>
      </c>
      <c r="AU33" s="109">
        <f t="shared" si="69"/>
        <v>0</v>
      </c>
      <c r="AV33" s="109">
        <f t="shared" si="69"/>
        <v>0</v>
      </c>
      <c r="AW33" s="109">
        <f t="shared" ref="AW33:AZ33" si="70">AW144</f>
        <v>0</v>
      </c>
      <c r="AX33" s="109">
        <f t="shared" si="70"/>
        <v>0</v>
      </c>
      <c r="AY33" s="109">
        <f t="shared" si="70"/>
        <v>0</v>
      </c>
      <c r="AZ33" s="109">
        <f t="shared" si="70"/>
        <v>0</v>
      </c>
    </row>
    <row r="34" spans="1:59">
      <c r="B34" s="3" t="s">
        <v>245</v>
      </c>
      <c r="E34" s="58"/>
      <c r="F34" s="109">
        <f t="shared" ca="1" si="64"/>
        <v>32.502000000000002</v>
      </c>
      <c r="G34" s="109">
        <f t="shared" ca="1" si="64"/>
        <v>44.906999999999996</v>
      </c>
      <c r="H34" s="109">
        <f t="shared" ca="1" si="64"/>
        <v>57.345999999999997</v>
      </c>
      <c r="I34" s="109">
        <f t="shared" ca="1" si="64"/>
        <v>46.088000000000001</v>
      </c>
      <c r="J34" s="109">
        <f t="shared" ca="1" si="64"/>
        <v>8.4160000000000004</v>
      </c>
      <c r="K34" s="109">
        <f t="shared" ca="1" si="64"/>
        <v>0</v>
      </c>
      <c r="L34" s="109">
        <f t="shared" ca="1" si="64"/>
        <v>0</v>
      </c>
      <c r="M34" s="109">
        <f t="shared" ca="1" si="64"/>
        <v>0</v>
      </c>
      <c r="N34" s="109">
        <f t="shared" ca="1" si="65"/>
        <v>0</v>
      </c>
      <c r="O34" s="58"/>
      <c r="P34" s="58"/>
      <c r="Q34" s="58"/>
      <c r="R34" s="58"/>
      <c r="S34" s="58"/>
      <c r="T34" s="120">
        <v>32.502000000000002</v>
      </c>
      <c r="U34" s="120">
        <v>33.036000000000001</v>
      </c>
      <c r="V34" s="120">
        <v>33.578000000000003</v>
      </c>
      <c r="W34" s="120">
        <v>34.130000000000003</v>
      </c>
      <c r="X34" s="120">
        <v>44.906999999999996</v>
      </c>
      <c r="Y34" s="120">
        <v>45.408000000000001</v>
      </c>
      <c r="Z34" s="120">
        <v>81.923000000000002</v>
      </c>
      <c r="AA34" s="120">
        <v>57.881</v>
      </c>
      <c r="AB34" s="120">
        <v>57.345999999999997</v>
      </c>
      <c r="AC34" s="120">
        <v>53.039000000000001</v>
      </c>
      <c r="AD34" s="120">
        <v>48.768000000000001</v>
      </c>
      <c r="AE34" s="120">
        <v>49.390999999999998</v>
      </c>
      <c r="AF34" s="120">
        <v>46.088000000000001</v>
      </c>
      <c r="AG34" s="120">
        <v>38.984000000000002</v>
      </c>
      <c r="AH34" s="120">
        <v>27.576000000000001</v>
      </c>
      <c r="AI34" s="120">
        <v>16.018000000000001</v>
      </c>
      <c r="AJ34" s="120">
        <v>8.4160000000000004</v>
      </c>
      <c r="AK34" s="120">
        <v>0.63700000000000001</v>
      </c>
      <c r="AL34" s="120">
        <v>0</v>
      </c>
      <c r="AM34" s="120">
        <v>0</v>
      </c>
      <c r="AN34" s="120">
        <v>0</v>
      </c>
      <c r="AO34" s="89">
        <f t="shared" ref="AO34:AV34" si="71">AN34</f>
        <v>0</v>
      </c>
      <c r="AP34" s="89">
        <f t="shared" si="71"/>
        <v>0</v>
      </c>
      <c r="AQ34" s="89">
        <f t="shared" si="71"/>
        <v>0</v>
      </c>
      <c r="AR34" s="89">
        <f t="shared" si="71"/>
        <v>0</v>
      </c>
      <c r="AS34" s="89">
        <f t="shared" si="71"/>
        <v>0</v>
      </c>
      <c r="AT34" s="89">
        <f t="shared" si="71"/>
        <v>0</v>
      </c>
      <c r="AU34" s="89">
        <f t="shared" si="71"/>
        <v>0</v>
      </c>
      <c r="AV34" s="89">
        <f t="shared" si="71"/>
        <v>0</v>
      </c>
      <c r="AW34" s="89">
        <f t="shared" ref="AW34" si="72">AV34</f>
        <v>0</v>
      </c>
      <c r="AX34" s="89">
        <f t="shared" ref="AX34" si="73">AW34</f>
        <v>0</v>
      </c>
      <c r="AY34" s="89">
        <f t="shared" ref="AY34" si="74">AX34</f>
        <v>0</v>
      </c>
      <c r="AZ34" s="89">
        <f t="shared" ref="AZ34" si="75">AY34</f>
        <v>0</v>
      </c>
    </row>
    <row r="35" spans="1:59">
      <c r="B35" s="3" t="s">
        <v>244</v>
      </c>
      <c r="E35" s="58"/>
      <c r="F35" s="109">
        <f t="shared" ca="1" si="64"/>
        <v>3806.8359999999998</v>
      </c>
      <c r="G35" s="109">
        <f t="shared" ca="1" si="64"/>
        <v>7362.1379999999999</v>
      </c>
      <c r="H35" s="109">
        <f t="shared" ca="1" si="64"/>
        <v>12964.893</v>
      </c>
      <c r="I35" s="109">
        <f t="shared" ca="1" si="64"/>
        <v>17636.216</v>
      </c>
      <c r="J35" s="109">
        <f t="shared" ca="1" si="64"/>
        <v>28654.085999999999</v>
      </c>
      <c r="K35" s="109">
        <f t="shared" ca="1" si="64"/>
        <v>66009</v>
      </c>
      <c r="L35" s="109">
        <f t="shared" ca="1" si="64"/>
        <v>60823.114826379053</v>
      </c>
      <c r="M35" s="109">
        <f t="shared" ca="1" si="64"/>
        <v>40798.996507648437</v>
      </c>
      <c r="N35" s="109">
        <f t="shared" ca="1" si="65"/>
        <v>23612.161878364219</v>
      </c>
      <c r="O35" s="58"/>
      <c r="P35" s="58"/>
      <c r="Q35" s="58"/>
      <c r="R35" s="58"/>
      <c r="S35" s="58"/>
      <c r="T35" s="120">
        <v>3806.8359999999998</v>
      </c>
      <c r="U35" s="120">
        <v>3686.1210000000001</v>
      </c>
      <c r="V35" s="120">
        <v>4675.5159999999996</v>
      </c>
      <c r="W35" s="120">
        <v>5765.0720000000001</v>
      </c>
      <c r="X35" s="120">
        <v>7362.1379999999999</v>
      </c>
      <c r="Y35" s="120">
        <v>8078.76</v>
      </c>
      <c r="Z35" s="120">
        <v>9665.0779999999995</v>
      </c>
      <c r="AA35" s="120">
        <v>11272.808000000001</v>
      </c>
      <c r="AB35" s="120">
        <v>12964.893</v>
      </c>
      <c r="AC35" s="120">
        <v>13460.619000000001</v>
      </c>
      <c r="AD35" s="120">
        <v>16057.111999999999</v>
      </c>
      <c r="AE35" s="120">
        <v>19858.18</v>
      </c>
      <c r="AF35" s="120">
        <v>17636.216</v>
      </c>
      <c r="AG35" s="120">
        <v>18815.172999999999</v>
      </c>
      <c r="AH35" s="120">
        <v>19312.633000000002</v>
      </c>
      <c r="AI35" s="120">
        <v>20951.215</v>
      </c>
      <c r="AJ35" s="120">
        <v>28654.085999999999</v>
      </c>
      <c r="AK35" s="120">
        <v>42095.642</v>
      </c>
      <c r="AL35" s="120">
        <v>54186</v>
      </c>
      <c r="AM35" s="120">
        <v>60395</v>
      </c>
      <c r="AN35" s="120">
        <f>27523+38486</f>
        <v>66009</v>
      </c>
      <c r="AO35" s="109">
        <f t="shared" ref="AO35:AV35" ca="1" si="76">AO243</f>
        <v>68998.703544393764</v>
      </c>
      <c r="AP35" s="109">
        <f t="shared" ca="1" si="76"/>
        <v>61167.49703175755</v>
      </c>
      <c r="AQ35" s="109">
        <f t="shared" ca="1" si="76"/>
        <v>89575.476906670054</v>
      </c>
      <c r="AR35" s="109">
        <f t="shared" ca="1" si="76"/>
        <v>60823.114826379053</v>
      </c>
      <c r="AS35" s="109">
        <f t="shared" ca="1" si="76"/>
        <v>96348.687084909412</v>
      </c>
      <c r="AT35" s="109">
        <f t="shared" ca="1" si="76"/>
        <v>49720.661415403883</v>
      </c>
      <c r="AU35" s="109">
        <f t="shared" ca="1" si="76"/>
        <v>117168.47116552005</v>
      </c>
      <c r="AV35" s="109">
        <f t="shared" ca="1" si="76"/>
        <v>40798.996507648437</v>
      </c>
      <c r="AW35" s="109">
        <f t="shared" ref="AW35:AZ35" ca="1" si="77">AW243</f>
        <v>126473.29584149132</v>
      </c>
      <c r="AX35" s="109">
        <f t="shared" ca="1" si="77"/>
        <v>28847.762333441613</v>
      </c>
      <c r="AY35" s="109">
        <f t="shared" ca="1" si="77"/>
        <v>148429.90204659983</v>
      </c>
      <c r="AZ35" s="109">
        <f t="shared" ca="1" si="77"/>
        <v>23612.161878364219</v>
      </c>
    </row>
    <row r="36" spans="1:59">
      <c r="B36" s="3" t="s">
        <v>243</v>
      </c>
      <c r="E36" s="58"/>
      <c r="F36" s="109">
        <f t="shared" ca="1" si="64"/>
        <v>0</v>
      </c>
      <c r="G36" s="109">
        <f t="shared" ca="1" si="64"/>
        <v>0.39800000000000002</v>
      </c>
      <c r="H36" s="109">
        <f t="shared" ca="1" si="64"/>
        <v>8.3849999999999998</v>
      </c>
      <c r="I36" s="109">
        <f t="shared" ca="1" si="64"/>
        <v>989.92100000000005</v>
      </c>
      <c r="J36" s="109">
        <f t="shared" ca="1" si="64"/>
        <v>458.68700000000001</v>
      </c>
      <c r="K36" s="109">
        <f t="shared" ca="1" si="64"/>
        <v>153</v>
      </c>
      <c r="L36" s="109">
        <f t="shared" ca="1" si="64"/>
        <v>153</v>
      </c>
      <c r="M36" s="109">
        <f t="shared" ca="1" si="64"/>
        <v>153</v>
      </c>
      <c r="N36" s="109">
        <f t="shared" ca="1" si="65"/>
        <v>153</v>
      </c>
      <c r="O36" s="58"/>
      <c r="P36" s="58"/>
      <c r="Q36" s="58"/>
      <c r="R36" s="58"/>
      <c r="S36" s="58"/>
      <c r="T36" s="120">
        <v>0</v>
      </c>
      <c r="U36" s="120">
        <v>0</v>
      </c>
      <c r="V36" s="120">
        <v>0</v>
      </c>
      <c r="W36" s="120">
        <v>0</v>
      </c>
      <c r="X36" s="120">
        <v>0.39800000000000002</v>
      </c>
      <c r="Y36" s="120">
        <v>0.39800000000000002</v>
      </c>
      <c r="Z36" s="120">
        <v>0.39800000000000002</v>
      </c>
      <c r="AA36" s="120">
        <v>0.39800000000000002</v>
      </c>
      <c r="AB36" s="120">
        <v>8.3849999999999998</v>
      </c>
      <c r="AC36" s="120">
        <v>4.0289999999999999</v>
      </c>
      <c r="AD36" s="120">
        <v>1.5209999999999999</v>
      </c>
      <c r="AE36" s="120">
        <v>1.6020000000000001</v>
      </c>
      <c r="AF36" s="120">
        <v>989.92100000000005</v>
      </c>
      <c r="AG36" s="120">
        <v>137.761</v>
      </c>
      <c r="AH36" s="120">
        <v>498.50400000000002</v>
      </c>
      <c r="AI36" s="120">
        <v>350.71300000000002</v>
      </c>
      <c r="AJ36" s="120">
        <v>458.68700000000001</v>
      </c>
      <c r="AK36" s="120">
        <v>391.99200000000002</v>
      </c>
      <c r="AL36" s="120">
        <v>248</v>
      </c>
      <c r="AM36" s="120">
        <v>337</v>
      </c>
      <c r="AN36" s="120">
        <v>153</v>
      </c>
      <c r="AO36" s="89">
        <f t="shared" ref="AO36:AV36" si="78">AN36</f>
        <v>153</v>
      </c>
      <c r="AP36" s="89">
        <f t="shared" si="78"/>
        <v>153</v>
      </c>
      <c r="AQ36" s="89">
        <f t="shared" si="78"/>
        <v>153</v>
      </c>
      <c r="AR36" s="89">
        <f t="shared" si="78"/>
        <v>153</v>
      </c>
      <c r="AS36" s="89">
        <f t="shared" si="78"/>
        <v>153</v>
      </c>
      <c r="AT36" s="89">
        <f t="shared" si="78"/>
        <v>153</v>
      </c>
      <c r="AU36" s="89">
        <f t="shared" si="78"/>
        <v>153</v>
      </c>
      <c r="AV36" s="89">
        <f t="shared" si="78"/>
        <v>153</v>
      </c>
      <c r="AW36" s="89">
        <f t="shared" ref="AW36" si="79">AV36</f>
        <v>153</v>
      </c>
      <c r="AX36" s="89">
        <f t="shared" ref="AX36" si="80">AW36</f>
        <v>153</v>
      </c>
      <c r="AY36" s="89">
        <f t="shared" ref="AY36" si="81">AX36</f>
        <v>153</v>
      </c>
      <c r="AZ36" s="89">
        <f t="shared" ref="AZ36" si="82">AY36</f>
        <v>153</v>
      </c>
    </row>
    <row r="37" spans="1:59">
      <c r="B37" s="3" t="s">
        <v>242</v>
      </c>
      <c r="E37" s="58"/>
      <c r="F37" s="109">
        <f t="shared" ca="1" si="64"/>
        <v>2067.5859999999998</v>
      </c>
      <c r="G37" s="109">
        <f t="shared" ca="1" si="64"/>
        <v>2977.8719999999998</v>
      </c>
      <c r="H37" s="109">
        <f t="shared" ca="1" si="64"/>
        <v>4296.4399999999996</v>
      </c>
      <c r="I37" s="109">
        <f t="shared" ca="1" si="64"/>
        <v>5420.23</v>
      </c>
      <c r="J37" s="109">
        <f t="shared" ca="1" si="64"/>
        <v>6031.6809999999996</v>
      </c>
      <c r="K37" s="109">
        <f t="shared" ca="1" si="64"/>
        <v>6785</v>
      </c>
      <c r="L37" s="109">
        <f t="shared" ca="1" si="64"/>
        <v>6185.4843886427461</v>
      </c>
      <c r="M37" s="109">
        <f t="shared" ca="1" si="64"/>
        <v>3874.7760813307468</v>
      </c>
      <c r="N37" s="109">
        <f t="shared" ca="1" si="65"/>
        <v>873.28493001366405</v>
      </c>
      <c r="O37" s="58"/>
      <c r="P37" s="58"/>
      <c r="Q37" s="58"/>
      <c r="R37" s="58"/>
      <c r="S37" s="58"/>
      <c r="T37" s="120">
        <v>2067.5859999999998</v>
      </c>
      <c r="U37" s="120">
        <v>1950.181</v>
      </c>
      <c r="V37" s="120">
        <v>1990.2339999999999</v>
      </c>
      <c r="W37" s="120">
        <v>2542.9110000000001</v>
      </c>
      <c r="X37" s="120">
        <v>2977.8719999999998</v>
      </c>
      <c r="Y37" s="120">
        <v>3092.0410000000002</v>
      </c>
      <c r="Z37" s="120">
        <v>3236.645</v>
      </c>
      <c r="AA37" s="120">
        <v>3837.4960000000001</v>
      </c>
      <c r="AB37" s="120">
        <v>4296.4399999999996</v>
      </c>
      <c r="AC37" s="120">
        <v>4139.866</v>
      </c>
      <c r="AD37" s="120">
        <v>4691.7569999999996</v>
      </c>
      <c r="AE37" s="120">
        <v>5557.2349999999997</v>
      </c>
      <c r="AF37" s="120">
        <v>5420.23</v>
      </c>
      <c r="AG37" s="120">
        <v>5148.4089999999997</v>
      </c>
      <c r="AH37" s="120">
        <v>5618.5190000000002</v>
      </c>
      <c r="AI37" s="120">
        <v>5913.3469999999998</v>
      </c>
      <c r="AJ37" s="120">
        <v>6031.6809999999996</v>
      </c>
      <c r="AK37" s="120">
        <v>5646.8410000000003</v>
      </c>
      <c r="AL37" s="120">
        <v>6269</v>
      </c>
      <c r="AM37" s="120">
        <v>6920</v>
      </c>
      <c r="AN37" s="120">
        <v>6785</v>
      </c>
      <c r="AO37" s="109">
        <f t="shared" ref="AO37:AV37" ca="1" si="83">AO245</f>
        <v>7915.6931314155136</v>
      </c>
      <c r="AP37" s="109">
        <f t="shared" ca="1" si="83"/>
        <v>6784.5968890427357</v>
      </c>
      <c r="AQ37" s="109">
        <f t="shared" ca="1" si="83"/>
        <v>9288.3236623026114</v>
      </c>
      <c r="AR37" s="109">
        <f t="shared" ca="1" si="83"/>
        <v>6185.4843886427461</v>
      </c>
      <c r="AS37" s="109">
        <f t="shared" ca="1" si="83"/>
        <v>9664.9309233031563</v>
      </c>
      <c r="AT37" s="109">
        <f t="shared" ca="1" si="83"/>
        <v>5077.495495680545</v>
      </c>
      <c r="AU37" s="109">
        <f t="shared" ca="1" si="83"/>
        <v>11082.19705485739</v>
      </c>
      <c r="AV37" s="109">
        <f t="shared" ca="1" si="83"/>
        <v>3874.7760813307468</v>
      </c>
      <c r="AW37" s="109">
        <f t="shared" ref="AW37:AZ37" ca="1" si="84">AW245</f>
        <v>12003.754053890238</v>
      </c>
      <c r="AX37" s="109">
        <f t="shared" ca="1" si="84"/>
        <v>1780.1931182445969</v>
      </c>
      <c r="AY37" s="109">
        <f t="shared" ca="1" si="84"/>
        <v>13241.776904238966</v>
      </c>
      <c r="AZ37" s="109">
        <f t="shared" ca="1" si="84"/>
        <v>873.28493001366405</v>
      </c>
    </row>
    <row r="38" spans="1:59">
      <c r="B38" s="3" t="s">
        <v>241</v>
      </c>
      <c r="E38" s="58"/>
      <c r="F38" s="109">
        <f t="shared" ca="1" si="64"/>
        <v>158.62700000000001</v>
      </c>
      <c r="G38" s="109">
        <f t="shared" ca="1" si="64"/>
        <v>303.88599999999997</v>
      </c>
      <c r="H38" s="109">
        <f t="shared" ca="1" si="64"/>
        <v>683.35199999999998</v>
      </c>
      <c r="I38" s="109">
        <f t="shared" ca="1" si="64"/>
        <v>935.52700000000004</v>
      </c>
      <c r="J38" s="109">
        <f t="shared" ca="1" si="64"/>
        <v>1162.5640000000001</v>
      </c>
      <c r="K38" s="109">
        <f t="shared" ca="1" si="64"/>
        <v>1356</v>
      </c>
      <c r="L38" s="109">
        <f t="shared" ca="1" si="64"/>
        <v>923.00914323344932</v>
      </c>
      <c r="M38" s="109">
        <f t="shared" ca="1" si="64"/>
        <v>856.57061362694867</v>
      </c>
      <c r="N38" s="109">
        <f t="shared" ca="1" si="65"/>
        <v>520.87589722948906</v>
      </c>
      <c r="O38" s="58"/>
      <c r="P38" s="58"/>
      <c r="Q38" s="58"/>
      <c r="R38" s="58"/>
      <c r="S38" s="58"/>
      <c r="T38" s="120">
        <v>158.62700000000001</v>
      </c>
      <c r="U38" s="120">
        <v>120.429</v>
      </c>
      <c r="V38" s="120">
        <v>183.02100000000002</v>
      </c>
      <c r="W38" s="120">
        <v>192.202</v>
      </c>
      <c r="X38" s="120">
        <v>303.88599999999997</v>
      </c>
      <c r="Y38" s="120">
        <v>321.48500000000001</v>
      </c>
      <c r="Z38" s="120">
        <v>387.42200000000003</v>
      </c>
      <c r="AA38" s="120">
        <v>335.94</v>
      </c>
      <c r="AB38" s="120">
        <v>683.35199999999998</v>
      </c>
      <c r="AC38" s="120">
        <v>685.274</v>
      </c>
      <c r="AD38" s="120">
        <v>836.06700000000001</v>
      </c>
      <c r="AE38" s="120">
        <v>767.14700000000005</v>
      </c>
      <c r="AF38" s="120">
        <v>935.52700000000004</v>
      </c>
      <c r="AG38" s="120">
        <v>1197.7489999999998</v>
      </c>
      <c r="AH38" s="120">
        <v>1079.184</v>
      </c>
      <c r="AI38" s="120">
        <v>1083.511</v>
      </c>
      <c r="AJ38" s="120">
        <v>1162.5640000000001</v>
      </c>
      <c r="AK38" s="120">
        <v>1190.866</v>
      </c>
      <c r="AL38" s="120">
        <v>1264</v>
      </c>
      <c r="AM38" s="120">
        <v>1087</v>
      </c>
      <c r="AN38" s="120">
        <f>788+568</f>
        <v>1356</v>
      </c>
      <c r="AO38" s="109">
        <f t="shared" ref="AO38:AV38" ca="1" si="85">AO246</f>
        <v>1694.6964311620709</v>
      </c>
      <c r="AP38" s="109">
        <f t="shared" ca="1" si="85"/>
        <v>1387.8123950078116</v>
      </c>
      <c r="AQ38" s="109">
        <f t="shared" ca="1" si="85"/>
        <v>2047.2031254763874</v>
      </c>
      <c r="AR38" s="109">
        <f t="shared" ca="1" si="85"/>
        <v>923.00914323344932</v>
      </c>
      <c r="AS38" s="109">
        <f t="shared" ca="1" si="85"/>
        <v>1906.3630828555206</v>
      </c>
      <c r="AT38" s="109">
        <f t="shared" ca="1" si="85"/>
        <v>972.72919000076854</v>
      </c>
      <c r="AU38" s="109">
        <f t="shared" ca="1" si="85"/>
        <v>2528.8530677236577</v>
      </c>
      <c r="AV38" s="109">
        <f t="shared" ca="1" si="85"/>
        <v>856.57061362694867</v>
      </c>
      <c r="AW38" s="109">
        <f t="shared" ref="AW38:AZ38" ca="1" si="86">AW246</f>
        <v>2511.7079178483737</v>
      </c>
      <c r="AX38" s="109">
        <f t="shared" ca="1" si="86"/>
        <v>544.20939901023303</v>
      </c>
      <c r="AY38" s="109">
        <f t="shared" ca="1" si="86"/>
        <v>3195.7325228889654</v>
      </c>
      <c r="AZ38" s="109">
        <f t="shared" ca="1" si="86"/>
        <v>520.87589722948906</v>
      </c>
    </row>
    <row r="39" spans="1:59">
      <c r="B39" s="3" t="s">
        <v>240</v>
      </c>
      <c r="E39" s="58"/>
      <c r="F39" s="109">
        <f t="shared" ca="1" si="64"/>
        <v>0</v>
      </c>
      <c r="G39" s="109">
        <f t="shared" ca="1" si="64"/>
        <v>0</v>
      </c>
      <c r="H39" s="109">
        <f t="shared" ca="1" si="64"/>
        <v>0</v>
      </c>
      <c r="I39" s="109">
        <f t="shared" ca="1" si="64"/>
        <v>0</v>
      </c>
      <c r="J39" s="109">
        <f t="shared" ca="1" si="64"/>
        <v>5203.3149999999996</v>
      </c>
      <c r="K39" s="109">
        <f t="shared" ca="1" si="64"/>
        <v>6500</v>
      </c>
      <c r="L39" s="109">
        <f t="shared" ca="1" si="64"/>
        <v>6474.727272727273</v>
      </c>
      <c r="M39" s="109">
        <f t="shared" ca="1" si="64"/>
        <v>4856.045454545454</v>
      </c>
      <c r="N39" s="109">
        <f t="shared" ca="1" si="65"/>
        <v>0</v>
      </c>
      <c r="O39" s="58"/>
      <c r="P39" s="58"/>
      <c r="Q39" s="58"/>
      <c r="R39" s="58"/>
      <c r="S39" s="58"/>
      <c r="T39" s="120">
        <v>0</v>
      </c>
      <c r="U39" s="120">
        <v>0</v>
      </c>
      <c r="V39" s="120">
        <v>0</v>
      </c>
      <c r="W39" s="120">
        <v>0</v>
      </c>
      <c r="X39" s="120">
        <v>0</v>
      </c>
      <c r="Y39" s="120">
        <v>0</v>
      </c>
      <c r="Z39" s="120">
        <v>0</v>
      </c>
      <c r="AA39" s="120">
        <v>0</v>
      </c>
      <c r="AB39" s="120">
        <v>0</v>
      </c>
      <c r="AC39" s="120">
        <v>0</v>
      </c>
      <c r="AD39" s="120">
        <v>0</v>
      </c>
      <c r="AE39" s="120">
        <v>0</v>
      </c>
      <c r="AF39" s="120">
        <v>0</v>
      </c>
      <c r="AG39" s="120">
        <v>0</v>
      </c>
      <c r="AH39" s="120"/>
      <c r="AI39" s="120"/>
      <c r="AJ39" s="120">
        <v>5203.3149999999996</v>
      </c>
      <c r="AK39" s="120">
        <v>5169.8280000000004</v>
      </c>
      <c r="AL39" s="120">
        <v>5083</v>
      </c>
      <c r="AM39" s="120">
        <v>11637</v>
      </c>
      <c r="AN39" s="120">
        <v>6500</v>
      </c>
      <c r="AO39" s="109">
        <f t="shared" ref="AO39:AV39" si="87">SUMIF($C182:$C189,"&lt;="&amp;AS168,AO155:AO165)</f>
        <v>6474.727272727273</v>
      </c>
      <c r="AP39" s="109">
        <f t="shared" si="87"/>
        <v>12949.454545454546</v>
      </c>
      <c r="AQ39" s="109">
        <f t="shared" si="87"/>
        <v>6474.727272727273</v>
      </c>
      <c r="AR39" s="109">
        <f t="shared" ca="1" si="87"/>
        <v>6474.727272727273</v>
      </c>
      <c r="AS39" s="109">
        <f t="shared" ca="1" si="87"/>
        <v>6474.727272727273</v>
      </c>
      <c r="AT39" s="109">
        <f t="shared" ca="1" si="87"/>
        <v>4856.045454545454</v>
      </c>
      <c r="AU39" s="109">
        <f t="shared" ca="1" si="87"/>
        <v>4856.045454545454</v>
      </c>
      <c r="AV39" s="109">
        <f t="shared" ca="1" si="87"/>
        <v>4856.045454545454</v>
      </c>
      <c r="AW39" s="109">
        <f>SUMIF($C182:$C189,"&lt;="&amp;#REF!,AW155:AW165)</f>
        <v>0</v>
      </c>
      <c r="AX39" s="109">
        <f>SUMIF($C182:$C189,"&lt;="&amp;#REF!,AX155:AX165)</f>
        <v>0</v>
      </c>
      <c r="AY39" s="109">
        <f>SUMIF($C182:$C189,"&lt;="&amp;#REF!,AY155:AY165)</f>
        <v>0</v>
      </c>
      <c r="AZ39" s="109">
        <f>SUMIF($C182:$C189,"&lt;="&amp;#REF!,AZ155:AZ165)</f>
        <v>0</v>
      </c>
    </row>
    <row r="40" spans="1:59" s="7" customFormat="1">
      <c r="A40" s="8"/>
      <c r="B40" s="9" t="s">
        <v>239</v>
      </c>
      <c r="C40" s="8"/>
      <c r="D40" s="8"/>
      <c r="E40" s="82"/>
      <c r="F40" s="117">
        <f t="shared" ref="F40:M40" ca="1" si="88">SUM(F31:F39)</f>
        <v>8236.5290000000005</v>
      </c>
      <c r="G40" s="117">
        <f t="shared" ca="1" si="88"/>
        <v>11032.826000000001</v>
      </c>
      <c r="H40" s="117">
        <f t="shared" ca="1" si="88"/>
        <v>20270.821</v>
      </c>
      <c r="I40" s="117">
        <f t="shared" ca="1" si="88"/>
        <v>26102.801999999996</v>
      </c>
      <c r="J40" s="117">
        <f t="shared" ca="1" si="88"/>
        <v>46102.044999999998</v>
      </c>
      <c r="K40" s="117">
        <f t="shared" ca="1" si="88"/>
        <v>82057</v>
      </c>
      <c r="L40" s="117">
        <f t="shared" ca="1" si="88"/>
        <v>74559.335630982518</v>
      </c>
      <c r="M40" s="117">
        <f t="shared" ca="1" si="88"/>
        <v>50539.38865715159</v>
      </c>
      <c r="N40" s="117">
        <f t="shared" ref="N40" ca="1" si="89">SUM(N31:N39)</f>
        <v>25159.322705607374</v>
      </c>
      <c r="O40" s="82"/>
      <c r="P40" s="82"/>
      <c r="Q40" s="82"/>
      <c r="R40" s="82"/>
      <c r="S40" s="82"/>
      <c r="T40" s="117">
        <f t="shared" ref="T40:AV40" si="90">SUM(T31:T39)</f>
        <v>8236.5290000000005</v>
      </c>
      <c r="U40" s="117">
        <f t="shared" si="90"/>
        <v>7959.5079999999998</v>
      </c>
      <c r="V40" s="117">
        <f t="shared" si="90"/>
        <v>9077.0930000000008</v>
      </c>
      <c r="W40" s="117">
        <f t="shared" si="90"/>
        <v>8559.3649999999998</v>
      </c>
      <c r="X40" s="117">
        <f t="shared" si="90"/>
        <v>11032.826000000001</v>
      </c>
      <c r="Y40" s="117">
        <f t="shared" si="90"/>
        <v>11890.543000000001</v>
      </c>
      <c r="Z40" s="117">
        <f t="shared" si="90"/>
        <v>13767.052</v>
      </c>
      <c r="AA40" s="117">
        <f t="shared" si="90"/>
        <v>18092.202999999998</v>
      </c>
      <c r="AB40" s="117">
        <f t="shared" si="90"/>
        <v>20270.821</v>
      </c>
      <c r="AC40" s="117">
        <f t="shared" si="90"/>
        <v>20605.831000000002</v>
      </c>
      <c r="AD40" s="117">
        <f t="shared" si="90"/>
        <v>23856.744999999999</v>
      </c>
      <c r="AE40" s="117">
        <f t="shared" si="90"/>
        <v>26937.797999999999</v>
      </c>
      <c r="AF40" s="117">
        <f t="shared" si="90"/>
        <v>26102.801999999996</v>
      </c>
      <c r="AG40" s="117">
        <f t="shared" si="90"/>
        <v>26482.055999999997</v>
      </c>
      <c r="AH40" s="117">
        <f t="shared" si="90"/>
        <v>27707.531000000003</v>
      </c>
      <c r="AI40" s="117">
        <f t="shared" si="90"/>
        <v>32239.773999999998</v>
      </c>
      <c r="AJ40" s="117">
        <f t="shared" si="90"/>
        <v>46102.044999999998</v>
      </c>
      <c r="AK40" s="117">
        <f t="shared" si="90"/>
        <v>67482.854000000007</v>
      </c>
      <c r="AL40" s="117">
        <f t="shared" si="90"/>
        <v>79845</v>
      </c>
      <c r="AM40" s="117">
        <f t="shared" si="90"/>
        <v>90923</v>
      </c>
      <c r="AN40" s="117">
        <f t="shared" si="90"/>
        <v>82057</v>
      </c>
      <c r="AO40" s="117">
        <f t="shared" ca="1" si="90"/>
        <v>86990.82037969862</v>
      </c>
      <c r="AP40" s="117">
        <f t="shared" ca="1" si="90"/>
        <v>84196.360861262641</v>
      </c>
      <c r="AQ40" s="117">
        <f t="shared" ca="1" si="90"/>
        <v>108538.73096717634</v>
      </c>
      <c r="AR40" s="117">
        <f t="shared" ca="1" si="90"/>
        <v>74559.335630982518</v>
      </c>
      <c r="AS40" s="117">
        <f t="shared" ca="1" si="90"/>
        <v>114547.70836379536</v>
      </c>
      <c r="AT40" s="117">
        <f t="shared" ca="1" si="90"/>
        <v>60779.931555630654</v>
      </c>
      <c r="AU40" s="117">
        <f t="shared" ca="1" si="90"/>
        <v>135788.56674264654</v>
      </c>
      <c r="AV40" s="117">
        <f t="shared" ca="1" si="90"/>
        <v>50539.38865715159</v>
      </c>
      <c r="AW40" s="117">
        <f t="shared" ref="AW40:AZ40" ca="1" si="91">SUM(AW31:AW39)</f>
        <v>141141.75781322992</v>
      </c>
      <c r="AX40" s="117">
        <f t="shared" ca="1" si="91"/>
        <v>31325.164850696445</v>
      </c>
      <c r="AY40" s="117">
        <f t="shared" ca="1" si="91"/>
        <v>165020.41147372776</v>
      </c>
      <c r="AZ40" s="117">
        <f t="shared" ca="1" si="91"/>
        <v>25159.322705607374</v>
      </c>
      <c r="BB40"/>
      <c r="BC40"/>
      <c r="BD40"/>
      <c r="BE40"/>
      <c r="BF40"/>
      <c r="BG40"/>
    </row>
    <row r="41" spans="1:59" s="7" customFormat="1">
      <c r="A41" s="8"/>
      <c r="B41" s="9"/>
      <c r="C41" s="8"/>
      <c r="D41" s="8"/>
      <c r="E41" s="82"/>
      <c r="F41" s="117"/>
      <c r="G41" s="117"/>
      <c r="H41" s="117"/>
      <c r="I41" s="117"/>
      <c r="J41" s="117"/>
      <c r="K41" s="117"/>
      <c r="L41" s="117"/>
      <c r="M41" s="117"/>
      <c r="N41" s="117"/>
      <c r="O41" s="82"/>
      <c r="P41" s="82"/>
      <c r="Q41" s="82"/>
      <c r="R41" s="82"/>
      <c r="S41" s="82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B41"/>
      <c r="BC41"/>
      <c r="BD41"/>
      <c r="BE41"/>
      <c r="BF41"/>
      <c r="BG41"/>
    </row>
    <row r="42" spans="1:59">
      <c r="B42" s="3" t="s">
        <v>238</v>
      </c>
      <c r="E42" s="58"/>
      <c r="F42" s="109">
        <f t="shared" ref="F42:M48" ca="1" si="92">OFFSET($P42,0,F$2,1,1)</f>
        <v>356.589</v>
      </c>
      <c r="G42" s="109">
        <f t="shared" ca="1" si="92"/>
        <v>2112.3589999999999</v>
      </c>
      <c r="H42" s="109">
        <f t="shared" ca="1" si="92"/>
        <v>1860</v>
      </c>
      <c r="I42" s="109">
        <f t="shared" ca="1" si="92"/>
        <v>3239.6759999999999</v>
      </c>
      <c r="J42" s="109">
        <f t="shared" ca="1" si="92"/>
        <v>6822.1090000000004</v>
      </c>
      <c r="K42" s="109">
        <f t="shared" ca="1" si="92"/>
        <v>6701</v>
      </c>
      <c r="L42" s="109">
        <f t="shared" ca="1" si="92"/>
        <v>6701</v>
      </c>
      <c r="M42" s="109">
        <f t="shared" ca="1" si="92"/>
        <v>6701</v>
      </c>
      <c r="N42" s="109">
        <f t="shared" ref="N42:N48" ca="1" si="93">OFFSET($P42,0,N$2,1,1)</f>
        <v>6701</v>
      </c>
      <c r="O42" s="58"/>
      <c r="P42" s="58"/>
      <c r="Q42" s="58"/>
      <c r="R42" s="58"/>
      <c r="S42" s="58"/>
      <c r="T42" s="120">
        <v>356.589</v>
      </c>
      <c r="U42" s="120">
        <v>352.52499999999998</v>
      </c>
      <c r="V42" s="120">
        <v>348.35899999999998</v>
      </c>
      <c r="W42" s="120">
        <v>2482.3330000000001</v>
      </c>
      <c r="X42" s="120">
        <v>2112.3589999999999</v>
      </c>
      <c r="Y42" s="120">
        <v>2167.69</v>
      </c>
      <c r="Z42" s="120">
        <v>2166.92</v>
      </c>
      <c r="AA42" s="120">
        <v>0</v>
      </c>
      <c r="AB42" s="120">
        <v>1860</v>
      </c>
      <c r="AC42" s="120">
        <v>1859.22</v>
      </c>
      <c r="AD42" s="120">
        <v>1861.89</v>
      </c>
      <c r="AE42" s="120">
        <v>4120.1959999999999</v>
      </c>
      <c r="AF42" s="120">
        <v>3239.6759999999999</v>
      </c>
      <c r="AG42" s="120">
        <v>3224.3870000000002</v>
      </c>
      <c r="AH42" s="120">
        <v>6508.4489999999996</v>
      </c>
      <c r="AI42" s="120">
        <v>4212.3819999999996</v>
      </c>
      <c r="AJ42" s="120">
        <v>6822.1090000000004</v>
      </c>
      <c r="AK42" s="120">
        <v>6783.23</v>
      </c>
      <c r="AL42" s="120">
        <v>6963</v>
      </c>
      <c r="AM42" s="120">
        <v>6841</v>
      </c>
      <c r="AN42" s="120">
        <v>6701</v>
      </c>
      <c r="AO42" s="109">
        <f t="shared" ref="AO42:AZ42" si="94">AO146-AO33</f>
        <v>6201</v>
      </c>
      <c r="AP42" s="109">
        <f t="shared" si="94"/>
        <v>6201</v>
      </c>
      <c r="AQ42" s="109">
        <f t="shared" si="94"/>
        <v>6201</v>
      </c>
      <c r="AR42" s="109">
        <f t="shared" si="94"/>
        <v>6701</v>
      </c>
      <c r="AS42" s="109">
        <f t="shared" si="94"/>
        <v>6701</v>
      </c>
      <c r="AT42" s="109">
        <f t="shared" si="94"/>
        <v>6701</v>
      </c>
      <c r="AU42" s="109">
        <f t="shared" si="94"/>
        <v>6701</v>
      </c>
      <c r="AV42" s="109">
        <f t="shared" si="94"/>
        <v>6701</v>
      </c>
      <c r="AW42" s="109">
        <f t="shared" si="94"/>
        <v>6701</v>
      </c>
      <c r="AX42" s="109">
        <f t="shared" si="94"/>
        <v>6701</v>
      </c>
      <c r="AY42" s="109">
        <f t="shared" si="94"/>
        <v>6701</v>
      </c>
      <c r="AZ42" s="109">
        <f t="shared" si="94"/>
        <v>6701</v>
      </c>
    </row>
    <row r="43" spans="1:59">
      <c r="B43" s="3" t="s">
        <v>237</v>
      </c>
      <c r="E43" s="58"/>
      <c r="F43" s="109">
        <f t="shared" ca="1" si="92"/>
        <v>9336.6859999999997</v>
      </c>
      <c r="G43" s="109">
        <f t="shared" ca="1" si="92"/>
        <v>15116.99</v>
      </c>
      <c r="H43" s="109">
        <f t="shared" ca="1" si="92"/>
        <v>21556.781999999999</v>
      </c>
      <c r="I43" s="109">
        <f t="shared" ca="1" si="92"/>
        <v>30702.116000000002</v>
      </c>
      <c r="J43" s="109">
        <f t="shared" ca="1" si="92"/>
        <v>27648.476999999999</v>
      </c>
      <c r="K43" s="109">
        <f t="shared" ca="1" si="92"/>
        <v>29111</v>
      </c>
      <c r="L43" s="109">
        <f t="shared" ca="1" si="92"/>
        <v>32373.63636363636</v>
      </c>
      <c r="M43" s="109">
        <f t="shared" ca="1" si="92"/>
        <v>27517.590909090912</v>
      </c>
      <c r="N43" s="109">
        <f t="shared" ca="1" si="93"/>
        <v>32373.636363636364</v>
      </c>
      <c r="O43" s="58"/>
      <c r="P43" s="58"/>
      <c r="Q43" s="58"/>
      <c r="R43" s="58"/>
      <c r="S43" s="58"/>
      <c r="T43" s="120">
        <v>9336.6859999999997</v>
      </c>
      <c r="U43" s="120">
        <v>9306.2729999999992</v>
      </c>
      <c r="V43" s="120">
        <v>9196.5930000000008</v>
      </c>
      <c r="W43" s="120">
        <v>15283.757</v>
      </c>
      <c r="X43" s="120">
        <v>15116.99</v>
      </c>
      <c r="Y43" s="120">
        <v>15506.065000000001</v>
      </c>
      <c r="Z43" s="120">
        <v>21656.442999999999</v>
      </c>
      <c r="AA43" s="120">
        <v>21448.376</v>
      </c>
      <c r="AB43" s="120">
        <v>21556.781999999999</v>
      </c>
      <c r="AC43" s="120">
        <v>21640.73</v>
      </c>
      <c r="AD43" s="120">
        <v>31795.845000000001</v>
      </c>
      <c r="AE43" s="120">
        <v>32591.969000000001</v>
      </c>
      <c r="AF43" s="120">
        <v>30702.116000000002</v>
      </c>
      <c r="AG43" s="120">
        <v>30553.131000000001</v>
      </c>
      <c r="AH43" s="120">
        <v>31418.138999999999</v>
      </c>
      <c r="AI43" s="120">
        <v>31551.876</v>
      </c>
      <c r="AJ43" s="120">
        <v>27648.476999999999</v>
      </c>
      <c r="AK43" s="120">
        <v>27472.249</v>
      </c>
      <c r="AL43" s="120">
        <v>27013</v>
      </c>
      <c r="AM43" s="120">
        <v>29768</v>
      </c>
      <c r="AN43" s="120">
        <v>29111</v>
      </c>
      <c r="AO43" s="109">
        <f t="shared" ref="AO43:AZ43" si="95">AO165-AO39</f>
        <v>38848.36363636364</v>
      </c>
      <c r="AP43" s="109">
        <f t="shared" si="95"/>
        <v>32373.636363636368</v>
      </c>
      <c r="AQ43" s="109">
        <f t="shared" si="95"/>
        <v>32373.63636363636</v>
      </c>
      <c r="AR43" s="109">
        <f t="shared" ca="1" si="95"/>
        <v>32373.63636363636</v>
      </c>
      <c r="AS43" s="109">
        <f t="shared" ca="1" si="95"/>
        <v>32373.63636363636</v>
      </c>
      <c r="AT43" s="109">
        <f t="shared" ca="1" si="95"/>
        <v>27517.590909090912</v>
      </c>
      <c r="AU43" s="109">
        <f t="shared" ca="1" si="95"/>
        <v>27517.590909090912</v>
      </c>
      <c r="AV43" s="109">
        <f t="shared" ca="1" si="95"/>
        <v>27517.590909090912</v>
      </c>
      <c r="AW43" s="109">
        <f t="shared" si="95"/>
        <v>32373.636363636364</v>
      </c>
      <c r="AX43" s="109">
        <f t="shared" si="95"/>
        <v>32373.636363636364</v>
      </c>
      <c r="AY43" s="109">
        <f t="shared" si="95"/>
        <v>32373.636363636364</v>
      </c>
      <c r="AZ43" s="109">
        <f t="shared" si="95"/>
        <v>32373.636363636364</v>
      </c>
    </row>
    <row r="44" spans="1:59">
      <c r="B44" s="3" t="s">
        <v>236</v>
      </c>
      <c r="E44" s="58"/>
      <c r="F44" s="109">
        <f t="shared" ca="1" si="92"/>
        <v>190</v>
      </c>
      <c r="G44" s="109">
        <f t="shared" ca="1" si="92"/>
        <v>376.49099999999999</v>
      </c>
      <c r="H44" s="109">
        <f t="shared" ca="1" si="92"/>
        <v>39.625999999999998</v>
      </c>
      <c r="I44" s="109">
        <f t="shared" ca="1" si="92"/>
        <v>17.413</v>
      </c>
      <c r="J44" s="109">
        <f t="shared" ca="1" si="92"/>
        <v>27.827999999999999</v>
      </c>
      <c r="K44" s="109">
        <f t="shared" ca="1" si="92"/>
        <v>73</v>
      </c>
      <c r="L44" s="109">
        <f t="shared" ca="1" si="92"/>
        <v>73</v>
      </c>
      <c r="M44" s="109">
        <f t="shared" ca="1" si="92"/>
        <v>73</v>
      </c>
      <c r="N44" s="109">
        <f t="shared" ca="1" si="93"/>
        <v>73</v>
      </c>
      <c r="O44" s="58"/>
      <c r="P44" s="58"/>
      <c r="Q44" s="58"/>
      <c r="R44" s="58"/>
      <c r="S44" s="58"/>
      <c r="T44" s="120">
        <v>190</v>
      </c>
      <c r="U44" s="120">
        <v>340</v>
      </c>
      <c r="V44" s="120">
        <v>340.8</v>
      </c>
      <c r="W44" s="120">
        <v>370.89100000000002</v>
      </c>
      <c r="X44" s="120">
        <v>376.49099999999999</v>
      </c>
      <c r="Y44" s="120">
        <v>454.291</v>
      </c>
      <c r="Z44" s="120">
        <v>454.95600000000002</v>
      </c>
      <c r="AA44" s="120">
        <v>455.536</v>
      </c>
      <c r="AB44" s="120">
        <v>39.625999999999998</v>
      </c>
      <c r="AC44" s="120">
        <v>37.994</v>
      </c>
      <c r="AD44" s="120">
        <v>42.412999999999997</v>
      </c>
      <c r="AE44" s="120">
        <v>45.878999999999998</v>
      </c>
      <c r="AF44" s="120">
        <v>17.413</v>
      </c>
      <c r="AG44" s="120">
        <v>17.969000000000001</v>
      </c>
      <c r="AH44" s="120">
        <v>19.597000000000001</v>
      </c>
      <c r="AI44" s="120">
        <v>20.324000000000002</v>
      </c>
      <c r="AJ44" s="120">
        <v>27.827999999999999</v>
      </c>
      <c r="AK44" s="120">
        <v>27.978000000000002</v>
      </c>
      <c r="AL44" s="120">
        <v>69</v>
      </c>
      <c r="AM44" s="120">
        <v>73</v>
      </c>
      <c r="AN44" s="120">
        <v>73</v>
      </c>
      <c r="AO44" s="89">
        <f t="shared" ref="AO44:AV44" si="96">AN44</f>
        <v>73</v>
      </c>
      <c r="AP44" s="89">
        <f t="shared" si="96"/>
        <v>73</v>
      </c>
      <c r="AQ44" s="89">
        <f t="shared" si="96"/>
        <v>73</v>
      </c>
      <c r="AR44" s="89">
        <f t="shared" si="96"/>
        <v>73</v>
      </c>
      <c r="AS44" s="89">
        <f t="shared" si="96"/>
        <v>73</v>
      </c>
      <c r="AT44" s="89">
        <f t="shared" si="96"/>
        <v>73</v>
      </c>
      <c r="AU44" s="89">
        <f t="shared" si="96"/>
        <v>73</v>
      </c>
      <c r="AV44" s="89">
        <f t="shared" si="96"/>
        <v>73</v>
      </c>
      <c r="AW44" s="89">
        <f t="shared" ref="AW44:AW48" si="97">AV44</f>
        <v>73</v>
      </c>
      <c r="AX44" s="89">
        <f t="shared" ref="AX44:AX48" si="98">AW44</f>
        <v>73</v>
      </c>
      <c r="AY44" s="89">
        <f t="shared" ref="AY44:AY48" si="99">AX44</f>
        <v>73</v>
      </c>
      <c r="AZ44" s="89">
        <f t="shared" ref="AZ44:AZ48" si="100">AY44</f>
        <v>73</v>
      </c>
    </row>
    <row r="45" spans="1:59">
      <c r="B45" s="3" t="s">
        <v>235</v>
      </c>
      <c r="E45" s="58"/>
      <c r="F45" s="109">
        <f t="shared" ca="1" si="92"/>
        <v>0</v>
      </c>
      <c r="G45" s="109">
        <f t="shared" ca="1" si="92"/>
        <v>373.22699999999998</v>
      </c>
      <c r="H45" s="109">
        <f t="shared" ca="1" si="92"/>
        <v>8.0000000000000002E-3</v>
      </c>
      <c r="I45" s="109">
        <f t="shared" ca="1" si="92"/>
        <v>0</v>
      </c>
      <c r="J45" s="109">
        <f t="shared" ca="1" si="92"/>
        <v>0</v>
      </c>
      <c r="K45" s="109">
        <f t="shared" ca="1" si="92"/>
        <v>0</v>
      </c>
      <c r="L45" s="109">
        <f t="shared" ca="1" si="92"/>
        <v>0</v>
      </c>
      <c r="M45" s="109">
        <f t="shared" ca="1" si="92"/>
        <v>0</v>
      </c>
      <c r="N45" s="109">
        <f t="shared" ca="1" si="93"/>
        <v>0</v>
      </c>
      <c r="O45" s="58"/>
      <c r="P45" s="58"/>
      <c r="Q45" s="58"/>
      <c r="R45" s="58"/>
      <c r="S45" s="58"/>
      <c r="T45" s="120">
        <v>0</v>
      </c>
      <c r="U45" s="120">
        <v>0</v>
      </c>
      <c r="V45" s="120">
        <v>0</v>
      </c>
      <c r="W45" s="120">
        <v>0</v>
      </c>
      <c r="X45" s="120">
        <v>373.22699999999998</v>
      </c>
      <c r="Y45" s="120">
        <v>0</v>
      </c>
      <c r="Z45" s="120">
        <v>0</v>
      </c>
      <c r="AA45" s="120">
        <v>0</v>
      </c>
      <c r="AB45" s="120">
        <v>8.0000000000000002E-3</v>
      </c>
      <c r="AC45" s="120">
        <v>0</v>
      </c>
      <c r="AD45" s="120">
        <v>0</v>
      </c>
      <c r="AE45" s="120">
        <v>0</v>
      </c>
      <c r="AF45" s="120">
        <v>0</v>
      </c>
      <c r="AG45" s="120"/>
      <c r="AH45" s="120"/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89">
        <f t="shared" ref="AO45:AV45" si="101">AN45</f>
        <v>0</v>
      </c>
      <c r="AP45" s="89">
        <f t="shared" si="101"/>
        <v>0</v>
      </c>
      <c r="AQ45" s="89">
        <f t="shared" si="101"/>
        <v>0</v>
      </c>
      <c r="AR45" s="89">
        <f t="shared" si="101"/>
        <v>0</v>
      </c>
      <c r="AS45" s="89">
        <f t="shared" si="101"/>
        <v>0</v>
      </c>
      <c r="AT45" s="89">
        <f t="shared" si="101"/>
        <v>0</v>
      </c>
      <c r="AU45" s="89">
        <f t="shared" si="101"/>
        <v>0</v>
      </c>
      <c r="AV45" s="89">
        <f t="shared" si="101"/>
        <v>0</v>
      </c>
      <c r="AW45" s="89">
        <f t="shared" si="97"/>
        <v>0</v>
      </c>
      <c r="AX45" s="89">
        <f t="shared" si="98"/>
        <v>0</v>
      </c>
      <c r="AY45" s="89">
        <f t="shared" si="99"/>
        <v>0</v>
      </c>
      <c r="AZ45" s="89">
        <f t="shared" si="100"/>
        <v>0</v>
      </c>
    </row>
    <row r="46" spans="1:59">
      <c r="B46" s="3" t="s">
        <v>234</v>
      </c>
      <c r="E46" s="58"/>
      <c r="F46" s="109">
        <f t="shared" ca="1" si="92"/>
        <v>289.48200000000003</v>
      </c>
      <c r="G46" s="109">
        <f t="shared" ca="1" si="92"/>
        <v>1200.27</v>
      </c>
      <c r="H46" s="109">
        <f t="shared" ca="1" si="92"/>
        <v>1143.8209999999999</v>
      </c>
      <c r="I46" s="109">
        <f t="shared" ca="1" si="92"/>
        <v>3441.29</v>
      </c>
      <c r="J46" s="109">
        <f t="shared" ca="1" si="92"/>
        <v>3589.2350000000001</v>
      </c>
      <c r="K46" s="109">
        <f t="shared" ca="1" si="92"/>
        <v>3375</v>
      </c>
      <c r="L46" s="109">
        <f t="shared" ca="1" si="92"/>
        <v>3375</v>
      </c>
      <c r="M46" s="109">
        <f t="shared" ca="1" si="92"/>
        <v>3375</v>
      </c>
      <c r="N46" s="109">
        <f t="shared" ca="1" si="93"/>
        <v>3375</v>
      </c>
      <c r="O46" s="58"/>
      <c r="P46" s="58"/>
      <c r="Q46" s="58"/>
      <c r="R46" s="58"/>
      <c r="S46" s="58"/>
      <c r="T46" s="120">
        <v>289.48200000000003</v>
      </c>
      <c r="U46" s="120">
        <v>308.78500000000003</v>
      </c>
      <c r="V46" s="120">
        <v>885.52499999999998</v>
      </c>
      <c r="W46" s="120">
        <v>885.18299999999999</v>
      </c>
      <c r="X46" s="120">
        <v>1200.27</v>
      </c>
      <c r="Y46" s="120">
        <v>1193.9079999999999</v>
      </c>
      <c r="Z46" s="120">
        <v>1164.346</v>
      </c>
      <c r="AA46" s="120">
        <v>1134.713</v>
      </c>
      <c r="AB46" s="120">
        <v>1143.8209999999999</v>
      </c>
      <c r="AC46" s="120">
        <v>1111.038</v>
      </c>
      <c r="AD46" s="120">
        <v>1107.326</v>
      </c>
      <c r="AE46" s="120">
        <v>1078.163</v>
      </c>
      <c r="AF46" s="120">
        <v>3441.29</v>
      </c>
      <c r="AG46" s="120">
        <v>3409.5479999999998</v>
      </c>
      <c r="AH46" s="120">
        <v>3474.4639999999999</v>
      </c>
      <c r="AI46" s="120">
        <v>3452.308</v>
      </c>
      <c r="AJ46" s="120">
        <v>3589.2350000000001</v>
      </c>
      <c r="AK46" s="120">
        <v>3601.15</v>
      </c>
      <c r="AL46" s="120">
        <v>3580</v>
      </c>
      <c r="AM46" s="120">
        <v>3472</v>
      </c>
      <c r="AN46" s="120">
        <v>3375</v>
      </c>
      <c r="AO46" s="89">
        <f t="shared" ref="AO46:AV46" si="102">AN46</f>
        <v>3375</v>
      </c>
      <c r="AP46" s="89">
        <f t="shared" si="102"/>
        <v>3375</v>
      </c>
      <c r="AQ46" s="89">
        <f t="shared" si="102"/>
        <v>3375</v>
      </c>
      <c r="AR46" s="89">
        <f t="shared" si="102"/>
        <v>3375</v>
      </c>
      <c r="AS46" s="89">
        <f t="shared" si="102"/>
        <v>3375</v>
      </c>
      <c r="AT46" s="89">
        <f t="shared" si="102"/>
        <v>3375</v>
      </c>
      <c r="AU46" s="89">
        <f t="shared" si="102"/>
        <v>3375</v>
      </c>
      <c r="AV46" s="89">
        <f t="shared" si="102"/>
        <v>3375</v>
      </c>
      <c r="AW46" s="89">
        <f t="shared" si="97"/>
        <v>3375</v>
      </c>
      <c r="AX46" s="89">
        <f t="shared" si="98"/>
        <v>3375</v>
      </c>
      <c r="AY46" s="89">
        <f t="shared" si="99"/>
        <v>3375</v>
      </c>
      <c r="AZ46" s="89">
        <f t="shared" si="100"/>
        <v>3375</v>
      </c>
    </row>
    <row r="47" spans="1:59">
      <c r="B47" s="3" t="s">
        <v>233</v>
      </c>
      <c r="E47" s="58"/>
      <c r="F47" s="109">
        <f t="shared" ca="1" si="92"/>
        <v>0</v>
      </c>
      <c r="G47" s="109">
        <f t="shared" ca="1" si="92"/>
        <v>67.376000000000005</v>
      </c>
      <c r="H47" s="109">
        <f t="shared" ca="1" si="92"/>
        <v>144.542</v>
      </c>
      <c r="I47" s="109">
        <f t="shared" ca="1" si="92"/>
        <v>125.86</v>
      </c>
      <c r="J47" s="109">
        <f t="shared" ca="1" si="92"/>
        <v>64.953999999999994</v>
      </c>
      <c r="K47" s="109">
        <f t="shared" ca="1" si="92"/>
        <v>39</v>
      </c>
      <c r="L47" s="109">
        <f t="shared" ca="1" si="92"/>
        <v>39</v>
      </c>
      <c r="M47" s="109">
        <f t="shared" ca="1" si="92"/>
        <v>39</v>
      </c>
      <c r="N47" s="109">
        <f t="shared" ca="1" si="93"/>
        <v>39</v>
      </c>
      <c r="O47" s="58"/>
      <c r="P47" s="58"/>
      <c r="Q47" s="58"/>
      <c r="R47" s="58"/>
      <c r="S47" s="58"/>
      <c r="T47" s="120"/>
      <c r="U47" s="120"/>
      <c r="V47" s="120"/>
      <c r="W47" s="120"/>
      <c r="X47" s="120">
        <v>67.376000000000005</v>
      </c>
      <c r="Y47" s="120">
        <v>64.930999999999997</v>
      </c>
      <c r="Z47" s="120">
        <v>77.795000000000002</v>
      </c>
      <c r="AA47" s="120">
        <v>115.253</v>
      </c>
      <c r="AB47" s="120">
        <v>144.542</v>
      </c>
      <c r="AC47" s="120">
        <v>167.69</v>
      </c>
      <c r="AD47" s="120">
        <v>170.33699999999999</v>
      </c>
      <c r="AE47" s="120">
        <v>205.071</v>
      </c>
      <c r="AF47" s="120">
        <v>125.86</v>
      </c>
      <c r="AG47" s="120">
        <v>108.76600000000001</v>
      </c>
      <c r="AH47" s="120">
        <v>124.029</v>
      </c>
      <c r="AI47" s="120">
        <v>112.254</v>
      </c>
      <c r="AJ47" s="120">
        <v>64.953999999999994</v>
      </c>
      <c r="AK47" s="120">
        <v>67.504999999999995</v>
      </c>
      <c r="AL47" s="120">
        <v>67</v>
      </c>
      <c r="AM47" s="120">
        <v>75</v>
      </c>
      <c r="AN47" s="120">
        <v>39</v>
      </c>
      <c r="AO47" s="89">
        <f t="shared" ref="AO47:AV47" si="103">AN47</f>
        <v>39</v>
      </c>
      <c r="AP47" s="89">
        <f t="shared" si="103"/>
        <v>39</v>
      </c>
      <c r="AQ47" s="89">
        <f t="shared" si="103"/>
        <v>39</v>
      </c>
      <c r="AR47" s="89">
        <f t="shared" si="103"/>
        <v>39</v>
      </c>
      <c r="AS47" s="89">
        <f t="shared" si="103"/>
        <v>39</v>
      </c>
      <c r="AT47" s="89">
        <f t="shared" si="103"/>
        <v>39</v>
      </c>
      <c r="AU47" s="89">
        <f t="shared" si="103"/>
        <v>39</v>
      </c>
      <c r="AV47" s="89">
        <f t="shared" si="103"/>
        <v>39</v>
      </c>
      <c r="AW47" s="89">
        <f t="shared" si="97"/>
        <v>39</v>
      </c>
      <c r="AX47" s="89">
        <f t="shared" si="98"/>
        <v>39</v>
      </c>
      <c r="AY47" s="89">
        <f t="shared" si="99"/>
        <v>39</v>
      </c>
      <c r="AZ47" s="89">
        <f t="shared" si="100"/>
        <v>39</v>
      </c>
    </row>
    <row r="48" spans="1:59">
      <c r="B48" s="3" t="s">
        <v>232</v>
      </c>
      <c r="E48" s="58"/>
      <c r="F48" s="109">
        <f t="shared" ca="1" si="92"/>
        <v>44.478999999999999</v>
      </c>
      <c r="G48" s="109">
        <f t="shared" ca="1" si="92"/>
        <v>40.999000000000002</v>
      </c>
      <c r="H48" s="109">
        <f t="shared" ca="1" si="92"/>
        <v>50.079000000000001</v>
      </c>
      <c r="I48" s="109">
        <f t="shared" ca="1" si="92"/>
        <v>8.4350000000000005</v>
      </c>
      <c r="J48" s="109">
        <f t="shared" ca="1" si="92"/>
        <v>0.34799999999999998</v>
      </c>
      <c r="K48" s="109">
        <f t="shared" ca="1" si="92"/>
        <v>0</v>
      </c>
      <c r="L48" s="109">
        <f t="shared" ca="1" si="92"/>
        <v>0</v>
      </c>
      <c r="M48" s="109">
        <f t="shared" ca="1" si="92"/>
        <v>0</v>
      </c>
      <c r="N48" s="109">
        <f t="shared" ca="1" si="93"/>
        <v>0</v>
      </c>
      <c r="O48" s="58"/>
      <c r="P48" s="58"/>
      <c r="Q48" s="95"/>
      <c r="R48" s="95"/>
      <c r="S48" s="95"/>
      <c r="T48" s="120">
        <v>44.478999999999999</v>
      </c>
      <c r="U48" s="120">
        <v>36.018999999999998</v>
      </c>
      <c r="V48" s="120">
        <v>27.417999999999999</v>
      </c>
      <c r="W48" s="120">
        <v>18.673999999999999</v>
      </c>
      <c r="X48" s="120">
        <v>40.999000000000002</v>
      </c>
      <c r="Y48" s="120">
        <v>32.381999999999998</v>
      </c>
      <c r="Z48" s="120">
        <v>67.975999999999999</v>
      </c>
      <c r="AA48" s="120">
        <v>64.960999999999999</v>
      </c>
      <c r="AB48" s="120">
        <v>50.079000000000001</v>
      </c>
      <c r="AC48" s="120">
        <v>38.749000000000002</v>
      </c>
      <c r="AD48" s="120">
        <v>27.158999999999999</v>
      </c>
      <c r="AE48" s="120">
        <v>15.502000000000001</v>
      </c>
      <c r="AF48" s="120">
        <v>8.4350000000000005</v>
      </c>
      <c r="AG48" s="120">
        <v>0.58699999999999997</v>
      </c>
      <c r="AH48" s="120">
        <v>0.50900000000000001</v>
      </c>
      <c r="AI48" s="120">
        <v>0.43</v>
      </c>
      <c r="AJ48" s="120">
        <v>0.34799999999999998</v>
      </c>
      <c r="AK48" s="120">
        <v>0.34799999999999998</v>
      </c>
      <c r="AL48" s="120">
        <v>0</v>
      </c>
      <c r="AM48" s="120">
        <v>0</v>
      </c>
      <c r="AN48" s="120">
        <f t="shared" ref="AN48:AV48" si="104">AM48</f>
        <v>0</v>
      </c>
      <c r="AO48" s="89">
        <f t="shared" si="104"/>
        <v>0</v>
      </c>
      <c r="AP48" s="89">
        <f t="shared" si="104"/>
        <v>0</v>
      </c>
      <c r="AQ48" s="89">
        <f t="shared" si="104"/>
        <v>0</v>
      </c>
      <c r="AR48" s="89">
        <f t="shared" si="104"/>
        <v>0</v>
      </c>
      <c r="AS48" s="89">
        <f t="shared" si="104"/>
        <v>0</v>
      </c>
      <c r="AT48" s="89">
        <f t="shared" si="104"/>
        <v>0</v>
      </c>
      <c r="AU48" s="89">
        <f t="shared" si="104"/>
        <v>0</v>
      </c>
      <c r="AV48" s="89">
        <f t="shared" si="104"/>
        <v>0</v>
      </c>
      <c r="AW48" s="89">
        <f t="shared" si="97"/>
        <v>0</v>
      </c>
      <c r="AX48" s="89">
        <f t="shared" si="98"/>
        <v>0</v>
      </c>
      <c r="AY48" s="89">
        <f t="shared" si="99"/>
        <v>0</v>
      </c>
      <c r="AZ48" s="89">
        <f t="shared" si="100"/>
        <v>0</v>
      </c>
    </row>
    <row r="49" spans="2:52">
      <c r="B49" s="9" t="s">
        <v>231</v>
      </c>
      <c r="E49" s="58"/>
      <c r="F49" s="117">
        <f t="shared" ref="F49:M49" ca="1" si="105">SUM(F42:F48)</f>
        <v>10217.235999999999</v>
      </c>
      <c r="G49" s="117">
        <f t="shared" ca="1" si="105"/>
        <v>19287.711999999996</v>
      </c>
      <c r="H49" s="117">
        <f t="shared" ca="1" si="105"/>
        <v>24794.858000000004</v>
      </c>
      <c r="I49" s="117">
        <f t="shared" ca="1" si="105"/>
        <v>37534.79</v>
      </c>
      <c r="J49" s="117">
        <f t="shared" ca="1" si="105"/>
        <v>38152.950999999994</v>
      </c>
      <c r="K49" s="117">
        <f t="shared" ca="1" si="105"/>
        <v>39299</v>
      </c>
      <c r="L49" s="117">
        <f t="shared" ca="1" si="105"/>
        <v>42561.63636363636</v>
      </c>
      <c r="M49" s="117">
        <f t="shared" ca="1" si="105"/>
        <v>37705.590909090912</v>
      </c>
      <c r="N49" s="117">
        <f t="shared" ref="N49" ca="1" si="106">SUM(N42:N48)</f>
        <v>42561.636363636368</v>
      </c>
      <c r="O49" s="58"/>
      <c r="P49" s="58"/>
      <c r="Q49" s="95"/>
      <c r="R49" s="95"/>
      <c r="S49" s="95"/>
      <c r="T49" s="117">
        <f t="shared" ref="T49:AV49" si="107">SUM(T42:T48)</f>
        <v>10217.235999999999</v>
      </c>
      <c r="U49" s="117">
        <f t="shared" si="107"/>
        <v>10343.601999999999</v>
      </c>
      <c r="V49" s="117">
        <f t="shared" si="107"/>
        <v>10798.695</v>
      </c>
      <c r="W49" s="117">
        <f t="shared" si="107"/>
        <v>19040.838</v>
      </c>
      <c r="X49" s="117">
        <f t="shared" si="107"/>
        <v>19287.711999999996</v>
      </c>
      <c r="Y49" s="117">
        <f t="shared" si="107"/>
        <v>19419.267000000003</v>
      </c>
      <c r="Z49" s="117">
        <f t="shared" si="107"/>
        <v>25588.435999999994</v>
      </c>
      <c r="AA49" s="117">
        <f t="shared" si="107"/>
        <v>23218.839</v>
      </c>
      <c r="AB49" s="117">
        <f t="shared" si="107"/>
        <v>24794.858000000004</v>
      </c>
      <c r="AC49" s="117">
        <f t="shared" si="107"/>
        <v>24855.420999999998</v>
      </c>
      <c r="AD49" s="117">
        <f t="shared" si="107"/>
        <v>35004.97</v>
      </c>
      <c r="AE49" s="117">
        <f t="shared" si="107"/>
        <v>38056.780000000006</v>
      </c>
      <c r="AF49" s="117">
        <f t="shared" si="107"/>
        <v>37534.79</v>
      </c>
      <c r="AG49" s="117">
        <f t="shared" si="107"/>
        <v>37314.388000000006</v>
      </c>
      <c r="AH49" s="117">
        <f t="shared" si="107"/>
        <v>41545.186999999998</v>
      </c>
      <c r="AI49" s="117">
        <f t="shared" si="107"/>
        <v>39349.574000000001</v>
      </c>
      <c r="AJ49" s="117">
        <f t="shared" si="107"/>
        <v>38152.950999999994</v>
      </c>
      <c r="AK49" s="117">
        <f t="shared" si="107"/>
        <v>37952.46</v>
      </c>
      <c r="AL49" s="117">
        <f t="shared" si="107"/>
        <v>37692</v>
      </c>
      <c r="AM49" s="117">
        <f t="shared" si="107"/>
        <v>40229</v>
      </c>
      <c r="AN49" s="117">
        <f t="shared" si="107"/>
        <v>39299</v>
      </c>
      <c r="AO49" s="117">
        <f t="shared" si="107"/>
        <v>48536.36363636364</v>
      </c>
      <c r="AP49" s="117">
        <f t="shared" si="107"/>
        <v>42061.636363636368</v>
      </c>
      <c r="AQ49" s="117">
        <f t="shared" si="107"/>
        <v>42061.63636363636</v>
      </c>
      <c r="AR49" s="117">
        <f t="shared" ca="1" si="107"/>
        <v>42561.63636363636</v>
      </c>
      <c r="AS49" s="117">
        <f t="shared" ca="1" si="107"/>
        <v>42561.63636363636</v>
      </c>
      <c r="AT49" s="117">
        <f t="shared" ca="1" si="107"/>
        <v>37705.590909090912</v>
      </c>
      <c r="AU49" s="117">
        <f t="shared" ca="1" si="107"/>
        <v>37705.590909090912</v>
      </c>
      <c r="AV49" s="117">
        <f t="shared" ca="1" si="107"/>
        <v>37705.590909090912</v>
      </c>
      <c r="AW49" s="117">
        <f t="shared" ref="AW49:AZ49" si="108">SUM(AW42:AW48)</f>
        <v>42561.636363636368</v>
      </c>
      <c r="AX49" s="117">
        <f t="shared" si="108"/>
        <v>42561.636363636368</v>
      </c>
      <c r="AY49" s="117">
        <f t="shared" si="108"/>
        <v>42561.636363636368</v>
      </c>
      <c r="AZ49" s="117">
        <f t="shared" si="108"/>
        <v>42561.636363636368</v>
      </c>
    </row>
    <row r="50" spans="2:52">
      <c r="B50" s="3"/>
      <c r="E50" s="58"/>
      <c r="F50" s="115"/>
      <c r="G50" s="115"/>
      <c r="H50" s="115"/>
      <c r="I50" s="115"/>
      <c r="J50" s="115"/>
      <c r="K50" s="115"/>
      <c r="L50" s="115"/>
      <c r="M50" s="115"/>
      <c r="N50" s="115"/>
      <c r="O50" s="58"/>
      <c r="P50" s="58"/>
      <c r="Q50" s="95"/>
      <c r="R50" s="95"/>
      <c r="S50" s="95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2:52">
      <c r="B51" s="9" t="s">
        <v>230</v>
      </c>
      <c r="E51" s="58"/>
      <c r="F51" s="117">
        <f t="shared" ref="F51:M51" ca="1" si="109">F40+F49</f>
        <v>18453.764999999999</v>
      </c>
      <c r="G51" s="117">
        <f t="shared" ca="1" si="109"/>
        <v>30320.537999999997</v>
      </c>
      <c r="H51" s="117">
        <f t="shared" ca="1" si="109"/>
        <v>45065.679000000004</v>
      </c>
      <c r="I51" s="117">
        <f t="shared" ca="1" si="109"/>
        <v>63637.591999999997</v>
      </c>
      <c r="J51" s="117">
        <f t="shared" ca="1" si="109"/>
        <v>84254.995999999985</v>
      </c>
      <c r="K51" s="117">
        <f t="shared" ca="1" si="109"/>
        <v>121356</v>
      </c>
      <c r="L51" s="117">
        <f t="shared" ca="1" si="109"/>
        <v>117120.97199461889</v>
      </c>
      <c r="M51" s="117">
        <f t="shared" ca="1" si="109"/>
        <v>88244.979566242502</v>
      </c>
      <c r="N51" s="117">
        <f t="shared" ref="N51" ca="1" si="110">N40+N49</f>
        <v>67720.959069243749</v>
      </c>
      <c r="O51" s="58"/>
      <c r="P51" s="58"/>
      <c r="Q51" s="58"/>
      <c r="R51" s="58"/>
      <c r="S51" s="58"/>
      <c r="T51" s="117">
        <f t="shared" ref="T51:AV51" si="111">T40+T49</f>
        <v>18453.764999999999</v>
      </c>
      <c r="U51" s="117">
        <f t="shared" si="111"/>
        <v>18303.11</v>
      </c>
      <c r="V51" s="117">
        <f t="shared" si="111"/>
        <v>19875.788</v>
      </c>
      <c r="W51" s="117">
        <f t="shared" si="111"/>
        <v>27600.203000000001</v>
      </c>
      <c r="X51" s="117">
        <f t="shared" si="111"/>
        <v>30320.537999999997</v>
      </c>
      <c r="Y51" s="117">
        <f t="shared" si="111"/>
        <v>31309.810000000005</v>
      </c>
      <c r="Z51" s="117">
        <f t="shared" si="111"/>
        <v>39355.487999999998</v>
      </c>
      <c r="AA51" s="117">
        <f t="shared" si="111"/>
        <v>41311.042000000001</v>
      </c>
      <c r="AB51" s="117">
        <f t="shared" si="111"/>
        <v>45065.679000000004</v>
      </c>
      <c r="AC51" s="117">
        <f t="shared" si="111"/>
        <v>45461.252</v>
      </c>
      <c r="AD51" s="117">
        <f t="shared" si="111"/>
        <v>58861.714999999997</v>
      </c>
      <c r="AE51" s="117">
        <f t="shared" si="111"/>
        <v>64994.578000000009</v>
      </c>
      <c r="AF51" s="117">
        <f t="shared" si="111"/>
        <v>63637.591999999997</v>
      </c>
      <c r="AG51" s="117">
        <f t="shared" si="111"/>
        <v>63796.444000000003</v>
      </c>
      <c r="AH51" s="117">
        <f t="shared" si="111"/>
        <v>69252.717999999993</v>
      </c>
      <c r="AI51" s="117">
        <f t="shared" si="111"/>
        <v>71589.347999999998</v>
      </c>
      <c r="AJ51" s="117">
        <f t="shared" si="111"/>
        <v>84254.995999999985</v>
      </c>
      <c r="AK51" s="117">
        <f t="shared" si="111"/>
        <v>105435.31400000001</v>
      </c>
      <c r="AL51" s="117">
        <f t="shared" si="111"/>
        <v>117537</v>
      </c>
      <c r="AM51" s="117">
        <f t="shared" si="111"/>
        <v>131152</v>
      </c>
      <c r="AN51" s="117">
        <f t="shared" si="111"/>
        <v>121356</v>
      </c>
      <c r="AO51" s="117">
        <f t="shared" ca="1" si="111"/>
        <v>135527.18401606227</v>
      </c>
      <c r="AP51" s="117">
        <f t="shared" ca="1" si="111"/>
        <v>126257.99722489901</v>
      </c>
      <c r="AQ51" s="117">
        <f t="shared" ca="1" si="111"/>
        <v>150600.3673308127</v>
      </c>
      <c r="AR51" s="117">
        <f t="shared" ca="1" si="111"/>
        <v>117120.97199461889</v>
      </c>
      <c r="AS51" s="117">
        <f t="shared" ca="1" si="111"/>
        <v>157109.34472743172</v>
      </c>
      <c r="AT51" s="117">
        <f t="shared" ca="1" si="111"/>
        <v>98485.522464721565</v>
      </c>
      <c r="AU51" s="117">
        <f t="shared" ca="1" si="111"/>
        <v>173494.15765173745</v>
      </c>
      <c r="AV51" s="117">
        <f t="shared" ca="1" si="111"/>
        <v>88244.979566242502</v>
      </c>
      <c r="AW51" s="117">
        <f t="shared" ref="AW51:AZ51" ca="1" si="112">AW40+AW49</f>
        <v>183703.39417686628</v>
      </c>
      <c r="AX51" s="117">
        <f t="shared" ca="1" si="112"/>
        <v>73886.801214332809</v>
      </c>
      <c r="AY51" s="117">
        <f t="shared" ca="1" si="112"/>
        <v>207582.04783736414</v>
      </c>
      <c r="AZ51" s="117">
        <f t="shared" ca="1" si="112"/>
        <v>67720.959069243749</v>
      </c>
    </row>
    <row r="52" spans="2:52">
      <c r="B52" s="3"/>
      <c r="E52" s="58"/>
      <c r="F52" s="109"/>
      <c r="G52" s="109"/>
      <c r="H52" s="109"/>
      <c r="I52" s="109"/>
      <c r="J52" s="109"/>
      <c r="K52" s="109"/>
      <c r="L52" s="109"/>
      <c r="M52" s="109"/>
      <c r="N52" s="109"/>
      <c r="O52" s="58"/>
      <c r="P52" s="58"/>
      <c r="Q52" s="58"/>
      <c r="R52" s="58"/>
      <c r="S52" s="58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70"/>
      <c r="AO52" s="70"/>
      <c r="AP52" s="70"/>
    </row>
    <row r="53" spans="2:52">
      <c r="B53" s="3" t="s">
        <v>229</v>
      </c>
      <c r="E53" s="58"/>
      <c r="F53" s="109">
        <f t="shared" ref="F53:M53" ca="1" si="113">OFFSET($P53,0,F$2,1,1)</f>
        <v>1033.2829999999999</v>
      </c>
      <c r="G53" s="109">
        <f t="shared" ca="1" si="113"/>
        <v>0</v>
      </c>
      <c r="H53" s="109">
        <f t="shared" ca="1" si="113"/>
        <v>1894.502</v>
      </c>
      <c r="I53" s="109">
        <f t="shared" ca="1" si="113"/>
        <v>3947.8789999999999</v>
      </c>
      <c r="J53" s="109">
        <f t="shared" ca="1" si="113"/>
        <v>5491.9759999999997</v>
      </c>
      <c r="K53" s="109">
        <f t="shared" ca="1" si="113"/>
        <v>11022</v>
      </c>
      <c r="L53" s="109">
        <f t="shared" ca="1" si="113"/>
        <v>11022</v>
      </c>
      <c r="M53" s="109">
        <f t="shared" ca="1" si="113"/>
        <v>11022</v>
      </c>
      <c r="N53" s="109">
        <f ca="1">OFFSET($P53,0,N$2,1,1)</f>
        <v>11022</v>
      </c>
      <c r="O53" s="58"/>
      <c r="P53" s="58"/>
      <c r="Q53" s="58"/>
      <c r="R53" s="58"/>
      <c r="S53" s="58"/>
      <c r="T53" s="120">
        <v>1033.2829999999999</v>
      </c>
      <c r="U53" s="120">
        <v>935.48800000000006</v>
      </c>
      <c r="V53" s="120">
        <v>924.40800000000002</v>
      </c>
      <c r="W53" s="120">
        <v>892.69600000000003</v>
      </c>
      <c r="X53" s="120"/>
      <c r="Y53" s="120"/>
      <c r="Z53" s="120"/>
      <c r="AA53" s="120"/>
      <c r="AB53" s="120">
        <v>1894.502</v>
      </c>
      <c r="AC53" s="120">
        <v>1960.106</v>
      </c>
      <c r="AD53" s="120">
        <v>2032.5239999999999</v>
      </c>
      <c r="AE53" s="120">
        <v>2155.9810000000002</v>
      </c>
      <c r="AF53" s="120">
        <v>3947.8789999999999</v>
      </c>
      <c r="AG53" s="120">
        <v>4047.8380000000002</v>
      </c>
      <c r="AH53" s="120">
        <v>4757.7640000000001</v>
      </c>
      <c r="AI53" s="120">
        <v>5121.7629999999999</v>
      </c>
      <c r="AJ53" s="120">
        <v>5491.9759999999997</v>
      </c>
      <c r="AK53" s="120">
        <v>5617.56</v>
      </c>
      <c r="AL53" s="120">
        <v>5998</v>
      </c>
      <c r="AM53" s="120">
        <v>3097</v>
      </c>
      <c r="AN53" s="120">
        <v>11022</v>
      </c>
      <c r="AO53" s="89">
        <f t="shared" ref="AO53:AV53" si="114">AN53</f>
        <v>11022</v>
      </c>
      <c r="AP53" s="89">
        <f t="shared" si="114"/>
        <v>11022</v>
      </c>
      <c r="AQ53" s="89">
        <f t="shared" si="114"/>
        <v>11022</v>
      </c>
      <c r="AR53" s="89">
        <f t="shared" si="114"/>
        <v>11022</v>
      </c>
      <c r="AS53" s="89">
        <f t="shared" si="114"/>
        <v>11022</v>
      </c>
      <c r="AT53" s="89">
        <f t="shared" si="114"/>
        <v>11022</v>
      </c>
      <c r="AU53" s="89">
        <f t="shared" si="114"/>
        <v>11022</v>
      </c>
      <c r="AV53" s="89">
        <f t="shared" si="114"/>
        <v>11022</v>
      </c>
      <c r="AW53" s="89">
        <f t="shared" ref="AW53" si="115">AV53</f>
        <v>11022</v>
      </c>
      <c r="AX53" s="89">
        <f t="shared" ref="AX53" si="116">AW53</f>
        <v>11022</v>
      </c>
      <c r="AY53" s="89">
        <f t="shared" ref="AY53" si="117">AX53</f>
        <v>11022</v>
      </c>
      <c r="AZ53" s="89">
        <f t="shared" ref="AZ53" si="118">AY53</f>
        <v>11022</v>
      </c>
    </row>
    <row r="54" spans="2:52">
      <c r="B54" s="3"/>
      <c r="E54" s="58"/>
      <c r="F54" s="109"/>
      <c r="G54" s="109"/>
      <c r="H54" s="109"/>
      <c r="I54" s="109"/>
      <c r="J54" s="109"/>
      <c r="K54" s="109"/>
      <c r="L54" s="109"/>
      <c r="M54" s="109"/>
      <c r="N54" s="109"/>
      <c r="O54" s="58"/>
      <c r="P54" s="58"/>
      <c r="Q54" s="58"/>
      <c r="R54" s="58"/>
      <c r="S54" s="58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70"/>
      <c r="AO54" s="70"/>
      <c r="AP54" s="70"/>
    </row>
    <row r="55" spans="2:52">
      <c r="B55" s="3" t="s">
        <v>228</v>
      </c>
      <c r="E55" s="58"/>
      <c r="F55" s="109">
        <f t="shared" ref="F55:M58" ca="1" si="119">OFFSET($P55,0,F$2,1,1)</f>
        <v>1.4999999999999999E-2</v>
      </c>
      <c r="G55" s="109">
        <f t="shared" ca="1" si="119"/>
        <v>1.4999999999999999E-2</v>
      </c>
      <c r="H55" s="109">
        <f t="shared" ca="1" si="119"/>
        <v>1.4999999999999999E-2</v>
      </c>
      <c r="I55" s="109">
        <f t="shared" ca="1" si="119"/>
        <v>1.4999999999999999E-2</v>
      </c>
      <c r="J55" s="109">
        <f t="shared" ca="1" si="119"/>
        <v>1.4999999999999999E-2</v>
      </c>
      <c r="K55" s="109">
        <f t="shared" ca="1" si="119"/>
        <v>1.4999999999999999E-2</v>
      </c>
      <c r="L55" s="109">
        <f t="shared" ca="1" si="119"/>
        <v>1.4999999999999999E-2</v>
      </c>
      <c r="M55" s="109">
        <f t="shared" ca="1" si="119"/>
        <v>1.4999999999999999E-2</v>
      </c>
      <c r="N55" s="109">
        <f ca="1">OFFSET($P55,0,N$2,1,1)</f>
        <v>1.4999999999999999E-2</v>
      </c>
      <c r="O55" s="58"/>
      <c r="P55" s="58"/>
      <c r="Q55" s="58"/>
      <c r="R55" s="58"/>
      <c r="S55" s="58"/>
      <c r="T55" s="120">
        <v>1.4999999999999999E-2</v>
      </c>
      <c r="U55" s="120">
        <v>1.4999999999999999E-2</v>
      </c>
      <c r="V55" s="120">
        <v>1.4999999999999999E-2</v>
      </c>
      <c r="W55" s="120">
        <v>1.4999999999999999E-2</v>
      </c>
      <c r="X55" s="120">
        <v>1.4999999999999999E-2</v>
      </c>
      <c r="Y55" s="120">
        <v>1.4999999999999999E-2</v>
      </c>
      <c r="Z55" s="120">
        <v>1.4999999999999999E-2</v>
      </c>
      <c r="AA55" s="120">
        <v>1.4999999999999999E-2</v>
      </c>
      <c r="AB55" s="120">
        <v>1.4999999999999999E-2</v>
      </c>
      <c r="AC55" s="120">
        <v>1.4999999999999999E-2</v>
      </c>
      <c r="AD55" s="120">
        <v>1.4999999999999999E-2</v>
      </c>
      <c r="AE55" s="120">
        <v>1.4999999999999999E-2</v>
      </c>
      <c r="AF55" s="120">
        <v>1.4999999999999999E-2</v>
      </c>
      <c r="AG55" s="120">
        <v>1.4999999999999999E-2</v>
      </c>
      <c r="AH55" s="120">
        <v>1.4999999999999999E-2</v>
      </c>
      <c r="AI55" s="120">
        <v>1.4999999999999999E-2</v>
      </c>
      <c r="AJ55" s="120">
        <v>1.4999999999999999E-2</v>
      </c>
      <c r="AK55" s="120">
        <v>1.4999999999999999E-2</v>
      </c>
      <c r="AL55" s="120">
        <f t="shared" ref="AL55:AV55" si="120">AK55</f>
        <v>1.4999999999999999E-2</v>
      </c>
      <c r="AM55" s="120">
        <f t="shared" si="120"/>
        <v>1.4999999999999999E-2</v>
      </c>
      <c r="AN55" s="120">
        <f t="shared" si="120"/>
        <v>1.4999999999999999E-2</v>
      </c>
      <c r="AO55" s="89">
        <f t="shared" si="120"/>
        <v>1.4999999999999999E-2</v>
      </c>
      <c r="AP55" s="89">
        <f t="shared" si="120"/>
        <v>1.4999999999999999E-2</v>
      </c>
      <c r="AQ55" s="89">
        <f t="shared" si="120"/>
        <v>1.4999999999999999E-2</v>
      </c>
      <c r="AR55" s="89">
        <f t="shared" si="120"/>
        <v>1.4999999999999999E-2</v>
      </c>
      <c r="AS55" s="89">
        <f t="shared" si="120"/>
        <v>1.4999999999999999E-2</v>
      </c>
      <c r="AT55" s="89">
        <f t="shared" si="120"/>
        <v>1.4999999999999999E-2</v>
      </c>
      <c r="AU55" s="89">
        <f t="shared" si="120"/>
        <v>1.4999999999999999E-2</v>
      </c>
      <c r="AV55" s="89">
        <f t="shared" si="120"/>
        <v>1.4999999999999999E-2</v>
      </c>
      <c r="AW55" s="89">
        <f t="shared" ref="AW55" si="121">AV55</f>
        <v>1.4999999999999999E-2</v>
      </c>
      <c r="AX55" s="89">
        <f t="shared" ref="AX55" si="122">AW55</f>
        <v>1.4999999999999999E-2</v>
      </c>
      <c r="AY55" s="89">
        <f t="shared" ref="AY55" si="123">AX55</f>
        <v>1.4999999999999999E-2</v>
      </c>
      <c r="AZ55" s="89">
        <f t="shared" ref="AZ55" si="124">AY55</f>
        <v>1.4999999999999999E-2</v>
      </c>
    </row>
    <row r="56" spans="2:52">
      <c r="B56" s="3" t="s">
        <v>227</v>
      </c>
      <c r="E56" s="58"/>
      <c r="F56" s="109">
        <f t="shared" ca="1" si="119"/>
        <v>2095.2730000000001</v>
      </c>
      <c r="G56" s="109">
        <f t="shared" ca="1" si="119"/>
        <v>3056.4180000000001</v>
      </c>
      <c r="H56" s="109">
        <f t="shared" ca="1" si="119"/>
        <v>3650.6010000000001</v>
      </c>
      <c r="I56" s="109">
        <f t="shared" ca="1" si="119"/>
        <v>6402.3490000000002</v>
      </c>
      <c r="J56" s="109">
        <f t="shared" ca="1" si="119"/>
        <v>8322.7870000000003</v>
      </c>
      <c r="K56" s="109">
        <f t="shared" ca="1" si="119"/>
        <v>12087.985000000001</v>
      </c>
      <c r="L56" s="109">
        <f t="shared" ca="1" si="119"/>
        <v>16351.770456086848</v>
      </c>
      <c r="M56" s="109">
        <f t="shared" ca="1" si="119"/>
        <v>21300.167048030868</v>
      </c>
      <c r="N56" s="109">
        <f ca="1">OFFSET($P56,0,N$2,1,1)</f>
        <v>26945.817151922627</v>
      </c>
      <c r="O56" s="58"/>
      <c r="P56" s="58"/>
      <c r="Q56" s="58"/>
      <c r="R56" s="58"/>
      <c r="S56" s="58"/>
      <c r="T56" s="120">
        <v>2095.2730000000001</v>
      </c>
      <c r="U56" s="120">
        <v>2270.7719999999999</v>
      </c>
      <c r="V56" s="120">
        <v>2284.6010000000001</v>
      </c>
      <c r="W56" s="120">
        <v>2330.0450000000001</v>
      </c>
      <c r="X56" s="120">
        <v>3056.4180000000001</v>
      </c>
      <c r="Y56" s="120">
        <v>2817.06</v>
      </c>
      <c r="Z56" s="120">
        <v>3028.9389999999999</v>
      </c>
      <c r="AA56" s="120">
        <v>3247.4279999999999</v>
      </c>
      <c r="AB56" s="120">
        <v>3650.6010000000001</v>
      </c>
      <c r="AC56" s="120">
        <v>3924.6390000000001</v>
      </c>
      <c r="AD56" s="120">
        <v>5497.3829999999998</v>
      </c>
      <c r="AE56" s="120">
        <v>5833.1989999999996</v>
      </c>
      <c r="AF56" s="120">
        <v>6402.3490000000002</v>
      </c>
      <c r="AG56" s="120">
        <v>6744.598</v>
      </c>
      <c r="AH56" s="120">
        <v>7160.8990000000003</v>
      </c>
      <c r="AI56" s="120">
        <v>7656.1369999999997</v>
      </c>
      <c r="AJ56" s="120">
        <v>8322.7870000000003</v>
      </c>
      <c r="AK56" s="120">
        <v>8987.9030000000002</v>
      </c>
      <c r="AL56" s="120">
        <f>9958-AL55</f>
        <v>9957.9850000000006</v>
      </c>
      <c r="AM56" s="120">
        <f>10958-AM55</f>
        <v>10957.985000000001</v>
      </c>
      <c r="AN56" s="120">
        <f>12088-AN55</f>
        <v>12087.985000000001</v>
      </c>
      <c r="AO56" s="109">
        <f t="shared" ref="AO56:AV56" ca="1" si="125">+AN56+AO73</f>
        <v>12962.756633372037</v>
      </c>
      <c r="AP56" s="109">
        <f t="shared" ca="1" si="125"/>
        <v>14009.955987935764</v>
      </c>
      <c r="AQ56" s="109">
        <f t="shared" ca="1" si="125"/>
        <v>15153.609864783224</v>
      </c>
      <c r="AR56" s="109">
        <f t="shared" ca="1" si="125"/>
        <v>16351.770456086848</v>
      </c>
      <c r="AS56" s="109">
        <f t="shared" ca="1" si="125"/>
        <v>17404.540842250131</v>
      </c>
      <c r="AT56" s="109">
        <f t="shared" ca="1" si="125"/>
        <v>18618.647442790636</v>
      </c>
      <c r="AU56" s="109">
        <f t="shared" ca="1" si="125"/>
        <v>19947.595720818212</v>
      </c>
      <c r="AV56" s="109">
        <f t="shared" ca="1" si="125"/>
        <v>21300.167048030868</v>
      </c>
      <c r="AW56" s="109">
        <f t="shared" ref="AW56" ca="1" si="126">+AV56+AW73</f>
        <v>22511.157267686402</v>
      </c>
      <c r="AX56" s="109">
        <f t="shared" ref="AX56" ca="1" si="127">+AW56+AX73</f>
        <v>23884.516814785242</v>
      </c>
      <c r="AY56" s="109">
        <f t="shared" ref="AY56" ca="1" si="128">+AX56+AY73</f>
        <v>25378.531915172083</v>
      </c>
      <c r="AZ56" s="109">
        <f t="shared" ref="AZ56" ca="1" si="129">+AY56+AZ73</f>
        <v>26945.817151922627</v>
      </c>
    </row>
    <row r="57" spans="2:52">
      <c r="B57" s="3" t="s">
        <v>226</v>
      </c>
      <c r="E57" s="58"/>
      <c r="F57" s="109">
        <f t="shared" ca="1" si="119"/>
        <v>24038.219000000001</v>
      </c>
      <c r="G57" s="109">
        <f t="shared" ca="1" si="119"/>
        <v>34525.385999999999</v>
      </c>
      <c r="H57" s="109">
        <f t="shared" ca="1" si="119"/>
        <v>47701.326000000001</v>
      </c>
      <c r="I57" s="109">
        <f t="shared" ca="1" si="119"/>
        <v>74659.354999999996</v>
      </c>
      <c r="J57" s="109">
        <f t="shared" ca="1" si="119"/>
        <v>85733.706000000006</v>
      </c>
      <c r="K57" s="109">
        <f t="shared" ca="1" si="119"/>
        <v>102328</v>
      </c>
      <c r="L57" s="109">
        <f t="shared" ca="1" si="119"/>
        <v>121067.57909497873</v>
      </c>
      <c r="M57" s="109">
        <f t="shared" ca="1" si="119"/>
        <v>146774.96931039719</v>
      </c>
      <c r="N57" s="109">
        <f ca="1">OFFSET($P57,0,N$2,1,1)</f>
        <v>181067.62007739514</v>
      </c>
      <c r="O57" s="58"/>
      <c r="P57" s="58"/>
      <c r="Q57" s="58"/>
      <c r="R57" s="58"/>
      <c r="S57" s="58"/>
      <c r="T57" s="120">
        <v>24038.219000000001</v>
      </c>
      <c r="U57" s="120">
        <v>26096.447</v>
      </c>
      <c r="V57" s="120">
        <v>28726.136999999999</v>
      </c>
      <c r="W57" s="120">
        <v>31751.481</v>
      </c>
      <c r="X57" s="120">
        <v>34525.385999999999</v>
      </c>
      <c r="Y57" s="120">
        <v>37060.578000000001</v>
      </c>
      <c r="Z57" s="120">
        <v>40607.273999999998</v>
      </c>
      <c r="AA57" s="120">
        <v>44483.336000000003</v>
      </c>
      <c r="AB57" s="120">
        <v>47701.326000000001</v>
      </c>
      <c r="AC57" s="120">
        <v>50042.654000000002</v>
      </c>
      <c r="AD57" s="120">
        <v>53619.055</v>
      </c>
      <c r="AE57" s="120">
        <v>50111.572</v>
      </c>
      <c r="AF57" s="120">
        <v>74659.354999999996</v>
      </c>
      <c r="AG57" s="120">
        <v>76525.815000000002</v>
      </c>
      <c r="AH57" s="120">
        <v>78808.198000000004</v>
      </c>
      <c r="AI57" s="120">
        <v>81765.379000000001</v>
      </c>
      <c r="AJ57" s="120">
        <v>85733.706000000006</v>
      </c>
      <c r="AK57" s="120">
        <v>86587.095000000001</v>
      </c>
      <c r="AL57" s="120">
        <f>89564</f>
        <v>89564</v>
      </c>
      <c r="AM57" s="120">
        <f>97979</f>
        <v>97979</v>
      </c>
      <c r="AN57" s="120">
        <v>102328</v>
      </c>
      <c r="AO57" s="109">
        <f ca="1">+AN57+BIDU_IS!AO138</f>
        <v>105283.54445559652</v>
      </c>
      <c r="AP57" s="109">
        <f ca="1">+AO57+BIDU_IS!AP138</f>
        <v>110235.49890177161</v>
      </c>
      <c r="AQ57" s="109">
        <f ca="1">+AP57+BIDU_IS!AQ138</f>
        <v>115811.61393703947</v>
      </c>
      <c r="AR57" s="109">
        <f ca="1">+AQ57+BIDU_IS!AR138</f>
        <v>121067.57909497873</v>
      </c>
      <c r="AS57" s="109">
        <f ca="1">+AR57+BIDU_IS!AS138</f>
        <v>126017.14424591917</v>
      </c>
      <c r="AT57" s="109">
        <f ca="1">+AS57+BIDU_IS!AT138</f>
        <v>132563.79122517517</v>
      </c>
      <c r="AU57" s="109">
        <f ca="1">+AT57+BIDU_IS!AU138</f>
        <v>139905.26949951224</v>
      </c>
      <c r="AV57" s="109">
        <f ca="1">+AU57+BIDU_IS!AV138</f>
        <v>146774.96931039719</v>
      </c>
      <c r="AW57" s="109">
        <f ca="1">+AV57+BIDU_IS!AW138</f>
        <v>153421.0857930005</v>
      </c>
      <c r="AX57" s="109">
        <f ca="1">+AW57+BIDU_IS!AX138</f>
        <v>162005.50827703075</v>
      </c>
      <c r="AY57" s="109">
        <f ca="1">+AX57+BIDU_IS!AY138</f>
        <v>171449.04555425997</v>
      </c>
      <c r="AZ57" s="109">
        <f ca="1">+AY57+BIDU_IS!AZ138</f>
        <v>181067.62007739514</v>
      </c>
    </row>
    <row r="58" spans="2:52">
      <c r="B58" s="3" t="s">
        <v>225</v>
      </c>
      <c r="E58" s="58"/>
      <c r="F58" s="109">
        <f t="shared" ca="1" si="119"/>
        <v>-78.278000000000006</v>
      </c>
      <c r="G58" s="109">
        <f t="shared" ca="1" si="119"/>
        <v>843.096</v>
      </c>
      <c r="H58" s="109">
        <f t="shared" ca="1" si="119"/>
        <v>-279.51799999999997</v>
      </c>
      <c r="I58" s="109">
        <f t="shared" ca="1" si="119"/>
        <v>-806.05600000000004</v>
      </c>
      <c r="J58" s="109">
        <f t="shared" ca="1" si="119"/>
        <v>-1782.9659999999999</v>
      </c>
      <c r="K58" s="109">
        <f t="shared" ca="1" si="119"/>
        <v>930</v>
      </c>
      <c r="L58" s="109">
        <f t="shared" ca="1" si="119"/>
        <v>930</v>
      </c>
      <c r="M58" s="109">
        <f t="shared" ca="1" si="119"/>
        <v>930</v>
      </c>
      <c r="N58" s="109">
        <f ca="1">OFFSET($P58,0,N$2,1,1)</f>
        <v>930</v>
      </c>
      <c r="O58" s="58"/>
      <c r="P58" s="58"/>
      <c r="Q58" s="58"/>
      <c r="R58" s="58"/>
      <c r="S58" s="58"/>
      <c r="T58" s="120">
        <v>-78.278000000000006</v>
      </c>
      <c r="U58" s="120">
        <v>-49.069000000000003</v>
      </c>
      <c r="V58" s="120">
        <v>233.82400000000001</v>
      </c>
      <c r="W58" s="120">
        <v>1003.693</v>
      </c>
      <c r="X58" s="120">
        <v>843.096</v>
      </c>
      <c r="Y58" s="120">
        <v>363.2</v>
      </c>
      <c r="Z58" s="120">
        <v>777.04300000000001</v>
      </c>
      <c r="AA58" s="120">
        <v>747.28499999999997</v>
      </c>
      <c r="AB58" s="120">
        <v>-279.51799999999997</v>
      </c>
      <c r="AC58" s="120">
        <v>593.47900000000004</v>
      </c>
      <c r="AD58" s="120">
        <v>1028.7750000000001</v>
      </c>
      <c r="AE58" s="120">
        <v>174.44800000000001</v>
      </c>
      <c r="AF58" s="120">
        <v>-806.05600000000004</v>
      </c>
      <c r="AG58" s="120">
        <v>-967.077</v>
      </c>
      <c r="AH58" s="120">
        <v>-1027.71</v>
      </c>
      <c r="AI58" s="120">
        <v>-1162.8430000000001</v>
      </c>
      <c r="AJ58" s="120">
        <v>-1782.9659999999999</v>
      </c>
      <c r="AK58" s="120">
        <v>-1460.625</v>
      </c>
      <c r="AL58" s="120">
        <v>-861</v>
      </c>
      <c r="AM58" s="120">
        <v>70</v>
      </c>
      <c r="AN58" s="120">
        <v>930</v>
      </c>
      <c r="AO58" s="89">
        <f t="shared" ref="AO58:AV58" si="130">AN58</f>
        <v>930</v>
      </c>
      <c r="AP58" s="89">
        <f t="shared" si="130"/>
        <v>930</v>
      </c>
      <c r="AQ58" s="89">
        <f t="shared" si="130"/>
        <v>930</v>
      </c>
      <c r="AR58" s="89">
        <f t="shared" si="130"/>
        <v>930</v>
      </c>
      <c r="AS58" s="89">
        <f t="shared" si="130"/>
        <v>930</v>
      </c>
      <c r="AT58" s="89">
        <f t="shared" si="130"/>
        <v>930</v>
      </c>
      <c r="AU58" s="89">
        <f t="shared" si="130"/>
        <v>930</v>
      </c>
      <c r="AV58" s="89">
        <f t="shared" si="130"/>
        <v>930</v>
      </c>
      <c r="AW58" s="89">
        <f t="shared" ref="AW58" si="131">AV58</f>
        <v>930</v>
      </c>
      <c r="AX58" s="89">
        <f t="shared" ref="AX58" si="132">AW58</f>
        <v>930</v>
      </c>
      <c r="AY58" s="89">
        <f t="shared" ref="AY58" si="133">AX58</f>
        <v>930</v>
      </c>
      <c r="AZ58" s="89">
        <f t="shared" ref="AZ58" si="134">AY58</f>
        <v>930</v>
      </c>
    </row>
    <row r="59" spans="2:52">
      <c r="B59" s="9" t="s">
        <v>224</v>
      </c>
      <c r="E59" s="58"/>
      <c r="F59" s="117">
        <f t="shared" ref="F59:M59" ca="1" si="135">SUM(F55:F58,F53)</f>
        <v>27088.512000000002</v>
      </c>
      <c r="G59" s="117">
        <f t="shared" ca="1" si="135"/>
        <v>38424.914999999994</v>
      </c>
      <c r="H59" s="117">
        <f t="shared" ca="1" si="135"/>
        <v>52966.926000000007</v>
      </c>
      <c r="I59" s="117">
        <f t="shared" ca="1" si="135"/>
        <v>84203.542000000001</v>
      </c>
      <c r="J59" s="117">
        <f t="shared" ca="1" si="135"/>
        <v>97765.517999999996</v>
      </c>
      <c r="K59" s="117">
        <f t="shared" ca="1" si="135"/>
        <v>126368</v>
      </c>
      <c r="L59" s="117">
        <f t="shared" ca="1" si="135"/>
        <v>149371.36455106558</v>
      </c>
      <c r="M59" s="117">
        <f t="shared" ca="1" si="135"/>
        <v>180027.15135842806</v>
      </c>
      <c r="N59" s="117">
        <f t="shared" ref="N59" ca="1" si="136">SUM(N55:N58,N53)</f>
        <v>219965.45222931777</v>
      </c>
      <c r="O59" s="58"/>
      <c r="P59" s="58"/>
      <c r="Q59" s="58"/>
      <c r="R59" s="58"/>
      <c r="S59" s="58"/>
      <c r="T59" s="117">
        <f t="shared" ref="T59:AV59" si="137">SUM(T55:T58,T53)</f>
        <v>27088.512000000002</v>
      </c>
      <c r="U59" s="117">
        <f t="shared" si="137"/>
        <v>29253.653000000002</v>
      </c>
      <c r="V59" s="117">
        <f t="shared" si="137"/>
        <v>32168.984999999997</v>
      </c>
      <c r="W59" s="117">
        <f t="shared" si="137"/>
        <v>35977.93</v>
      </c>
      <c r="X59" s="117">
        <f t="shared" si="137"/>
        <v>38424.914999999994</v>
      </c>
      <c r="Y59" s="117">
        <f t="shared" si="137"/>
        <v>40240.852999999996</v>
      </c>
      <c r="Z59" s="117">
        <f t="shared" si="137"/>
        <v>44413.270999999993</v>
      </c>
      <c r="AA59" s="117">
        <f t="shared" si="137"/>
        <v>48478.064000000006</v>
      </c>
      <c r="AB59" s="117">
        <f t="shared" si="137"/>
        <v>52966.926000000007</v>
      </c>
      <c r="AC59" s="117">
        <f t="shared" si="137"/>
        <v>56520.893000000004</v>
      </c>
      <c r="AD59" s="117">
        <f t="shared" si="137"/>
        <v>62177.752</v>
      </c>
      <c r="AE59" s="117">
        <f t="shared" si="137"/>
        <v>58275.214999999997</v>
      </c>
      <c r="AF59" s="117">
        <f t="shared" si="137"/>
        <v>84203.542000000001</v>
      </c>
      <c r="AG59" s="117">
        <f t="shared" si="137"/>
        <v>86351.188999999998</v>
      </c>
      <c r="AH59" s="117">
        <f t="shared" si="137"/>
        <v>89699.165999999997</v>
      </c>
      <c r="AI59" s="117">
        <f t="shared" si="137"/>
        <v>93380.451000000015</v>
      </c>
      <c r="AJ59" s="117">
        <f t="shared" si="137"/>
        <v>97765.517999999996</v>
      </c>
      <c r="AK59" s="117">
        <f t="shared" si="137"/>
        <v>99731.948000000004</v>
      </c>
      <c r="AL59" s="117">
        <f t="shared" si="137"/>
        <v>104659</v>
      </c>
      <c r="AM59" s="117">
        <f t="shared" si="137"/>
        <v>112104</v>
      </c>
      <c r="AN59" s="117">
        <f t="shared" ref="AN59" si="138">SUM(AN55:AN58,AN53)</f>
        <v>126368</v>
      </c>
      <c r="AO59" s="117">
        <f t="shared" ca="1" si="137"/>
        <v>130198.31608896855</v>
      </c>
      <c r="AP59" s="117">
        <f t="shared" ca="1" si="137"/>
        <v>136197.4698897074</v>
      </c>
      <c r="AQ59" s="117">
        <f t="shared" ca="1" si="137"/>
        <v>142917.23880182271</v>
      </c>
      <c r="AR59" s="117">
        <f t="shared" ca="1" si="137"/>
        <v>149371.36455106558</v>
      </c>
      <c r="AS59" s="117">
        <f t="shared" ca="1" si="137"/>
        <v>155373.70008816931</v>
      </c>
      <c r="AT59" s="117">
        <f t="shared" ca="1" si="137"/>
        <v>163134.4536679658</v>
      </c>
      <c r="AU59" s="117">
        <f t="shared" ca="1" si="137"/>
        <v>171804.88022033047</v>
      </c>
      <c r="AV59" s="117">
        <f t="shared" ca="1" si="137"/>
        <v>180027.15135842806</v>
      </c>
      <c r="AW59" s="117">
        <f t="shared" ref="AW59:AZ59" ca="1" si="139">SUM(AW55:AW58,AW53)</f>
        <v>187884.2580606869</v>
      </c>
      <c r="AX59" s="117">
        <f t="shared" ca="1" si="139"/>
        <v>197842.04009181599</v>
      </c>
      <c r="AY59" s="117">
        <f t="shared" ca="1" si="139"/>
        <v>208779.59246943204</v>
      </c>
      <c r="AZ59" s="117">
        <f t="shared" ca="1" si="139"/>
        <v>219965.45222931777</v>
      </c>
    </row>
    <row r="60" spans="2:52">
      <c r="B60" s="3"/>
      <c r="E60" s="58"/>
      <c r="F60" s="109"/>
      <c r="G60" s="109"/>
      <c r="H60" s="109"/>
      <c r="I60" s="109"/>
      <c r="J60" s="109"/>
      <c r="K60" s="109"/>
      <c r="L60" s="109"/>
      <c r="M60" s="109"/>
      <c r="N60" s="109"/>
      <c r="O60" s="58"/>
      <c r="P60" s="58"/>
      <c r="Q60" s="58"/>
      <c r="R60" s="58"/>
      <c r="S60" s="58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2:52">
      <c r="B61" s="3" t="s">
        <v>223</v>
      </c>
      <c r="E61" s="58"/>
      <c r="F61" s="109">
        <f t="shared" ref="F61:M61" ca="1" si="140">OFFSET($P61,0,F$2,1,1)</f>
        <v>126.613</v>
      </c>
      <c r="G61" s="109">
        <f t="shared" ca="1" si="140"/>
        <v>2240.2310000000002</v>
      </c>
      <c r="H61" s="109">
        <f t="shared" ca="1" si="140"/>
        <v>1085.4570000000001</v>
      </c>
      <c r="I61" s="109">
        <f t="shared" ca="1" si="140"/>
        <v>12.173999999999999</v>
      </c>
      <c r="J61" s="109">
        <f t="shared" ca="1" si="140"/>
        <v>-23.123000000000001</v>
      </c>
      <c r="K61" s="109">
        <f t="shared" ca="1" si="140"/>
        <v>4004</v>
      </c>
      <c r="L61" s="109">
        <f t="shared" ca="1" si="140"/>
        <v>15190.198236514081</v>
      </c>
      <c r="M61" s="109">
        <f t="shared" ca="1" si="140"/>
        <v>18840.973064147936</v>
      </c>
      <c r="N61" s="109">
        <f ca="1">OFFSET($P61,0,N$2,1,1)</f>
        <v>17465.678819793353</v>
      </c>
      <c r="O61" s="58"/>
      <c r="P61" s="58"/>
      <c r="Q61" s="58"/>
      <c r="R61" s="58"/>
      <c r="S61" s="58"/>
      <c r="T61" s="120">
        <v>126.613</v>
      </c>
      <c r="U61" s="120">
        <v>283.50200000000001</v>
      </c>
      <c r="V61" s="120">
        <v>355.68599999999998</v>
      </c>
      <c r="W61" s="120">
        <v>366.02199999999999</v>
      </c>
      <c r="X61" s="120">
        <v>2240.2310000000002</v>
      </c>
      <c r="Y61" s="120">
        <v>1826.43</v>
      </c>
      <c r="Z61" s="120">
        <v>1655.0940000000001</v>
      </c>
      <c r="AA61" s="120">
        <v>1437.114</v>
      </c>
      <c r="AB61" s="120">
        <v>1085.4570000000001</v>
      </c>
      <c r="AC61" s="120">
        <v>760.19299999999998</v>
      </c>
      <c r="AD61" s="120">
        <v>1671.6220000000001</v>
      </c>
      <c r="AE61" s="120">
        <v>1353.2360000000001</v>
      </c>
      <c r="AF61" s="120">
        <v>12.173999999999999</v>
      </c>
      <c r="AG61" s="120">
        <v>3.9369999999999998</v>
      </c>
      <c r="AH61" s="120">
        <v>-7.1509999999999998</v>
      </c>
      <c r="AI61" s="120">
        <v>-16.513000000000002</v>
      </c>
      <c r="AJ61" s="120">
        <v>-23.123000000000001</v>
      </c>
      <c r="AK61" s="120">
        <v>-29.507999999999999</v>
      </c>
      <c r="AL61" s="120">
        <v>-36</v>
      </c>
      <c r="AM61" s="120">
        <v>200</v>
      </c>
      <c r="AN61" s="120">
        <v>4004</v>
      </c>
      <c r="AO61" s="109">
        <f>+AN61+BIDU_IS!AO137+AN153-AO153+AO119</f>
        <v>17674.062893792809</v>
      </c>
      <c r="AP61" s="109">
        <f ca="1">+AO61+BIDU_IS!AP137+AO153-AP153+AP119</f>
        <v>16756.119184068099</v>
      </c>
      <c r="AQ61" s="109">
        <f ca="1">+AP61+BIDU_IS!AQ137+AP153-AQ153+AQ119</f>
        <v>16069.791967714216</v>
      </c>
      <c r="AR61" s="109">
        <f ca="1">+AQ61+BIDU_IS!AR137+AQ153-AR153+AR119</f>
        <v>15190.198236514081</v>
      </c>
      <c r="AS61" s="109">
        <f ca="1">+AR61+BIDU_IS!AS137+AR153-AS153+AS119</f>
        <v>14393.426726513375</v>
      </c>
      <c r="AT61" s="109">
        <f ca="1">+AS61+BIDU_IS!AT137+AS153-AT153+AT119</f>
        <v>13513.006581771646</v>
      </c>
      <c r="AU61" s="109">
        <f ca="1">+AT61+BIDU_IS!AU137+AT153-AU153+AU119</f>
        <v>19347.272200621541</v>
      </c>
      <c r="AV61" s="109">
        <f ca="1">+AU61+BIDU_IS!AV137+AU153-AV153+AV119</f>
        <v>18840.973064147936</v>
      </c>
      <c r="AW61" s="109">
        <f ca="1">+AV61+BIDU_IS!AW137+AV153-AW153+AW119</f>
        <v>18250.99058812279</v>
      </c>
      <c r="AX61" s="109">
        <f ca="1">+AW61+BIDU_IS!AX137+AW153-AX153+AX119</f>
        <v>17555.088468495673</v>
      </c>
      <c r="AY61" s="109">
        <f ca="1">+AX61+BIDU_IS!AY137+AX153-AY153+AY119</f>
        <v>17498.169396958852</v>
      </c>
      <c r="AZ61" s="109">
        <f ca="1">+AY61+BIDU_IS!AZ137+AY153-AZ153+AZ119</f>
        <v>17465.678819793353</v>
      </c>
    </row>
    <row r="62" spans="2:52">
      <c r="B62" s="3"/>
      <c r="E62" s="58"/>
      <c r="F62" s="109"/>
      <c r="G62" s="109"/>
      <c r="H62" s="109"/>
      <c r="I62" s="109"/>
      <c r="J62" s="109"/>
      <c r="K62" s="109"/>
      <c r="L62" s="109"/>
      <c r="M62" s="109"/>
      <c r="N62" s="109"/>
      <c r="O62" s="58"/>
      <c r="P62" s="58"/>
      <c r="Q62" s="58"/>
      <c r="R62" s="58"/>
      <c r="S62" s="58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2:52">
      <c r="B63" s="9" t="s">
        <v>222</v>
      </c>
      <c r="C63" s="8"/>
      <c r="D63" s="8"/>
      <c r="E63" s="82"/>
      <c r="F63" s="117">
        <f t="shared" ref="F63:M63" ca="1" si="141">F59+F61</f>
        <v>27215.125000000004</v>
      </c>
      <c r="G63" s="117">
        <f t="shared" ca="1" si="141"/>
        <v>40665.145999999993</v>
      </c>
      <c r="H63" s="117">
        <f t="shared" ca="1" si="141"/>
        <v>54052.383000000009</v>
      </c>
      <c r="I63" s="117">
        <f t="shared" ca="1" si="141"/>
        <v>84215.716</v>
      </c>
      <c r="J63" s="117">
        <f t="shared" ca="1" si="141"/>
        <v>97742.39499999999</v>
      </c>
      <c r="K63" s="117">
        <f t="shared" ca="1" si="141"/>
        <v>130372</v>
      </c>
      <c r="L63" s="117">
        <f t="shared" ca="1" si="141"/>
        <v>164561.56278757966</v>
      </c>
      <c r="M63" s="117">
        <f t="shared" ca="1" si="141"/>
        <v>198868.12442257599</v>
      </c>
      <c r="N63" s="117">
        <f t="shared" ref="N63" ca="1" si="142">N59+N61</f>
        <v>237431.13104911114</v>
      </c>
      <c r="O63" s="82"/>
      <c r="P63" s="82"/>
      <c r="Q63" s="82"/>
      <c r="R63" s="82"/>
      <c r="S63" s="82"/>
      <c r="T63" s="117">
        <f t="shared" ref="T63:AV63" si="143">T59+T61</f>
        <v>27215.125000000004</v>
      </c>
      <c r="U63" s="117">
        <f t="shared" si="143"/>
        <v>29537.155000000002</v>
      </c>
      <c r="V63" s="117">
        <f t="shared" si="143"/>
        <v>32524.670999999998</v>
      </c>
      <c r="W63" s="117">
        <f t="shared" si="143"/>
        <v>36343.951999999997</v>
      </c>
      <c r="X63" s="117">
        <f t="shared" si="143"/>
        <v>40665.145999999993</v>
      </c>
      <c r="Y63" s="117">
        <f t="shared" si="143"/>
        <v>42067.282999999996</v>
      </c>
      <c r="Z63" s="117">
        <f t="shared" si="143"/>
        <v>46068.364999999991</v>
      </c>
      <c r="AA63" s="117">
        <f t="shared" si="143"/>
        <v>49915.178000000007</v>
      </c>
      <c r="AB63" s="117">
        <f t="shared" si="143"/>
        <v>54052.383000000009</v>
      </c>
      <c r="AC63" s="117">
        <f t="shared" si="143"/>
        <v>57281.086000000003</v>
      </c>
      <c r="AD63" s="117">
        <f t="shared" si="143"/>
        <v>63849.374000000003</v>
      </c>
      <c r="AE63" s="117">
        <f t="shared" si="143"/>
        <v>59628.450999999994</v>
      </c>
      <c r="AF63" s="117">
        <f t="shared" si="143"/>
        <v>84215.716</v>
      </c>
      <c r="AG63" s="117">
        <f t="shared" si="143"/>
        <v>86355.126000000004</v>
      </c>
      <c r="AH63" s="117">
        <f t="shared" si="143"/>
        <v>89692.014999999999</v>
      </c>
      <c r="AI63" s="117">
        <f t="shared" si="143"/>
        <v>93363.938000000009</v>
      </c>
      <c r="AJ63" s="117">
        <f t="shared" si="143"/>
        <v>97742.39499999999</v>
      </c>
      <c r="AK63" s="117">
        <f t="shared" si="143"/>
        <v>99702.44</v>
      </c>
      <c r="AL63" s="117">
        <f t="shared" si="143"/>
        <v>104623</v>
      </c>
      <c r="AM63" s="117">
        <f t="shared" si="143"/>
        <v>112304</v>
      </c>
      <c r="AN63" s="117">
        <f t="shared" si="143"/>
        <v>130372</v>
      </c>
      <c r="AO63" s="117">
        <f t="shared" ca="1" si="143"/>
        <v>147872.37898276135</v>
      </c>
      <c r="AP63" s="117">
        <f t="shared" ca="1" si="143"/>
        <v>152953.58907377551</v>
      </c>
      <c r="AQ63" s="117">
        <f t="shared" ca="1" si="143"/>
        <v>158987.03076953691</v>
      </c>
      <c r="AR63" s="117">
        <f t="shared" ca="1" si="143"/>
        <v>164561.56278757966</v>
      </c>
      <c r="AS63" s="117">
        <f t="shared" ca="1" si="143"/>
        <v>169767.12681468268</v>
      </c>
      <c r="AT63" s="117">
        <f t="shared" ca="1" si="143"/>
        <v>176647.46024973746</v>
      </c>
      <c r="AU63" s="117">
        <f t="shared" ca="1" si="143"/>
        <v>191152.15242095201</v>
      </c>
      <c r="AV63" s="117">
        <f t="shared" ca="1" si="143"/>
        <v>198868.12442257599</v>
      </c>
      <c r="AW63" s="117">
        <f t="shared" ref="AW63:AZ63" ca="1" si="144">AW59+AW61</f>
        <v>206135.24864880968</v>
      </c>
      <c r="AX63" s="117">
        <f t="shared" ca="1" si="144"/>
        <v>215397.12856031166</v>
      </c>
      <c r="AY63" s="117">
        <f t="shared" ca="1" si="144"/>
        <v>226277.76186639088</v>
      </c>
      <c r="AZ63" s="117">
        <f t="shared" ca="1" si="144"/>
        <v>237431.13104911114</v>
      </c>
    </row>
    <row r="64" spans="2:52">
      <c r="B64" s="3"/>
      <c r="E64" s="58"/>
      <c r="F64" s="109"/>
      <c r="G64" s="109"/>
      <c r="H64" s="109"/>
      <c r="I64" s="109"/>
      <c r="J64" s="109"/>
      <c r="K64" s="109"/>
      <c r="L64" s="109"/>
      <c r="M64" s="109"/>
      <c r="N64" s="109"/>
      <c r="O64" s="58"/>
      <c r="P64" s="58"/>
      <c r="Q64" s="58"/>
      <c r="R64" s="58"/>
      <c r="S64" s="58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2:52">
      <c r="B65" s="9" t="s">
        <v>221</v>
      </c>
      <c r="C65" s="8"/>
      <c r="D65" s="8"/>
      <c r="E65" s="82"/>
      <c r="F65" s="117">
        <f t="shared" ref="F65:M65" ca="1" si="145">F63+F51</f>
        <v>45668.89</v>
      </c>
      <c r="G65" s="117">
        <f t="shared" ca="1" si="145"/>
        <v>70985.683999999994</v>
      </c>
      <c r="H65" s="117">
        <f t="shared" ca="1" si="145"/>
        <v>99118.062000000005</v>
      </c>
      <c r="I65" s="117">
        <f t="shared" ca="1" si="145"/>
        <v>147853.30799999999</v>
      </c>
      <c r="J65" s="117">
        <f t="shared" ca="1" si="145"/>
        <v>181997.39099999997</v>
      </c>
      <c r="K65" s="117">
        <f t="shared" ca="1" si="145"/>
        <v>251728</v>
      </c>
      <c r="L65" s="117">
        <f t="shared" ca="1" si="145"/>
        <v>281682.53478219855</v>
      </c>
      <c r="M65" s="117">
        <f t="shared" ca="1" si="145"/>
        <v>287113.10398881848</v>
      </c>
      <c r="N65" s="117">
        <f t="shared" ref="N65" ca="1" si="146">N63+N51</f>
        <v>305152.09011835488</v>
      </c>
      <c r="O65" s="82"/>
      <c r="P65" s="82"/>
      <c r="Q65" s="124"/>
      <c r="R65" s="124"/>
      <c r="S65" s="124"/>
      <c r="T65" s="117">
        <f t="shared" ref="T65:AV65" si="147">T63+T51</f>
        <v>45668.89</v>
      </c>
      <c r="U65" s="117">
        <f t="shared" si="147"/>
        <v>47840.264999999999</v>
      </c>
      <c r="V65" s="117">
        <f t="shared" si="147"/>
        <v>52400.459000000003</v>
      </c>
      <c r="W65" s="117">
        <f t="shared" si="147"/>
        <v>63944.154999999999</v>
      </c>
      <c r="X65" s="117">
        <f t="shared" si="147"/>
        <v>70985.683999999994</v>
      </c>
      <c r="Y65" s="117">
        <f t="shared" si="147"/>
        <v>73377.092999999993</v>
      </c>
      <c r="Z65" s="117">
        <f t="shared" si="147"/>
        <v>85423.852999999988</v>
      </c>
      <c r="AA65" s="117">
        <f t="shared" si="147"/>
        <v>91226.22</v>
      </c>
      <c r="AB65" s="117">
        <f t="shared" si="147"/>
        <v>99118.062000000005</v>
      </c>
      <c r="AC65" s="117">
        <f t="shared" si="147"/>
        <v>102742.338</v>
      </c>
      <c r="AD65" s="117">
        <f t="shared" si="147"/>
        <v>122711.08900000001</v>
      </c>
      <c r="AE65" s="117">
        <f t="shared" si="147"/>
        <v>124623.02900000001</v>
      </c>
      <c r="AF65" s="117">
        <f t="shared" si="147"/>
        <v>147853.30799999999</v>
      </c>
      <c r="AG65" s="117">
        <f t="shared" si="147"/>
        <v>150151.57</v>
      </c>
      <c r="AH65" s="117">
        <f t="shared" si="147"/>
        <v>158944.73300000001</v>
      </c>
      <c r="AI65" s="117">
        <f t="shared" si="147"/>
        <v>164953.28600000002</v>
      </c>
      <c r="AJ65" s="117">
        <f t="shared" si="147"/>
        <v>181997.39099999997</v>
      </c>
      <c r="AK65" s="117">
        <f t="shared" si="147"/>
        <v>205137.75400000002</v>
      </c>
      <c r="AL65" s="117">
        <f t="shared" si="147"/>
        <v>222160</v>
      </c>
      <c r="AM65" s="117">
        <f t="shared" si="147"/>
        <v>243456</v>
      </c>
      <c r="AN65" s="117">
        <f t="shared" si="147"/>
        <v>251728</v>
      </c>
      <c r="AO65" s="117">
        <f t="shared" ca="1" si="147"/>
        <v>283399.56299882359</v>
      </c>
      <c r="AP65" s="117">
        <f t="shared" ca="1" si="147"/>
        <v>279211.58629867452</v>
      </c>
      <c r="AQ65" s="117">
        <f t="shared" ca="1" si="147"/>
        <v>309587.39810034959</v>
      </c>
      <c r="AR65" s="117">
        <f t="shared" ca="1" si="147"/>
        <v>281682.53478219855</v>
      </c>
      <c r="AS65" s="117">
        <f t="shared" ca="1" si="147"/>
        <v>326876.47154211439</v>
      </c>
      <c r="AT65" s="117">
        <f t="shared" ca="1" si="147"/>
        <v>275132.98271445901</v>
      </c>
      <c r="AU65" s="117">
        <f t="shared" ca="1" si="147"/>
        <v>364646.31007268943</v>
      </c>
      <c r="AV65" s="117">
        <f t="shared" ca="1" si="147"/>
        <v>287113.10398881848</v>
      </c>
      <c r="AW65" s="117">
        <f t="shared" ref="AW65:AZ65" ca="1" si="148">AW63+AW51</f>
        <v>389838.64282567595</v>
      </c>
      <c r="AX65" s="117">
        <f t="shared" ca="1" si="148"/>
        <v>289283.92977464444</v>
      </c>
      <c r="AY65" s="117">
        <f t="shared" ca="1" si="148"/>
        <v>433859.80970375502</v>
      </c>
      <c r="AZ65" s="117">
        <f t="shared" ca="1" si="148"/>
        <v>305152.09011835488</v>
      </c>
    </row>
    <row r="66" spans="2:52">
      <c r="B66" s="52" t="s">
        <v>220</v>
      </c>
      <c r="C66" s="8"/>
      <c r="D66" s="8"/>
      <c r="E66" s="82"/>
      <c r="F66" s="109">
        <f t="shared" ref="F66:M66" ca="1" si="149">F65-F28</f>
        <v>0</v>
      </c>
      <c r="G66" s="109">
        <f t="shared" ca="1" si="149"/>
        <v>0</v>
      </c>
      <c r="H66" s="109">
        <f t="shared" ca="1" si="149"/>
        <v>0</v>
      </c>
      <c r="I66" s="109">
        <f t="shared" ca="1" si="149"/>
        <v>0</v>
      </c>
      <c r="J66" s="109">
        <f t="shared" ca="1" si="149"/>
        <v>0</v>
      </c>
      <c r="K66" s="109">
        <f t="shared" ca="1" si="149"/>
        <v>0</v>
      </c>
      <c r="L66" s="109">
        <f t="shared" ca="1" si="149"/>
        <v>0</v>
      </c>
      <c r="M66" s="109">
        <f t="shared" ca="1" si="149"/>
        <v>0</v>
      </c>
      <c r="N66" s="109">
        <f t="shared" ref="N66" ca="1" si="150">N65-N28</f>
        <v>0</v>
      </c>
      <c r="O66" s="82"/>
      <c r="P66" s="82"/>
      <c r="Q66" s="124"/>
      <c r="R66" s="124"/>
      <c r="S66" s="124"/>
      <c r="T66" s="109">
        <f t="shared" ref="T66:AV66" si="151">T65-T28</f>
        <v>0</v>
      </c>
      <c r="U66" s="109">
        <f t="shared" si="151"/>
        <v>0</v>
      </c>
      <c r="V66" s="109">
        <f t="shared" si="151"/>
        <v>0</v>
      </c>
      <c r="W66" s="109">
        <f t="shared" si="151"/>
        <v>0</v>
      </c>
      <c r="X66" s="109">
        <f t="shared" si="151"/>
        <v>0</v>
      </c>
      <c r="Y66" s="109">
        <f t="shared" si="151"/>
        <v>0</v>
      </c>
      <c r="Z66" s="109">
        <f t="shared" si="151"/>
        <v>0</v>
      </c>
      <c r="AA66" s="109">
        <f t="shared" si="151"/>
        <v>-8.9999999909196049E-3</v>
      </c>
      <c r="AB66" s="109">
        <f t="shared" si="151"/>
        <v>0</v>
      </c>
      <c r="AC66" s="109">
        <f t="shared" si="151"/>
        <v>5.0000000002910383E-2</v>
      </c>
      <c r="AD66" s="109">
        <f t="shared" si="151"/>
        <v>0</v>
      </c>
      <c r="AE66" s="109">
        <f t="shared" si="151"/>
        <v>0</v>
      </c>
      <c r="AF66" s="109">
        <f t="shared" si="151"/>
        <v>0</v>
      </c>
      <c r="AG66" s="109">
        <f t="shared" si="151"/>
        <v>0</v>
      </c>
      <c r="AH66" s="109">
        <f t="shared" si="151"/>
        <v>0</v>
      </c>
      <c r="AI66" s="109">
        <f t="shared" si="151"/>
        <v>0</v>
      </c>
      <c r="AJ66" s="109">
        <f t="shared" si="151"/>
        <v>0</v>
      </c>
      <c r="AK66" s="109">
        <f t="shared" si="151"/>
        <v>0</v>
      </c>
      <c r="AL66" s="109">
        <f t="shared" si="151"/>
        <v>0</v>
      </c>
      <c r="AM66" s="109">
        <f t="shared" si="151"/>
        <v>0</v>
      </c>
      <c r="AN66" s="109">
        <f t="shared" si="151"/>
        <v>0</v>
      </c>
      <c r="AO66" s="109">
        <f t="shared" ca="1" si="151"/>
        <v>0</v>
      </c>
      <c r="AP66" s="109">
        <f t="shared" ca="1" si="151"/>
        <v>0</v>
      </c>
      <c r="AQ66" s="109">
        <f t="shared" ca="1" si="151"/>
        <v>0</v>
      </c>
      <c r="AR66" s="109">
        <f t="shared" ca="1" si="151"/>
        <v>0</v>
      </c>
      <c r="AS66" s="109">
        <f t="shared" ca="1" si="151"/>
        <v>0</v>
      </c>
      <c r="AT66" s="109">
        <f t="shared" ca="1" si="151"/>
        <v>0</v>
      </c>
      <c r="AU66" s="109">
        <f t="shared" ca="1" si="151"/>
        <v>0</v>
      </c>
      <c r="AV66" s="109">
        <f t="shared" ca="1" si="151"/>
        <v>0</v>
      </c>
      <c r="AW66" s="109">
        <f t="shared" ref="AW66:AZ66" ca="1" si="152">AW65-AW28</f>
        <v>0</v>
      </c>
      <c r="AX66" s="109">
        <f t="shared" ca="1" si="152"/>
        <v>0</v>
      </c>
      <c r="AY66" s="109">
        <f t="shared" ca="1" si="152"/>
        <v>0</v>
      </c>
      <c r="AZ66" s="109">
        <f t="shared" ca="1" si="152"/>
        <v>0</v>
      </c>
    </row>
    <row r="68" spans="2:52">
      <c r="B68" s="122" t="s">
        <v>219</v>
      </c>
      <c r="C68" s="5"/>
      <c r="D68" s="5"/>
      <c r="E68" s="5"/>
      <c r="F68" s="5"/>
      <c r="G68" s="13"/>
      <c r="H68" s="13"/>
      <c r="I68" s="13"/>
      <c r="J68" s="13"/>
      <c r="K68" s="5"/>
      <c r="L68" s="5"/>
      <c r="M68" s="5"/>
      <c r="N68" s="5"/>
      <c r="O68" s="5"/>
      <c r="P68" s="5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5"/>
      <c r="AL68" s="5"/>
      <c r="AM68" s="123"/>
      <c r="AN68" s="123"/>
      <c r="AO68" s="123"/>
      <c r="AP68" s="123"/>
      <c r="AQ68" s="5"/>
      <c r="AR68" s="5"/>
      <c r="AS68" s="5"/>
      <c r="AT68" s="5"/>
      <c r="AU68" s="5"/>
      <c r="AV68" s="5"/>
      <c r="AW68" s="5"/>
      <c r="AX68" s="5"/>
      <c r="AY68" s="5"/>
      <c r="AZ68" s="5"/>
    </row>
    <row r="69" spans="2:52">
      <c r="B69" s="1" t="s">
        <v>218</v>
      </c>
      <c r="G69" s="10"/>
      <c r="H69" s="10"/>
      <c r="I69" s="10"/>
      <c r="J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M69" s="70"/>
      <c r="AN69" s="70"/>
      <c r="AO69" s="70"/>
      <c r="AP69" s="70"/>
    </row>
    <row r="70" spans="2:52">
      <c r="B70" s="3" t="s">
        <v>217</v>
      </c>
      <c r="E70" s="2"/>
      <c r="F70" s="120">
        <v>10391.278</v>
      </c>
      <c r="G70" s="191">
        <v>10356.085999999999</v>
      </c>
      <c r="H70" s="120">
        <v>12243.370999999999</v>
      </c>
      <c r="I70" s="120">
        <v>32432.245999999999</v>
      </c>
      <c r="J70" s="120">
        <v>11595.612999999999</v>
      </c>
      <c r="K70" s="120">
        <v>18288</v>
      </c>
      <c r="L70" s="58">
        <f ca="1">BIDU_IS!L134</f>
        <v>16255.714437700026</v>
      </c>
      <c r="M70" s="58">
        <f ca="1">BIDU_IS!M134</f>
        <v>23077.264977511077</v>
      </c>
      <c r="N70" s="58">
        <f ca="1">BIDU_IS!N134</f>
        <v>32917.356522643364</v>
      </c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M70" s="70"/>
      <c r="AN70" s="58"/>
      <c r="AO70" s="58">
        <f ca="1">BIDU_IS!AO134</f>
        <v>2955.5444555965278</v>
      </c>
      <c r="AP70" s="58">
        <f ca="1">BIDU_IS!AP134</f>
        <v>4034.0107364503829</v>
      </c>
      <c r="AQ70" s="58">
        <f ca="1">BIDU_IS!AQ134</f>
        <v>4889.7878189139738</v>
      </c>
      <c r="AR70" s="58">
        <f ca="1">BIDU_IS!AR134</f>
        <v>4376.371426739136</v>
      </c>
      <c r="AS70" s="58">
        <f ca="1">BIDU_IS!AS134</f>
        <v>4152.7936409397389</v>
      </c>
      <c r="AT70" s="58">
        <f ca="1">BIDU_IS!AT134</f>
        <v>5666.2268345142575</v>
      </c>
      <c r="AU70" s="58">
        <f ca="1">BIDU_IS!AU134</f>
        <v>6894.8438276457691</v>
      </c>
      <c r="AV70" s="58">
        <f ca="1">BIDU_IS!AV134</f>
        <v>6363.400674411334</v>
      </c>
      <c r="AW70" s="58">
        <f ca="1">BIDU_IS!AW134</f>
        <v>6056.1340065781469</v>
      </c>
      <c r="AX70" s="58">
        <f ca="1">BIDU_IS!AX134</f>
        <v>7888.5203644031189</v>
      </c>
      <c r="AY70" s="58">
        <f ca="1">BIDU_IS!AY134</f>
        <v>9386.6182056924081</v>
      </c>
      <c r="AZ70" s="58">
        <f ca="1">BIDU_IS!AZ134</f>
        <v>9586.0839459696745</v>
      </c>
    </row>
    <row r="71" spans="2:52">
      <c r="B71" s="3" t="s">
        <v>216</v>
      </c>
      <c r="E71" s="2"/>
      <c r="F71" s="120">
        <v>1281.336</v>
      </c>
      <c r="G71" s="191">
        <v>1702.14</v>
      </c>
      <c r="H71" s="120">
        <v>2223.9070000000002</v>
      </c>
      <c r="I71" s="120">
        <v>2886.2539999999999</v>
      </c>
      <c r="J71" s="120">
        <v>3451.422</v>
      </c>
      <c r="K71" s="120">
        <v>3805</v>
      </c>
      <c r="L71" s="58">
        <f ca="1">'BIDU_BS + CFS'!L198</f>
        <v>4285.059486046659</v>
      </c>
      <c r="M71" s="58">
        <f ca="1">'BIDU_BS + CFS'!M198</f>
        <v>4948.1752136295181</v>
      </c>
      <c r="N71" s="58">
        <f ca="1">'BIDU_BS + CFS'!N198</f>
        <v>5811.9813469517921</v>
      </c>
      <c r="AM71" s="70"/>
      <c r="AN71" s="58"/>
      <c r="AO71" s="58">
        <f>'BIDU_BS + CFS'!AO198</f>
        <v>1027.3407696135346</v>
      </c>
      <c r="AP71" s="58">
        <f ca="1">'BIDU_BS + CFS'!AP198</f>
        <v>1045.8409942717474</v>
      </c>
      <c r="AQ71" s="58">
        <f ca="1">'BIDU_BS + CFS'!AQ198</f>
        <v>1083.1406454393807</v>
      </c>
      <c r="AR71" s="58">
        <f ca="1">'BIDU_BS + CFS'!AR198</f>
        <v>1128.7370767219963</v>
      </c>
      <c r="AS71" s="58">
        <f ca="1">'BIDU_BS + CFS'!AS198</f>
        <v>1170.2706038157646</v>
      </c>
      <c r="AT71" s="58">
        <f ca="1">'BIDU_BS + CFS'!AT198</f>
        <v>1204.5186789304382</v>
      </c>
      <c r="AU71" s="58">
        <f ca="1">'BIDU_BS + CFS'!AU198</f>
        <v>1255.9640985603278</v>
      </c>
      <c r="AV71" s="58">
        <f ca="1">'BIDU_BS + CFS'!AV198</f>
        <v>1317.421832322987</v>
      </c>
      <c r="AW71" s="58">
        <f ca="1">'BIDU_BS + CFS'!AW198</f>
        <v>1368.3485155355218</v>
      </c>
      <c r="AX71" s="58">
        <f ca="1">'BIDU_BS + CFS'!AX198</f>
        <v>1414.273924426026</v>
      </c>
      <c r="AY71" s="58">
        <f ca="1">'BIDU_BS + CFS'!AY198</f>
        <v>1477.6838971801849</v>
      </c>
      <c r="AZ71" s="58">
        <f ca="1">'BIDU_BS + CFS'!AZ198</f>
        <v>1551.6750098100601</v>
      </c>
    </row>
    <row r="72" spans="2:52">
      <c r="B72" s="3" t="s">
        <v>91</v>
      </c>
      <c r="E72" s="2"/>
      <c r="F72" s="120">
        <v>234.001</v>
      </c>
      <c r="G72" s="191">
        <v>949.85</v>
      </c>
      <c r="H72" s="120">
        <v>1748.3869999999999</v>
      </c>
      <c r="I72" s="120">
        <v>2974.6579999999999</v>
      </c>
      <c r="J72" s="120">
        <v>4876.1350000000002</v>
      </c>
      <c r="K72" s="120">
        <v>7943</v>
      </c>
      <c r="L72" s="58">
        <f ca="1">SUM('BIDU_BS + CFS'!L212:L213)</f>
        <v>16081.487256210858</v>
      </c>
      <c r="M72" s="58">
        <f ca="1">SUM('BIDU_BS + CFS'!M212:M213)</f>
        <v>18937.008518933606</v>
      </c>
      <c r="N72" s="58">
        <f ca="1">SUM('BIDU_BS + CFS'!N212:N213)</f>
        <v>21038.63297321053</v>
      </c>
      <c r="R72" s="10"/>
      <c r="AM72" s="70"/>
      <c r="AN72" s="58"/>
      <c r="AO72" s="58">
        <f ca="1">SUM('BIDU_BS + CFS'!AO212:AO213)</f>
        <v>2806.9393926913494</v>
      </c>
      <c r="AP72" s="58">
        <f ca="1">SUM('BIDU_BS + CFS'!AP212:AP213)</f>
        <v>4117.3060318212802</v>
      </c>
      <c r="AQ72" s="58">
        <f ca="1">SUM('BIDU_BS + CFS'!AQ212:AQ213)</f>
        <v>4457.9763646039382</v>
      </c>
      <c r="AR72" s="58">
        <f ca="1">SUM('BIDU_BS + CFS'!AR212:AR213)</f>
        <v>4699.2654670942902</v>
      </c>
      <c r="AS72" s="58">
        <f ca="1">SUM('BIDU_BS + CFS'!AS212:AS213)</f>
        <v>4300.5604735812203</v>
      </c>
      <c r="AT72" s="58">
        <f ca="1">SUM('BIDU_BS + CFS'!AT212:AT213)</f>
        <v>4823.1968300346225</v>
      </c>
      <c r="AU72" s="58">
        <f ca="1">SUM('BIDU_BS + CFS'!AU212:AU213)</f>
        <v>4876.5242008471232</v>
      </c>
      <c r="AV72" s="58">
        <f ca="1">SUM('BIDU_BS + CFS'!AV212:AV213)</f>
        <v>4936.7270144706381</v>
      </c>
      <c r="AW72" s="58">
        <f ca="1">SUM('BIDU_BS + CFS'!AW212:AW213)</f>
        <v>4957.8146175585061</v>
      </c>
      <c r="AX72" s="58">
        <f ca="1">SUM('BIDU_BS + CFS'!AX212:AX213)</f>
        <v>5596.2193408299609</v>
      </c>
      <c r="AY72" s="58">
        <f ca="1">SUM('BIDU_BS + CFS'!AY212:AY213)</f>
        <v>5288.9405805799179</v>
      </c>
      <c r="AZ72" s="58">
        <f ca="1">SUM('BIDU_BS + CFS'!AZ212:AZ213)</f>
        <v>5195.6584342421438</v>
      </c>
    </row>
    <row r="73" spans="2:52">
      <c r="B73" s="3" t="s">
        <v>215</v>
      </c>
      <c r="E73" s="2"/>
      <c r="F73" s="120">
        <v>212.309</v>
      </c>
      <c r="G73" s="191">
        <v>514.72699999999998</v>
      </c>
      <c r="H73" s="120">
        <v>962.74</v>
      </c>
      <c r="I73" s="120">
        <v>1387.1179999999999</v>
      </c>
      <c r="J73" s="120">
        <v>1759.9880000000001</v>
      </c>
      <c r="K73" s="120">
        <v>3244</v>
      </c>
      <c r="L73" s="58">
        <f ca="1">BIDU_IS!L268</f>
        <v>4263.7854560868482</v>
      </c>
      <c r="M73" s="58">
        <f ca="1">BIDU_IS!M268</f>
        <v>4948.3965919440197</v>
      </c>
      <c r="N73" s="58">
        <f ca="1">BIDU_IS!N268</f>
        <v>5645.6501038917577</v>
      </c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M73" s="70"/>
      <c r="AN73" s="58"/>
      <c r="AO73" s="58">
        <f ca="1">BIDU_IS!AO268</f>
        <v>874.77163337203615</v>
      </c>
      <c r="AP73" s="58">
        <f ca="1">BIDU_IS!AP268</f>
        <v>1047.1993545637274</v>
      </c>
      <c r="AQ73" s="58">
        <f ca="1">BIDU_IS!AQ268</f>
        <v>1143.6538768474604</v>
      </c>
      <c r="AR73" s="58">
        <f ca="1">BIDU_IS!AR268</f>
        <v>1198.160591303624</v>
      </c>
      <c r="AS73" s="58">
        <f ca="1">BIDU_IS!AS268</f>
        <v>1052.7703861632842</v>
      </c>
      <c r="AT73" s="58">
        <f ca="1">BIDU_IS!AT268</f>
        <v>1214.106600540503</v>
      </c>
      <c r="AU73" s="58">
        <f ca="1">BIDU_IS!AU268</f>
        <v>1328.9482780275769</v>
      </c>
      <c r="AV73" s="58">
        <f ca="1">BIDU_IS!AV268</f>
        <v>1352.5713272126563</v>
      </c>
      <c r="AW73" s="58">
        <f ca="1">BIDU_IS!AW268</f>
        <v>1210.990219655534</v>
      </c>
      <c r="AX73" s="58">
        <f ca="1">BIDU_IS!AX268</f>
        <v>1373.3595470988394</v>
      </c>
      <c r="AY73" s="58">
        <f ca="1">BIDU_IS!AY268</f>
        <v>1494.0151003868411</v>
      </c>
      <c r="AZ73" s="58">
        <f ca="1">BIDU_IS!AZ268</f>
        <v>1567.2852367505425</v>
      </c>
    </row>
    <row r="74" spans="2:52">
      <c r="B74" s="3" t="s">
        <v>615</v>
      </c>
      <c r="E74" s="2"/>
      <c r="F74" s="120">
        <v>-2.7829999999999999</v>
      </c>
      <c r="G74" s="191">
        <v>-16.050999999999998</v>
      </c>
      <c r="H74" s="120">
        <v>-24.395</v>
      </c>
      <c r="I74" s="120">
        <v>-24.233000000000001</v>
      </c>
      <c r="J74" s="120">
        <v>-83.641000000000005</v>
      </c>
      <c r="K74" s="120">
        <v>-30</v>
      </c>
      <c r="L74" s="58"/>
      <c r="M74" s="58"/>
      <c r="N74" s="58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M74" s="70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</row>
    <row r="75" spans="2:52">
      <c r="B75" s="3" t="s">
        <v>616</v>
      </c>
      <c r="E75" s="2"/>
      <c r="F75" s="120">
        <v>-59.03</v>
      </c>
      <c r="G75" s="191">
        <v>330.63600000000002</v>
      </c>
      <c r="H75" s="120">
        <v>-693.44799999999998</v>
      </c>
      <c r="I75" s="120">
        <v>2260.739</v>
      </c>
      <c r="J75" s="120">
        <v>-13.561</v>
      </c>
      <c r="K75" s="120">
        <v>-756</v>
      </c>
      <c r="L75" s="58"/>
      <c r="M75" s="58"/>
      <c r="N75" s="58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M75" s="70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</row>
    <row r="76" spans="2:52">
      <c r="B76" s="3" t="s">
        <v>487</v>
      </c>
      <c r="E76" s="2"/>
      <c r="F76" s="120">
        <v>-0.84699999999999998</v>
      </c>
      <c r="G76" s="191">
        <v>39.137</v>
      </c>
      <c r="H76" s="120">
        <v>77.471999999999994</v>
      </c>
      <c r="I76" s="120">
        <v>246.87799999999999</v>
      </c>
      <c r="J76" s="120">
        <v>268.56400000000002</v>
      </c>
      <c r="K76" s="120">
        <v>585</v>
      </c>
      <c r="L76" s="58"/>
      <c r="M76" s="58"/>
      <c r="N76" s="58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M76" s="70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</row>
    <row r="77" spans="2:52">
      <c r="B77" s="3" t="s">
        <v>617</v>
      </c>
      <c r="E77" s="2"/>
      <c r="F77" s="120">
        <v>-745.52599999999995</v>
      </c>
      <c r="G77" s="191">
        <v>-1100.0540000000001</v>
      </c>
      <c r="H77" s="120">
        <v>-1929.192</v>
      </c>
      <c r="I77" s="120">
        <v>-2709.2220000000002</v>
      </c>
      <c r="J77" s="120">
        <v>-4971.0079999999998</v>
      </c>
      <c r="K77" s="120">
        <v>-3244</v>
      </c>
      <c r="L77" s="58"/>
      <c r="M77" s="58"/>
      <c r="N77" s="58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M77" s="70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</row>
    <row r="78" spans="2:52">
      <c r="B78" s="3" t="s">
        <v>618</v>
      </c>
      <c r="E78" s="2"/>
      <c r="F78" s="120">
        <v>169.18</v>
      </c>
      <c r="G78" s="191">
        <v>24.196999999999999</v>
      </c>
      <c r="H78" s="120">
        <v>95.049000000000007</v>
      </c>
      <c r="I78" s="120">
        <v>116.97799999999999</v>
      </c>
      <c r="J78" s="120">
        <v>421.39499999999998</v>
      </c>
      <c r="K78" s="120">
        <v>2358</v>
      </c>
      <c r="L78" s="58"/>
      <c r="M78" s="58"/>
      <c r="N78" s="58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M78" s="70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</row>
    <row r="79" spans="2:52">
      <c r="B79" s="3" t="s">
        <v>619</v>
      </c>
      <c r="E79" s="2"/>
      <c r="F79" s="120">
        <v>294.22899999999998</v>
      </c>
      <c r="G79" s="191">
        <v>5.806</v>
      </c>
      <c r="H79" s="120">
        <v>26.952000000000002</v>
      </c>
      <c r="I79" s="120">
        <v>-3.867</v>
      </c>
      <c r="J79" s="120">
        <v>1025.7270000000001</v>
      </c>
      <c r="K79" s="120">
        <v>63</v>
      </c>
      <c r="L79" s="58"/>
      <c r="M79" s="58"/>
      <c r="N79" s="58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M79" s="70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</row>
    <row r="80" spans="2:52">
      <c r="B80" s="3" t="s">
        <v>620</v>
      </c>
      <c r="E80" s="2"/>
      <c r="F80" s="120">
        <v>-15.238</v>
      </c>
      <c r="G80" s="191">
        <v>0</v>
      </c>
      <c r="H80" s="120">
        <v>0</v>
      </c>
      <c r="I80" s="120">
        <v>-24435.554</v>
      </c>
      <c r="J80" s="120">
        <v>-1246.617</v>
      </c>
      <c r="K80" s="120">
        <v>-5550</v>
      </c>
      <c r="L80" s="58"/>
      <c r="M80" s="58"/>
      <c r="N80" s="58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M80" s="70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</row>
    <row r="81" spans="2:52">
      <c r="B81" s="3" t="s">
        <v>655</v>
      </c>
      <c r="E81" s="2"/>
      <c r="F81" s="120"/>
      <c r="G81" s="191"/>
      <c r="H81" s="120"/>
      <c r="I81" s="120"/>
      <c r="J81" s="120"/>
      <c r="K81" s="120">
        <v>-763</v>
      </c>
      <c r="L81" s="58"/>
      <c r="M81" s="58"/>
      <c r="N81" s="58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M81" s="70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</row>
    <row r="82" spans="2:52">
      <c r="B82" s="3" t="s">
        <v>621</v>
      </c>
      <c r="E82" s="2"/>
      <c r="F82" s="120">
        <v>-543.88300000000004</v>
      </c>
      <c r="G82" s="191">
        <v>19.186</v>
      </c>
      <c r="H82" s="120">
        <v>-42.793999999999997</v>
      </c>
      <c r="I82" s="120">
        <v>52.959000000000003</v>
      </c>
      <c r="J82" s="120">
        <v>-463.37200000000001</v>
      </c>
      <c r="K82" s="120">
        <v>362</v>
      </c>
      <c r="L82" s="58"/>
      <c r="M82" s="58"/>
      <c r="N82" s="58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M82" s="70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</row>
    <row r="83" spans="2:52">
      <c r="B83" s="3" t="s">
        <v>214</v>
      </c>
      <c r="E83" s="2"/>
      <c r="F83" s="120">
        <v>780.96800000000007</v>
      </c>
      <c r="G83" s="191">
        <v>967.31099999999969</v>
      </c>
      <c r="H83" s="120">
        <v>3249.1260000000002</v>
      </c>
      <c r="I83" s="120">
        <v>4586.1680000000006</v>
      </c>
      <c r="J83" s="120">
        <v>5637.6519999999991</v>
      </c>
      <c r="K83" s="120">
        <f>52-721+178+1259+763+5100+203+47-306</f>
        <v>6575</v>
      </c>
      <c r="L83" s="58">
        <f ca="1">-L252</f>
        <v>-15542.73663923821</v>
      </c>
      <c r="M83" s="58">
        <f ca="1">-M252</f>
        <v>-20287.635793970039</v>
      </c>
      <c r="N83" s="58">
        <f ca="1">-N252</f>
        <v>-20301.637709076902</v>
      </c>
      <c r="AM83" s="70"/>
      <c r="AN83" s="58"/>
      <c r="AO83" s="58">
        <f t="shared" ref="AO83:AV83" ca="1" si="153">-AO252</f>
        <v>-1493.6915414944087</v>
      </c>
      <c r="AP83" s="58">
        <f t="shared" ca="1" si="153"/>
        <v>-9206.6513145216741</v>
      </c>
      <c r="AQ83" s="58">
        <f t="shared" ca="1" si="153"/>
        <v>27198.646463822748</v>
      </c>
      <c r="AR83" s="58">
        <f t="shared" ca="1" si="153"/>
        <v>-32041.040247044875</v>
      </c>
      <c r="AS83" s="58">
        <f t="shared" ca="1" si="153"/>
        <v>38259.145027369173</v>
      </c>
      <c r="AT83" s="58">
        <f t="shared" ca="1" si="153"/>
        <v>-50463.093939344588</v>
      </c>
      <c r="AU83" s="58">
        <f t="shared" ca="1" si="153"/>
        <v>68741.291727297852</v>
      </c>
      <c r="AV83" s="58">
        <f t="shared" ca="1" si="153"/>
        <v>-76824.978609292477</v>
      </c>
      <c r="AW83" s="58">
        <f t="shared" ref="AW83:AZ83" ca="1" si="154">-AW252</f>
        <v>86240.937853533746</v>
      </c>
      <c r="AX83" s="58">
        <f t="shared" ca="1" si="154"/>
        <v>-100707.1670947992</v>
      </c>
      <c r="AY83" s="58">
        <f t="shared" ca="1" si="154"/>
        <v>117164.1109591609</v>
      </c>
      <c r="AZ83" s="58">
        <f t="shared" ca="1" si="154"/>
        <v>-122999.51942697234</v>
      </c>
    </row>
    <row r="84" spans="2:52">
      <c r="B84" s="9" t="s">
        <v>213</v>
      </c>
      <c r="E84" s="2"/>
      <c r="F84" s="82">
        <f>SUM(F70:F83)</f>
        <v>11995.994000000001</v>
      </c>
      <c r="G84" s="188">
        <f t="shared" ref="G84:K84" si="155">SUM(G70:G83)</f>
        <v>13792.971000000001</v>
      </c>
      <c r="H84" s="82">
        <f t="shared" si="155"/>
        <v>17937.175000000003</v>
      </c>
      <c r="I84" s="82">
        <f t="shared" si="155"/>
        <v>19771.122000000007</v>
      </c>
      <c r="J84" s="82">
        <f t="shared" si="155"/>
        <v>22258.296999999995</v>
      </c>
      <c r="K84" s="82">
        <f t="shared" si="155"/>
        <v>32880</v>
      </c>
      <c r="L84" s="82">
        <f ca="1">SUM(L70:L83)</f>
        <v>25343.30999680618</v>
      </c>
      <c r="M84" s="82">
        <f ca="1">SUM(M70:M83)</f>
        <v>31623.209508048181</v>
      </c>
      <c r="N84" s="82">
        <f ca="1">SUM(N70:N83)</f>
        <v>45111.983237620538</v>
      </c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M84" s="70"/>
      <c r="AN84" s="82"/>
      <c r="AO84" s="82">
        <f t="shared" ref="AO84:AV84" ca="1" si="156">SUM(AO70:AO83)</f>
        <v>6170.904709779039</v>
      </c>
      <c r="AP84" s="82">
        <f t="shared" ca="1" si="156"/>
        <v>1037.705802585464</v>
      </c>
      <c r="AQ84" s="82">
        <f t="shared" ca="1" si="156"/>
        <v>38773.205169627501</v>
      </c>
      <c r="AR84" s="82">
        <f t="shared" ca="1" si="156"/>
        <v>-20638.505685185832</v>
      </c>
      <c r="AS84" s="82">
        <f t="shared" ca="1" si="156"/>
        <v>48935.54013186918</v>
      </c>
      <c r="AT84" s="82">
        <f t="shared" ca="1" si="156"/>
        <v>-37555.044995324766</v>
      </c>
      <c r="AU84" s="82">
        <f t="shared" ca="1" si="156"/>
        <v>83097.572132378642</v>
      </c>
      <c r="AV84" s="82">
        <f t="shared" ca="1" si="156"/>
        <v>-62854.85776087486</v>
      </c>
      <c r="AW84" s="82">
        <f t="shared" ref="AW84:AZ84" ca="1" si="157">SUM(AW70:AW83)</f>
        <v>99834.225212861449</v>
      </c>
      <c r="AX84" s="82">
        <f t="shared" ca="1" si="157"/>
        <v>-84434.79391804125</v>
      </c>
      <c r="AY84" s="82">
        <f t="shared" ca="1" si="157"/>
        <v>134811.36874300026</v>
      </c>
      <c r="AZ84" s="82">
        <f t="shared" ca="1" si="157"/>
        <v>-105098.81680019991</v>
      </c>
    </row>
    <row r="85" spans="2:52">
      <c r="B85" s="3"/>
      <c r="E85" s="2"/>
      <c r="F85" s="12"/>
      <c r="G85" s="192"/>
      <c r="H85" s="12"/>
      <c r="I85" s="12"/>
      <c r="J85" s="12"/>
      <c r="K85" s="58"/>
      <c r="L85" s="58"/>
      <c r="M85" s="58"/>
      <c r="N85" s="5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M85" s="70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</row>
    <row r="86" spans="2:52">
      <c r="B86" s="11" t="s">
        <v>212</v>
      </c>
      <c r="E86" s="2"/>
      <c r="F86" s="12"/>
      <c r="G86" s="192"/>
      <c r="H86" s="12"/>
      <c r="I86" s="12"/>
      <c r="J86" s="2"/>
      <c r="K86" s="58"/>
      <c r="L86" s="58"/>
      <c r="M86" s="58"/>
      <c r="N86" s="58"/>
      <c r="AM86" s="70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</row>
    <row r="87" spans="2:52">
      <c r="B87" s="3" t="s">
        <v>211</v>
      </c>
      <c r="E87" s="2"/>
      <c r="F87" s="120">
        <f>-2310.86-28.901</f>
        <v>-2339.761</v>
      </c>
      <c r="G87" s="191">
        <f>-2756.629-12.194</f>
        <v>-2768.8229999999999</v>
      </c>
      <c r="H87" s="120">
        <f>-4827.163-4.302</f>
        <v>-4831.4649999999992</v>
      </c>
      <c r="I87" s="120">
        <f>-5229.616-20.634</f>
        <v>-5250.25</v>
      </c>
      <c r="J87" s="120">
        <f>-4189.187-25.894</f>
        <v>-4215.0810000000001</v>
      </c>
      <c r="K87" s="120">
        <f>-4779-50</f>
        <v>-4829</v>
      </c>
      <c r="L87" s="58">
        <f ca="1">-'BIDU_BS + CFS'!L201</f>
        <v>-6020.6566067017311</v>
      </c>
      <c r="M87" s="58">
        <f ca="1">-'BIDU_BS + CFS'!M201</f>
        <v>-7353.4354951167634</v>
      </c>
      <c r="N87" s="58">
        <f ca="1">-'BIDU_BS + CFS'!N201</f>
        <v>-8847.7733413810874</v>
      </c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M87" s="70"/>
      <c r="AN87" s="58"/>
      <c r="AO87" s="58">
        <f ca="1">-'BIDU_BS + CFS'!AO201</f>
        <v>-1251.9890162688514</v>
      </c>
      <c r="AP87" s="58">
        <f ca="1">-'BIDU_BS + CFS'!AP201</f>
        <v>-1498.7706959629088</v>
      </c>
      <c r="AQ87" s="58">
        <f ca="1">-'BIDU_BS + CFS'!AQ201</f>
        <v>-1636.8181564220367</v>
      </c>
      <c r="AR87" s="58">
        <f ca="1">-'BIDU_BS + CFS'!AR201</f>
        <v>-1633.0787380479344</v>
      </c>
      <c r="AS87" s="58">
        <f ca="1">-'BIDU_BS + CFS'!AS201</f>
        <v>-1586.1450144227497</v>
      </c>
      <c r="AT87" s="58">
        <f ca="1">-'BIDU_BS + CFS'!AT201</f>
        <v>-1829.2204613042652</v>
      </c>
      <c r="AU87" s="58">
        <f ca="1">-'BIDU_BS + CFS'!AU201</f>
        <v>-2002.2454215312671</v>
      </c>
      <c r="AV87" s="58">
        <f ca="1">-'BIDU_BS + CFS'!AV201</f>
        <v>-1935.8245978584807</v>
      </c>
      <c r="AW87" s="58">
        <f ca="1">-'BIDU_BS + CFS'!AW201</f>
        <v>-1926.0208019420702</v>
      </c>
      <c r="AX87" s="58">
        <f ca="1">-'BIDU_BS + CFS'!AX201</f>
        <v>-2184.2612874367464</v>
      </c>
      <c r="AY87" s="58">
        <f ca="1">-'BIDU_BS + CFS'!AY201</f>
        <v>-2376.1580523574594</v>
      </c>
      <c r="AZ87" s="58">
        <f ca="1">-'BIDU_BS + CFS'!AZ201</f>
        <v>-2361.3331996448119</v>
      </c>
    </row>
    <row r="88" spans="2:52">
      <c r="B88" s="3" t="s">
        <v>210</v>
      </c>
      <c r="E88" s="2"/>
      <c r="F88" s="120">
        <v>-190.303</v>
      </c>
      <c r="G88" s="191">
        <v>-909.71699999999998</v>
      </c>
      <c r="H88" s="120">
        <v>-1563.7460000000001</v>
      </c>
      <c r="I88" s="120">
        <v>-2492.855</v>
      </c>
      <c r="J88" s="120">
        <v>-6294.473</v>
      </c>
      <c r="K88" s="120">
        <v>-9122</v>
      </c>
      <c r="L88" s="58">
        <f ca="1">-'BIDU_BS + CFS'!L214</f>
        <v>-17170.281307992671</v>
      </c>
      <c r="M88" s="58">
        <f ca="1">-'BIDU_BS + CFS'!M214</f>
        <v>-18490.500799573601</v>
      </c>
      <c r="N88" s="58">
        <f ca="1">-'BIDU_BS + CFS'!N214</f>
        <v>-19115.839513004601</v>
      </c>
      <c r="AN88" s="58"/>
      <c r="AO88" s="58">
        <f>-'BIDU_BS + CFS'!AO214</f>
        <v>-3528.2422739135977</v>
      </c>
      <c r="AP88" s="58">
        <f>-'BIDU_BS + CFS'!AP214</f>
        <v>-4237.5705107793019</v>
      </c>
      <c r="AQ88" s="58">
        <f>-'BIDU_BS + CFS'!AQ214</f>
        <v>-4763.9573232895282</v>
      </c>
      <c r="AR88" s="58">
        <f>-'BIDU_BS + CFS'!AR214</f>
        <v>-4640.5112000102436</v>
      </c>
      <c r="AS88" s="58">
        <f>-'BIDU_BS + CFS'!AS214</f>
        <v>-4302.514351763688</v>
      </c>
      <c r="AT88" s="58">
        <f>-'BIDU_BS + CFS'!AT214</f>
        <v>-4650.2205441936376</v>
      </c>
      <c r="AU88" s="58">
        <f>-'BIDU_BS + CFS'!AU214</f>
        <v>-4904.1398828751198</v>
      </c>
      <c r="AV88" s="58">
        <f>-'BIDU_BS + CFS'!AV214</f>
        <v>-4633.6260207411588</v>
      </c>
      <c r="AW88" s="58">
        <f>-'BIDU_BS + CFS'!AW214</f>
        <v>-4470.2742650879227</v>
      </c>
      <c r="AX88" s="58">
        <f>-'BIDU_BS + CFS'!AX214</f>
        <v>-4828.4392999144256</v>
      </c>
      <c r="AY88" s="58">
        <f>-'BIDU_BS + CFS'!AY214</f>
        <v>-5012.5965524437106</v>
      </c>
      <c r="AZ88" s="58">
        <f>-'BIDU_BS + CFS'!AZ214</f>
        <v>-4804.529395558543</v>
      </c>
    </row>
    <row r="89" spans="2:52">
      <c r="B89" s="3" t="s">
        <v>622</v>
      </c>
      <c r="E89" s="2"/>
      <c r="F89" s="120">
        <v>6.7850000000000001</v>
      </c>
      <c r="G89" s="191">
        <v>18.475999999999999</v>
      </c>
      <c r="H89" s="120">
        <v>20.422000000000001</v>
      </c>
      <c r="I89" s="120">
        <v>33.271000000000001</v>
      </c>
      <c r="J89" s="120">
        <v>55.18</v>
      </c>
      <c r="K89" s="120">
        <v>44</v>
      </c>
      <c r="L89" s="58"/>
      <c r="M89" s="58"/>
      <c r="N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</row>
    <row r="90" spans="2:52">
      <c r="B90" s="3" t="s">
        <v>623</v>
      </c>
      <c r="E90" s="2"/>
      <c r="F90" s="120">
        <v>-820.52599999999995</v>
      </c>
      <c r="G90" s="191">
        <v>-13201.126</v>
      </c>
      <c r="H90" s="120">
        <v>-328.89100000000002</v>
      </c>
      <c r="I90" s="120">
        <v>-332.67899999999997</v>
      </c>
      <c r="J90" s="120">
        <v>0</v>
      </c>
      <c r="K90" s="120">
        <v>-553</v>
      </c>
      <c r="L90" s="58"/>
      <c r="M90" s="58"/>
      <c r="N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</row>
    <row r="91" spans="2:52">
      <c r="B91" s="3" t="s">
        <v>624</v>
      </c>
      <c r="E91" s="2"/>
      <c r="F91" s="120">
        <v>-36.314999999999998</v>
      </c>
      <c r="G91" s="191">
        <v>-2.448</v>
      </c>
      <c r="H91" s="120">
        <v>0</v>
      </c>
      <c r="I91" s="120">
        <v>-31.350999999999999</v>
      </c>
      <c r="J91" s="120">
        <v>-0.214</v>
      </c>
      <c r="K91" s="120">
        <v>0</v>
      </c>
      <c r="L91" s="58"/>
      <c r="M91" s="58"/>
      <c r="N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</row>
    <row r="92" spans="2:52">
      <c r="B92" s="3" t="s">
        <v>377</v>
      </c>
      <c r="E92" s="2"/>
      <c r="F92" s="109">
        <f>SUM(F93:F101)</f>
        <v>-10368.959999999999</v>
      </c>
      <c r="G92" s="207">
        <f t="shared" ref="G92:K92" si="158">SUM(G93:G101)</f>
        <v>-6199.3020000000024</v>
      </c>
      <c r="H92" s="109">
        <f t="shared" si="158"/>
        <v>-15764.094000000008</v>
      </c>
      <c r="I92" s="109">
        <f t="shared" si="158"/>
        <v>-19657.352000000003</v>
      </c>
      <c r="J92" s="109">
        <f t="shared" si="158"/>
        <v>-21366.220000000012</v>
      </c>
      <c r="K92" s="109">
        <f t="shared" si="158"/>
        <v>-40398</v>
      </c>
      <c r="L92" s="58"/>
      <c r="M92" s="58"/>
      <c r="N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</row>
    <row r="93" spans="2:52">
      <c r="B93" s="52" t="s">
        <v>496</v>
      </c>
      <c r="E93" s="2"/>
      <c r="F93" s="120">
        <v>-26368.017</v>
      </c>
      <c r="G93" s="191">
        <v>-30441.278999999999</v>
      </c>
      <c r="H93" s="120">
        <v>-55356.781000000003</v>
      </c>
      <c r="I93" s="120">
        <v>-50207.364000000001</v>
      </c>
      <c r="J93" s="120">
        <v>-47633.88</v>
      </c>
      <c r="K93" s="120">
        <v>-56150</v>
      </c>
      <c r="L93" s="58"/>
      <c r="M93" s="58"/>
      <c r="N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</row>
    <row r="94" spans="2:52">
      <c r="B94" s="52" t="s">
        <v>497</v>
      </c>
      <c r="E94" s="2"/>
      <c r="F94" s="120">
        <v>19351.949000000001</v>
      </c>
      <c r="G94" s="191">
        <v>29562.044999999998</v>
      </c>
      <c r="H94" s="120">
        <v>37449.747000000003</v>
      </c>
      <c r="I94" s="120">
        <v>51961.777999999998</v>
      </c>
      <c r="J94" s="120">
        <v>46143.249000000003</v>
      </c>
      <c r="K94" s="120">
        <v>49580</v>
      </c>
      <c r="L94" s="58"/>
      <c r="M94" s="58"/>
      <c r="N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</row>
    <row r="95" spans="2:52">
      <c r="B95" s="52" t="s">
        <v>625</v>
      </c>
      <c r="E95" s="2"/>
      <c r="F95" s="120">
        <v>-6774.5</v>
      </c>
      <c r="G95" s="191">
        <v>-53921.661</v>
      </c>
      <c r="H95" s="120">
        <v>-78033.523000000001</v>
      </c>
      <c r="I95" s="120">
        <v>-126155.82399999999</v>
      </c>
      <c r="J95" s="120">
        <v>-182342.20300000001</v>
      </c>
      <c r="K95" s="120">
        <v>-209628</v>
      </c>
      <c r="L95" s="58"/>
      <c r="M95" s="58"/>
      <c r="N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</row>
    <row r="96" spans="2:52">
      <c r="B96" s="52" t="s">
        <v>626</v>
      </c>
      <c r="E96" s="2"/>
      <c r="F96" s="120">
        <v>3477.4630000000002</v>
      </c>
      <c r="G96" s="191">
        <v>48947.811000000002</v>
      </c>
      <c r="H96" s="120">
        <v>81931.251999999993</v>
      </c>
      <c r="I96" s="120">
        <v>110652.993</v>
      </c>
      <c r="J96" s="120">
        <v>173820.61499999999</v>
      </c>
      <c r="K96" s="120">
        <v>198517</v>
      </c>
      <c r="L96" s="58"/>
      <c r="M96" s="58"/>
      <c r="N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</row>
    <row r="97" spans="2:52">
      <c r="B97" s="52" t="s">
        <v>627</v>
      </c>
      <c r="E97" s="2"/>
      <c r="F97" s="120">
        <v>-58.665999999999997</v>
      </c>
      <c r="G97" s="191">
        <v>-350.36099999999999</v>
      </c>
      <c r="H97" s="120">
        <v>-1777.3309999999999</v>
      </c>
      <c r="I97" s="120">
        <v>-5940.3090000000002</v>
      </c>
      <c r="J97" s="120">
        <v>-4005.136</v>
      </c>
      <c r="K97" s="120">
        <v>-12499</v>
      </c>
      <c r="L97" s="58"/>
      <c r="M97" s="58"/>
      <c r="N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</row>
    <row r="98" spans="2:52">
      <c r="B98" s="52" t="s">
        <v>628</v>
      </c>
      <c r="E98" s="2"/>
      <c r="F98" s="120"/>
      <c r="G98" s="191"/>
      <c r="H98" s="120">
        <v>22.361999999999998</v>
      </c>
      <c r="I98" s="120">
        <v>23.140999999999998</v>
      </c>
      <c r="J98" s="120">
        <v>303.39800000000002</v>
      </c>
      <c r="K98" s="120">
        <v>19</v>
      </c>
      <c r="L98" s="58"/>
      <c r="M98" s="58"/>
      <c r="N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</row>
    <row r="99" spans="2:52">
      <c r="B99" s="52" t="s">
        <v>629</v>
      </c>
      <c r="E99" s="2"/>
      <c r="F99" s="120">
        <v>2.8109999999999999</v>
      </c>
      <c r="G99" s="191">
        <v>4.1429999999999998</v>
      </c>
      <c r="H99" s="120">
        <v>0.18</v>
      </c>
      <c r="I99" s="120">
        <v>8.2330000000000005</v>
      </c>
      <c r="J99" s="120">
        <v>4.8920000000000003</v>
      </c>
      <c r="K99" s="120">
        <v>13</v>
      </c>
      <c r="L99" s="58"/>
      <c r="M99" s="58"/>
      <c r="N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</row>
    <row r="100" spans="2:52">
      <c r="B100" s="52" t="s">
        <v>633</v>
      </c>
      <c r="E100" s="2"/>
      <c r="F100" s="120"/>
      <c r="G100" s="191"/>
      <c r="H100" s="120"/>
      <c r="I100" s="120"/>
      <c r="J100" s="120">
        <v>-8968.3179999999993</v>
      </c>
      <c r="K100" s="120">
        <v>-38167</v>
      </c>
      <c r="L100" s="58"/>
      <c r="M100" s="58"/>
      <c r="N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</row>
    <row r="101" spans="2:52">
      <c r="B101" s="52" t="s">
        <v>634</v>
      </c>
      <c r="E101" s="2"/>
      <c r="F101" s="120"/>
      <c r="G101" s="191"/>
      <c r="H101" s="120"/>
      <c r="I101" s="120"/>
      <c r="J101" s="120">
        <v>1311.163</v>
      </c>
      <c r="K101" s="120">
        <v>27917</v>
      </c>
      <c r="L101" s="58"/>
      <c r="M101" s="58"/>
      <c r="N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</row>
    <row r="102" spans="2:52">
      <c r="B102" s="3" t="s">
        <v>630</v>
      </c>
      <c r="E102" s="2"/>
      <c r="F102" s="120">
        <v>-1.02</v>
      </c>
      <c r="G102" s="191">
        <v>-259.87900000000002</v>
      </c>
      <c r="H102" s="120"/>
      <c r="I102" s="120">
        <v>-3541.2280000000001</v>
      </c>
      <c r="J102" s="120">
        <v>274.71499999999997</v>
      </c>
      <c r="K102" s="120">
        <v>1445</v>
      </c>
      <c r="L102" s="58"/>
      <c r="M102" s="58"/>
      <c r="N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</row>
    <row r="103" spans="2:52">
      <c r="B103" s="3" t="s">
        <v>631</v>
      </c>
      <c r="E103" s="2"/>
      <c r="F103" s="120"/>
      <c r="G103" s="191"/>
      <c r="H103" s="120"/>
      <c r="I103" s="120">
        <v>-451.57799999999997</v>
      </c>
      <c r="J103" s="120">
        <v>-7920.3209999999999</v>
      </c>
      <c r="K103" s="120">
        <v>-63597</v>
      </c>
      <c r="L103" s="58"/>
      <c r="M103" s="58"/>
      <c r="N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</row>
    <row r="104" spans="2:52">
      <c r="B104" s="3" t="s">
        <v>632</v>
      </c>
      <c r="E104" s="2"/>
      <c r="F104" s="120"/>
      <c r="G104" s="191"/>
      <c r="H104" s="120"/>
      <c r="I104" s="120">
        <v>102.89400000000001</v>
      </c>
      <c r="J104" s="120">
        <v>3555.6550000000002</v>
      </c>
      <c r="K104" s="120">
        <v>40075</v>
      </c>
      <c r="L104" s="58"/>
      <c r="M104" s="58"/>
      <c r="N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</row>
    <row r="105" spans="2:52">
      <c r="B105" s="9" t="s">
        <v>209</v>
      </c>
      <c r="E105" s="2"/>
      <c r="F105" s="82">
        <f>SUM(F87:F92,F102:F104)</f>
        <v>-13750.099999999999</v>
      </c>
      <c r="G105" s="188">
        <f t="shared" ref="G105:K105" si="159">SUM(G87:G92,G102:G104)</f>
        <v>-23322.819000000003</v>
      </c>
      <c r="H105" s="82">
        <f t="shared" si="159"/>
        <v>-22467.774000000009</v>
      </c>
      <c r="I105" s="82">
        <f t="shared" si="159"/>
        <v>-31621.128000000001</v>
      </c>
      <c r="J105" s="82">
        <f t="shared" si="159"/>
        <v>-35910.759000000013</v>
      </c>
      <c r="K105" s="82">
        <f t="shared" si="159"/>
        <v>-76935</v>
      </c>
      <c r="L105" s="82">
        <f t="shared" ref="L105:N105" ca="1" si="160">SUM(L87:L92,L102:L104)</f>
        <v>-23190.937914694401</v>
      </c>
      <c r="M105" s="82">
        <f t="shared" ca="1" si="160"/>
        <v>-25843.936294690364</v>
      </c>
      <c r="N105" s="82">
        <f t="shared" ca="1" si="160"/>
        <v>-27963.61285438569</v>
      </c>
      <c r="AN105" s="82"/>
      <c r="AO105" s="82">
        <f t="shared" ref="AO105:AZ105" ca="1" si="161">SUM(AO87:AO92,AO102:AO104)</f>
        <v>-4780.2312901824489</v>
      </c>
      <c r="AP105" s="82">
        <f t="shared" ca="1" si="161"/>
        <v>-5736.3412067422105</v>
      </c>
      <c r="AQ105" s="82">
        <f t="shared" ca="1" si="161"/>
        <v>-6400.7754797115649</v>
      </c>
      <c r="AR105" s="82">
        <f t="shared" ca="1" si="161"/>
        <v>-6273.5899380581777</v>
      </c>
      <c r="AS105" s="82">
        <f t="shared" ca="1" si="161"/>
        <v>-5888.6593661864372</v>
      </c>
      <c r="AT105" s="82">
        <f t="shared" ca="1" si="161"/>
        <v>-6479.4410054979026</v>
      </c>
      <c r="AU105" s="82">
        <f t="shared" ca="1" si="161"/>
        <v>-6906.3853044063871</v>
      </c>
      <c r="AV105" s="82">
        <f t="shared" ca="1" si="161"/>
        <v>-6569.4506185996397</v>
      </c>
      <c r="AW105" s="82">
        <f t="shared" ca="1" si="161"/>
        <v>-6396.2950670299924</v>
      </c>
      <c r="AX105" s="82">
        <f t="shared" ca="1" si="161"/>
        <v>-7012.7005873511716</v>
      </c>
      <c r="AY105" s="82">
        <f t="shared" ca="1" si="161"/>
        <v>-7388.75460480117</v>
      </c>
      <c r="AZ105" s="82">
        <f t="shared" ca="1" si="161"/>
        <v>-7165.8625952033544</v>
      </c>
    </row>
    <row r="106" spans="2:52">
      <c r="B106" s="61"/>
      <c r="E106" s="2"/>
      <c r="F106" s="2"/>
      <c r="G106" s="192"/>
      <c r="H106" s="12"/>
      <c r="I106" s="12"/>
      <c r="J106" s="12"/>
    </row>
    <row r="107" spans="2:52">
      <c r="B107" s="11" t="s">
        <v>208</v>
      </c>
      <c r="E107" s="2"/>
      <c r="F107" s="2"/>
      <c r="G107" s="189"/>
      <c r="H107" s="2"/>
      <c r="I107" s="2"/>
      <c r="J107" s="2"/>
      <c r="K107" s="166"/>
    </row>
    <row r="108" spans="2:52">
      <c r="B108" s="3" t="s">
        <v>207</v>
      </c>
      <c r="E108" s="2"/>
      <c r="F108" s="109">
        <f t="shared" ref="F108:K108" si="162">SUM(F109:F118)</f>
        <v>9361.4509999999991</v>
      </c>
      <c r="G108" s="207">
        <f t="shared" si="162"/>
        <v>5987.9710000000005</v>
      </c>
      <c r="H108" s="109">
        <f t="shared" si="162"/>
        <v>7533.2179999999998</v>
      </c>
      <c r="I108" s="109">
        <f t="shared" si="162"/>
        <v>10401.895</v>
      </c>
      <c r="J108" s="109">
        <f t="shared" si="162"/>
        <v>6850.83</v>
      </c>
      <c r="K108" s="109">
        <f t="shared" si="162"/>
        <v>10301</v>
      </c>
      <c r="L108" s="58">
        <f ca="1">+L150+L165-K150-K165</f>
        <v>1983.3636363636324</v>
      </c>
      <c r="M108" s="58">
        <f ca="1">+M150+M165-L150-L165</f>
        <v>-6474.7272727272648</v>
      </c>
      <c r="N108" s="58">
        <f ca="1">+N150+N165-M150-M165</f>
        <v>0</v>
      </c>
      <c r="AN108" s="58"/>
      <c r="AO108" s="58">
        <f>+AO150+AO165-AN150-AN165</f>
        <v>9712.0909090909117</v>
      </c>
      <c r="AP108" s="58">
        <f t="shared" ref="AP108:AV108" si="163">+AP150+AP165-AO150-AO165</f>
        <v>0</v>
      </c>
      <c r="AQ108" s="58">
        <f t="shared" si="163"/>
        <v>-7228.7272727272793</v>
      </c>
      <c r="AR108" s="58">
        <f t="shared" ca="1" si="163"/>
        <v>-500</v>
      </c>
      <c r="AS108" s="58">
        <f t="shared" ca="1" si="163"/>
        <v>0</v>
      </c>
      <c r="AT108" s="58">
        <f t="shared" ca="1" si="163"/>
        <v>-6474.7272727272648</v>
      </c>
      <c r="AU108" s="58">
        <f t="shared" ca="1" si="163"/>
        <v>0</v>
      </c>
      <c r="AV108" s="58">
        <f t="shared" ca="1" si="163"/>
        <v>0</v>
      </c>
      <c r="AW108" s="58">
        <f t="shared" ref="AW108" ca="1" si="164">+AW150+AW165-AV150-AV165</f>
        <v>0</v>
      </c>
      <c r="AX108" s="58">
        <f t="shared" ref="AX108" si="165">+AX150+AX165-AW150-AW165</f>
        <v>0</v>
      </c>
      <c r="AY108" s="58">
        <f t="shared" ref="AY108" si="166">+AY150+AY165-AX150-AX165</f>
        <v>0</v>
      </c>
      <c r="AZ108" s="58">
        <f t="shared" ref="AZ108" si="167">+AZ150+AZ165-AY150-AY165</f>
        <v>0</v>
      </c>
    </row>
    <row r="109" spans="2:52">
      <c r="B109" s="52" t="s">
        <v>635</v>
      </c>
      <c r="E109" s="2"/>
      <c r="F109" s="120"/>
      <c r="G109" s="191"/>
      <c r="H109" s="120">
        <v>-102.4</v>
      </c>
      <c r="I109" s="120">
        <v>102.4</v>
      </c>
      <c r="J109" s="120"/>
      <c r="K109" s="120">
        <v>0</v>
      </c>
      <c r="L109" s="58"/>
      <c r="M109" s="58"/>
      <c r="N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</row>
    <row r="110" spans="2:52">
      <c r="B110" s="52" t="s">
        <v>636</v>
      </c>
      <c r="E110" s="2"/>
      <c r="F110" s="120">
        <f>-124.602-140</f>
        <v>-264.60199999999998</v>
      </c>
      <c r="G110" s="191">
        <v>-2144.4499999999998</v>
      </c>
      <c r="H110" s="120">
        <v>0</v>
      </c>
      <c r="I110" s="120">
        <v>-84.85</v>
      </c>
      <c r="J110" s="120">
        <v>-1940.6420000000001</v>
      </c>
      <c r="K110" s="120">
        <v>-826</v>
      </c>
      <c r="L110" s="58"/>
      <c r="M110" s="58"/>
      <c r="N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</row>
    <row r="111" spans="2:52">
      <c r="B111" s="52" t="s">
        <v>637</v>
      </c>
      <c r="E111" s="2"/>
      <c r="F111" s="120"/>
      <c r="G111" s="191"/>
      <c r="H111" s="120">
        <v>92.432000000000002</v>
      </c>
      <c r="I111" s="120">
        <f>100</f>
        <v>100</v>
      </c>
      <c r="J111" s="120">
        <v>3252.4720000000002</v>
      </c>
      <c r="K111" s="120">
        <v>751</v>
      </c>
      <c r="L111" s="58"/>
      <c r="M111" s="58"/>
      <c r="N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</row>
    <row r="112" spans="2:52">
      <c r="B112" s="52" t="s">
        <v>638</v>
      </c>
      <c r="E112" s="2"/>
      <c r="F112" s="120"/>
      <c r="G112" s="191">
        <v>-47.2</v>
      </c>
      <c r="H112" s="120">
        <v>-347.65899999999999</v>
      </c>
      <c r="I112" s="120">
        <v>-2173.0100000000002</v>
      </c>
      <c r="J112" s="120">
        <v>-1041.72</v>
      </c>
      <c r="K112" s="120">
        <v>-3330</v>
      </c>
      <c r="L112" s="58"/>
      <c r="M112" s="58"/>
      <c r="N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</row>
    <row r="113" spans="2:52">
      <c r="B113" s="52" t="s">
        <v>639</v>
      </c>
      <c r="E113" s="2"/>
      <c r="F113" s="120">
        <v>355.49900000000002</v>
      </c>
      <c r="G113" s="191">
        <v>2144.4499999999998</v>
      </c>
      <c r="H113" s="120">
        <v>1807.646</v>
      </c>
      <c r="I113" s="120">
        <v>2161.701</v>
      </c>
      <c r="J113" s="120">
        <v>6633.2280000000001</v>
      </c>
      <c r="K113" s="120">
        <v>299</v>
      </c>
      <c r="L113" s="58"/>
      <c r="M113" s="58"/>
      <c r="N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</row>
    <row r="114" spans="2:52">
      <c r="B114" s="52" t="s">
        <v>640</v>
      </c>
      <c r="E114" s="2"/>
      <c r="F114" s="120">
        <v>-27.123999999999999</v>
      </c>
      <c r="G114" s="191">
        <v>-36.628999999999998</v>
      </c>
      <c r="H114" s="120">
        <v>-72.816999999999993</v>
      </c>
      <c r="I114" s="120">
        <v>-58.837000000000003</v>
      </c>
      <c r="J114" s="120">
        <v>-52.508000000000003</v>
      </c>
      <c r="K114" s="120">
        <v>-8</v>
      </c>
      <c r="L114" s="58"/>
      <c r="M114" s="58"/>
      <c r="N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</row>
    <row r="115" spans="2:52">
      <c r="B115" s="52" t="s">
        <v>641</v>
      </c>
      <c r="E115" s="2"/>
      <c r="F115" s="120">
        <v>9334.777</v>
      </c>
      <c r="G115" s="191">
        <v>6111.2</v>
      </c>
      <c r="H115" s="120">
        <v>6188.232</v>
      </c>
      <c r="I115" s="120">
        <v>10406.115</v>
      </c>
      <c r="J115" s="120">
        <v>0</v>
      </c>
      <c r="K115" s="120">
        <v>9926</v>
      </c>
      <c r="L115" s="58"/>
      <c r="M115" s="58"/>
      <c r="N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</row>
    <row r="116" spans="2:52">
      <c r="B116" s="52" t="s">
        <v>642</v>
      </c>
      <c r="E116" s="2"/>
      <c r="F116" s="120">
        <v>-37.098999999999997</v>
      </c>
      <c r="G116" s="191">
        <v>-39.4</v>
      </c>
      <c r="H116" s="120">
        <v>-32.216000000000001</v>
      </c>
      <c r="I116" s="120">
        <v>-51.624000000000002</v>
      </c>
      <c r="J116" s="120"/>
      <c r="K116" s="120">
        <v>-17</v>
      </c>
      <c r="L116" s="58"/>
      <c r="M116" s="58"/>
      <c r="N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</row>
    <row r="117" spans="2:52">
      <c r="B117" s="52" t="s">
        <v>643</v>
      </c>
      <c r="E117" s="2"/>
      <c r="F117" s="120"/>
      <c r="G117" s="191"/>
      <c r="H117" s="120"/>
      <c r="I117" s="120"/>
      <c r="J117" s="120"/>
      <c r="K117" s="120">
        <v>-4957</v>
      </c>
      <c r="L117" s="58"/>
      <c r="M117" s="58"/>
      <c r="N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</row>
    <row r="118" spans="2:52">
      <c r="B118" s="52" t="s">
        <v>644</v>
      </c>
      <c r="E118" s="2"/>
      <c r="F118" s="120"/>
      <c r="G118" s="191"/>
      <c r="H118" s="120"/>
      <c r="I118" s="120"/>
      <c r="J118" s="120"/>
      <c r="K118" s="120">
        <v>8463</v>
      </c>
      <c r="L118" s="58"/>
      <c r="M118" s="58"/>
      <c r="N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</row>
    <row r="119" spans="2:52">
      <c r="B119" s="3" t="s">
        <v>656</v>
      </c>
      <c r="E119" s="2"/>
      <c r="F119" s="120">
        <v>100.46</v>
      </c>
      <c r="G119" s="191">
        <v>1397.2829999999999</v>
      </c>
      <c r="H119" s="120">
        <f>1846.819-622.961</f>
        <v>1223.8579999999999</v>
      </c>
      <c r="I119" s="120">
        <v>3527.9450000000002</v>
      </c>
      <c r="J119" s="120">
        <v>660.77300000000002</v>
      </c>
      <c r="K119" s="120">
        <v>4046</v>
      </c>
      <c r="L119" s="58">
        <f ca="1">SUM(OFFSET($P119,0,L$1,1,4))</f>
        <v>13670.062893792809</v>
      </c>
      <c r="M119" s="58">
        <f ca="1">SUM(OFFSET($P119,0,M$1,1,4))</f>
        <v>6280.9000655411928</v>
      </c>
      <c r="N119" s="58">
        <f ca="1">SUM(OFFSET($P119,0,N$1,1,4))</f>
        <v>0</v>
      </c>
      <c r="AN119" s="58"/>
      <c r="AO119" s="58">
        <f>'IQ_BS + CFS'!AO105</f>
        <v>13670.062893792809</v>
      </c>
      <c r="AP119" s="58">
        <f ca="1">'IQ_BS + CFS'!AP105</f>
        <v>0</v>
      </c>
      <c r="AQ119" s="58">
        <f ca="1">'IQ_BS + CFS'!AQ105</f>
        <v>0</v>
      </c>
      <c r="AR119" s="58">
        <f ca="1">'IQ_BS + CFS'!AR105</f>
        <v>0</v>
      </c>
      <c r="AS119" s="58">
        <f ca="1">'IQ_BS + CFS'!AS105</f>
        <v>0</v>
      </c>
      <c r="AT119" s="58">
        <f ca="1">'IQ_BS + CFS'!AT105</f>
        <v>0</v>
      </c>
      <c r="AU119" s="58">
        <f ca="1">'IQ_BS + CFS'!AU105</f>
        <v>6280.9000655411928</v>
      </c>
      <c r="AV119" s="58">
        <f ca="1">'IQ_BS + CFS'!AV105</f>
        <v>0</v>
      </c>
      <c r="AW119" s="58">
        <f ca="1">'IQ_BS + CFS'!AW105</f>
        <v>0</v>
      </c>
      <c r="AX119" s="58">
        <f ca="1">'IQ_BS + CFS'!AX105</f>
        <v>0</v>
      </c>
      <c r="AY119" s="58">
        <f ca="1">'IQ_BS + CFS'!AY105</f>
        <v>0</v>
      </c>
      <c r="AZ119" s="58">
        <f ca="1">'IQ_BS + CFS'!AZ105</f>
        <v>0</v>
      </c>
    </row>
    <row r="120" spans="2:52">
      <c r="B120" s="3" t="s">
        <v>645</v>
      </c>
      <c r="E120" s="2"/>
      <c r="F120" s="120">
        <v>0</v>
      </c>
      <c r="G120" s="191">
        <v>0</v>
      </c>
      <c r="H120" s="120">
        <v>0</v>
      </c>
      <c r="I120" s="120">
        <v>-6376.9639999999999</v>
      </c>
      <c r="J120" s="120">
        <v>0</v>
      </c>
      <c r="K120" s="120">
        <v>-1723</v>
      </c>
      <c r="L120" s="58"/>
      <c r="M120" s="58"/>
      <c r="N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</row>
    <row r="121" spans="2:52">
      <c r="B121" s="3" t="s">
        <v>651</v>
      </c>
      <c r="E121" s="2"/>
      <c r="F121" s="120">
        <v>0</v>
      </c>
      <c r="G121" s="191">
        <v>0</v>
      </c>
      <c r="H121" s="120">
        <v>-337.964</v>
      </c>
      <c r="I121" s="120">
        <v>0</v>
      </c>
      <c r="J121" s="120">
        <v>0</v>
      </c>
      <c r="K121" s="120">
        <v>0</v>
      </c>
      <c r="L121" s="58"/>
      <c r="M121" s="58"/>
      <c r="N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</row>
    <row r="122" spans="2:52">
      <c r="B122" s="3" t="s">
        <v>646</v>
      </c>
      <c r="E122" s="2"/>
      <c r="F122" s="120">
        <v>56.973999999999997</v>
      </c>
      <c r="G122" s="191">
        <v>156.30699999999999</v>
      </c>
      <c r="H122" s="120">
        <v>192.84800000000001</v>
      </c>
      <c r="I122" s="120">
        <v>225.15600000000001</v>
      </c>
      <c r="J122" s="120">
        <v>176.131</v>
      </c>
      <c r="K122" s="120">
        <v>453</v>
      </c>
      <c r="L122" s="58"/>
      <c r="M122" s="58"/>
      <c r="N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</row>
    <row r="123" spans="2:52">
      <c r="B123" s="3" t="s">
        <v>647</v>
      </c>
      <c r="E123" s="2"/>
      <c r="F123" s="120"/>
      <c r="G123" s="191"/>
      <c r="H123" s="120"/>
      <c r="I123" s="120"/>
      <c r="J123" s="120">
        <v>10425.507</v>
      </c>
      <c r="K123" s="120">
        <v>101189</v>
      </c>
      <c r="L123" s="58"/>
      <c r="M123" s="58"/>
      <c r="N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</row>
    <row r="124" spans="2:52">
      <c r="B124" s="3" t="s">
        <v>648</v>
      </c>
      <c r="E124" s="2"/>
      <c r="F124" s="120"/>
      <c r="G124" s="191"/>
      <c r="H124" s="120"/>
      <c r="I124" s="120"/>
      <c r="J124" s="120"/>
      <c r="K124" s="120">
        <v>-82987</v>
      </c>
      <c r="L124" s="58"/>
      <c r="M124" s="58"/>
      <c r="N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</row>
    <row r="125" spans="2:52">
      <c r="B125" s="3" t="s">
        <v>649</v>
      </c>
      <c r="E125" s="2"/>
      <c r="F125" s="120"/>
      <c r="G125" s="191"/>
      <c r="H125" s="120"/>
      <c r="I125" s="120"/>
      <c r="J125" s="120"/>
      <c r="K125" s="120">
        <v>16008</v>
      </c>
      <c r="L125" s="58"/>
      <c r="M125" s="58"/>
      <c r="N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</row>
    <row r="126" spans="2:52">
      <c r="B126" s="3" t="s">
        <v>650</v>
      </c>
      <c r="E126" s="2"/>
      <c r="F126" s="120"/>
      <c r="G126" s="191"/>
      <c r="H126" s="120"/>
      <c r="I126" s="120"/>
      <c r="J126" s="120">
        <v>-3666.5610000000001</v>
      </c>
      <c r="K126" s="120">
        <v>-2730</v>
      </c>
      <c r="L126" s="58"/>
      <c r="M126" s="58"/>
      <c r="N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</row>
    <row r="127" spans="2:52">
      <c r="B127" s="9" t="s">
        <v>206</v>
      </c>
      <c r="E127" s="2"/>
      <c r="F127" s="82">
        <f>SUM(F108,F119:F126)</f>
        <v>9518.8849999999984</v>
      </c>
      <c r="G127" s="188">
        <f t="shared" ref="G127:K127" si="168">SUM(G108,G119:G126)</f>
        <v>7541.5610000000006</v>
      </c>
      <c r="H127" s="82">
        <f t="shared" si="168"/>
        <v>8611.9599999999991</v>
      </c>
      <c r="I127" s="82">
        <f t="shared" si="168"/>
        <v>7778.0320000000002</v>
      </c>
      <c r="J127" s="82">
        <f t="shared" si="168"/>
        <v>14446.680000000002</v>
      </c>
      <c r="K127" s="82">
        <f t="shared" si="168"/>
        <v>44557</v>
      </c>
      <c r="L127" s="82">
        <f t="shared" ref="L127:N127" ca="1" si="169">SUM(L108,L119:L126)</f>
        <v>15653.426530156441</v>
      </c>
      <c r="M127" s="82">
        <f t="shared" ca="1" si="169"/>
        <v>-193.82720718607197</v>
      </c>
      <c r="N127" s="82">
        <f t="shared" ca="1" si="169"/>
        <v>0</v>
      </c>
      <c r="AN127" s="82"/>
      <c r="AO127" s="82">
        <f t="shared" ref="AO127:AZ127" si="170">SUM(AO108,AO119:AO126)</f>
        <v>23382.15380288372</v>
      </c>
      <c r="AP127" s="82">
        <f t="shared" ca="1" si="170"/>
        <v>0</v>
      </c>
      <c r="AQ127" s="82">
        <f t="shared" ca="1" si="170"/>
        <v>-7228.7272727272793</v>
      </c>
      <c r="AR127" s="82">
        <f t="shared" ca="1" si="170"/>
        <v>-500</v>
      </c>
      <c r="AS127" s="82">
        <f t="shared" ca="1" si="170"/>
        <v>0</v>
      </c>
      <c r="AT127" s="82">
        <f t="shared" ca="1" si="170"/>
        <v>-6474.7272727272648</v>
      </c>
      <c r="AU127" s="82">
        <f t="shared" ca="1" si="170"/>
        <v>6280.9000655411928</v>
      </c>
      <c r="AV127" s="82">
        <f t="shared" ca="1" si="170"/>
        <v>0</v>
      </c>
      <c r="AW127" s="82">
        <f t="shared" ca="1" si="170"/>
        <v>0</v>
      </c>
      <c r="AX127" s="82">
        <f t="shared" ca="1" si="170"/>
        <v>0</v>
      </c>
      <c r="AY127" s="82">
        <f t="shared" ca="1" si="170"/>
        <v>0</v>
      </c>
      <c r="AZ127" s="82">
        <f t="shared" ca="1" si="170"/>
        <v>0</v>
      </c>
    </row>
    <row r="128" spans="2:52">
      <c r="B128" s="52"/>
      <c r="E128" s="2"/>
      <c r="F128" s="2"/>
      <c r="G128" s="189"/>
      <c r="H128" s="2"/>
      <c r="I128" s="2"/>
      <c r="J128" s="2"/>
    </row>
    <row r="129" spans="2:52">
      <c r="B129" s="11" t="s">
        <v>378</v>
      </c>
      <c r="E129" s="2"/>
      <c r="F129" s="120">
        <v>-11.629</v>
      </c>
      <c r="G129" s="191">
        <v>-200.548</v>
      </c>
      <c r="H129" s="120">
        <v>79.566999999999993</v>
      </c>
      <c r="I129" s="120">
        <v>179.18100000000001</v>
      </c>
      <c r="J129" s="120">
        <v>144.31299999999999</v>
      </c>
      <c r="K129" s="120">
        <v>-316</v>
      </c>
    </row>
    <row r="130" spans="2:52">
      <c r="B130" s="68" t="s">
        <v>205</v>
      </c>
      <c r="E130" s="2"/>
      <c r="F130" s="58">
        <f>F84+F105+F127+F129</f>
        <v>7753.1500000000005</v>
      </c>
      <c r="G130" s="206">
        <f t="shared" ref="G130:K130" si="171">G84+G105+G127+G129</f>
        <v>-2188.8350000000009</v>
      </c>
      <c r="H130" s="58">
        <f t="shared" si="171"/>
        <v>4160.9279999999935</v>
      </c>
      <c r="I130" s="58">
        <f t="shared" si="171"/>
        <v>-3892.7929999999938</v>
      </c>
      <c r="J130" s="58">
        <f t="shared" si="171"/>
        <v>938.53099999998437</v>
      </c>
      <c r="K130" s="58">
        <f t="shared" si="171"/>
        <v>186</v>
      </c>
      <c r="L130" s="58">
        <f t="shared" ref="L130:N130" ca="1" si="172">L84+L105+L127</f>
        <v>17805.79861226822</v>
      </c>
      <c r="M130" s="58">
        <f t="shared" ca="1" si="172"/>
        <v>5585.4460061717455</v>
      </c>
      <c r="N130" s="58">
        <f t="shared" ca="1" si="172"/>
        <v>17148.370383234847</v>
      </c>
      <c r="AN130" s="58"/>
      <c r="AO130" s="58">
        <f t="shared" ref="AO130:AZ130" ca="1" si="173">AO84+AO105+AO127</f>
        <v>24772.827222480311</v>
      </c>
      <c r="AP130" s="58">
        <f t="shared" ca="1" si="173"/>
        <v>-4698.6354041567465</v>
      </c>
      <c r="AQ130" s="58">
        <f t="shared" ca="1" si="173"/>
        <v>25143.702417188659</v>
      </c>
      <c r="AR130" s="58">
        <f t="shared" ca="1" si="173"/>
        <v>-27412.095623244008</v>
      </c>
      <c r="AS130" s="58">
        <f t="shared" ca="1" si="173"/>
        <v>43046.880765682741</v>
      </c>
      <c r="AT130" s="58">
        <f t="shared" ca="1" si="173"/>
        <v>-50509.213273549933</v>
      </c>
      <c r="AU130" s="58">
        <f t="shared" ca="1" si="173"/>
        <v>82472.086893513449</v>
      </c>
      <c r="AV130" s="58">
        <f t="shared" ca="1" si="173"/>
        <v>-69424.308379474503</v>
      </c>
      <c r="AW130" s="58">
        <f t="shared" ca="1" si="173"/>
        <v>93437.930145831459</v>
      </c>
      <c r="AX130" s="58">
        <f t="shared" ca="1" si="173"/>
        <v>-91447.494505392417</v>
      </c>
      <c r="AY130" s="58">
        <f t="shared" ca="1" si="173"/>
        <v>127422.61413819909</v>
      </c>
      <c r="AZ130" s="58">
        <f t="shared" ca="1" si="173"/>
        <v>-112264.67939540328</v>
      </c>
    </row>
    <row r="131" spans="2:52">
      <c r="B131" s="68" t="s">
        <v>204</v>
      </c>
      <c r="E131" s="2"/>
      <c r="F131" s="58">
        <f>E132</f>
        <v>4127.482</v>
      </c>
      <c r="G131" s="206">
        <f t="shared" ref="G131:K131" ca="1" si="174">F132</f>
        <v>11880.632</v>
      </c>
      <c r="H131" s="58">
        <f t="shared" ca="1" si="174"/>
        <v>9691.7970000000005</v>
      </c>
      <c r="I131" s="58">
        <f t="shared" ca="1" si="174"/>
        <v>13852.725</v>
      </c>
      <c r="J131" s="58">
        <f t="shared" ca="1" si="174"/>
        <v>9959.9320000000007</v>
      </c>
      <c r="K131" s="58">
        <f t="shared" ca="1" si="174"/>
        <v>10898.463</v>
      </c>
      <c r="L131" s="58">
        <f ca="1">K132</f>
        <v>11084</v>
      </c>
      <c r="M131" s="58">
        <f ca="1">L132</f>
        <v>28889.79861226822</v>
      </c>
      <c r="N131" s="58">
        <f ca="1">M132</f>
        <v>34475.244618439967</v>
      </c>
      <c r="AM131" s="58"/>
      <c r="AN131" s="58"/>
      <c r="AO131" s="58">
        <f t="shared" ref="AO131:AV131" si="175">AN132</f>
        <v>11084</v>
      </c>
      <c r="AP131" s="58">
        <f t="shared" ca="1" si="175"/>
        <v>35856.827222480308</v>
      </c>
      <c r="AQ131" s="58">
        <f t="shared" ca="1" si="175"/>
        <v>31158.191818323561</v>
      </c>
      <c r="AR131" s="58">
        <f t="shared" ca="1" si="175"/>
        <v>56301.89423551222</v>
      </c>
      <c r="AS131" s="58">
        <f t="shared" ca="1" si="175"/>
        <v>28889.798612268212</v>
      </c>
      <c r="AT131" s="58">
        <f t="shared" ca="1" si="175"/>
        <v>71936.679377950961</v>
      </c>
      <c r="AU131" s="58">
        <f t="shared" ca="1" si="175"/>
        <v>21427.466104401028</v>
      </c>
      <c r="AV131" s="58">
        <f t="shared" ca="1" si="175"/>
        <v>103899.55299791448</v>
      </c>
      <c r="AW131" s="58">
        <f t="shared" ref="AW131" ca="1" si="176">AV132</f>
        <v>34475.244618439974</v>
      </c>
      <c r="AX131" s="58">
        <f t="shared" ref="AX131" ca="1" si="177">AW132</f>
        <v>127913.17476427143</v>
      </c>
      <c r="AY131" s="58">
        <f t="shared" ref="AY131" ca="1" si="178">AX132</f>
        <v>36465.680258879016</v>
      </c>
      <c r="AZ131" s="58">
        <f t="shared" ref="AZ131" ca="1" si="179">AY132</f>
        <v>163888.29439707811</v>
      </c>
    </row>
    <row r="132" spans="2:52">
      <c r="B132" s="68" t="s">
        <v>203</v>
      </c>
      <c r="E132" s="58">
        <v>4127.482</v>
      </c>
      <c r="F132" s="58">
        <f t="shared" ref="F132:K134" ca="1" si="180">F7</f>
        <v>11880.632</v>
      </c>
      <c r="G132" s="206">
        <f t="shared" ca="1" si="180"/>
        <v>9691.7970000000005</v>
      </c>
      <c r="H132" s="58">
        <f t="shared" ca="1" si="180"/>
        <v>13852.725</v>
      </c>
      <c r="I132" s="58">
        <f t="shared" ca="1" si="180"/>
        <v>9959.9320000000007</v>
      </c>
      <c r="J132" s="58">
        <f t="shared" ca="1" si="180"/>
        <v>10898.463</v>
      </c>
      <c r="K132" s="58">
        <f t="shared" ca="1" si="180"/>
        <v>11084</v>
      </c>
      <c r="L132" s="58">
        <f ca="1">SUM(L130:L131)</f>
        <v>28889.79861226822</v>
      </c>
      <c r="M132" s="58">
        <f ca="1">SUM(M130:M131)</f>
        <v>34475.244618439967</v>
      </c>
      <c r="N132" s="58">
        <f ca="1">SUM(N130:N131)</f>
        <v>51623.615001674814</v>
      </c>
      <c r="Q132" s="58"/>
      <c r="R132" s="58"/>
      <c r="S132" s="58"/>
      <c r="T132" s="58">
        <f t="shared" ref="T132:AN132" si="181">T7</f>
        <v>11880.632</v>
      </c>
      <c r="U132" s="58">
        <f t="shared" si="181"/>
        <v>8727.2620000000006</v>
      </c>
      <c r="V132" s="58">
        <f t="shared" si="181"/>
        <v>9028.9989999999998</v>
      </c>
      <c r="W132" s="58">
        <f t="shared" si="181"/>
        <v>17811.025000000001</v>
      </c>
      <c r="X132" s="58">
        <f t="shared" si="181"/>
        <v>9691.7970000000005</v>
      </c>
      <c r="Y132" s="58">
        <f t="shared" si="181"/>
        <v>8793.3529999999992</v>
      </c>
      <c r="Z132" s="58">
        <f t="shared" si="181"/>
        <v>12367.575000000001</v>
      </c>
      <c r="AA132" s="58">
        <f t="shared" si="181"/>
        <v>9957.5589999999993</v>
      </c>
      <c r="AB132" s="58">
        <f t="shared" si="181"/>
        <v>13852.725</v>
      </c>
      <c r="AC132" s="58">
        <f t="shared" si="181"/>
        <v>13218.041999999999</v>
      </c>
      <c r="AD132" s="58">
        <f t="shared" si="181"/>
        <v>21296.827000000001</v>
      </c>
      <c r="AE132" s="58">
        <f t="shared" si="181"/>
        <v>14575.19</v>
      </c>
      <c r="AF132" s="58">
        <f t="shared" si="181"/>
        <v>9959.9320000000007</v>
      </c>
      <c r="AG132" s="58">
        <f t="shared" si="181"/>
        <v>12593.244000000001</v>
      </c>
      <c r="AH132" s="58">
        <f t="shared" si="181"/>
        <v>15769.276</v>
      </c>
      <c r="AI132" s="58">
        <f t="shared" si="181"/>
        <v>11478.89</v>
      </c>
      <c r="AJ132" s="58">
        <f t="shared" si="181"/>
        <v>10898.463</v>
      </c>
      <c r="AK132" s="58">
        <f t="shared" si="181"/>
        <v>14565.758</v>
      </c>
      <c r="AL132" s="58">
        <f t="shared" si="181"/>
        <v>15484</v>
      </c>
      <c r="AM132" s="58">
        <f t="shared" si="181"/>
        <v>15357</v>
      </c>
      <c r="AN132" s="58">
        <f t="shared" si="181"/>
        <v>11084</v>
      </c>
      <c r="AO132" s="58">
        <f t="shared" ref="AO132:AV132" ca="1" si="182">SUM(AO130:AO131)</f>
        <v>35856.827222480308</v>
      </c>
      <c r="AP132" s="58">
        <f t="shared" ca="1" si="182"/>
        <v>31158.191818323561</v>
      </c>
      <c r="AQ132" s="58">
        <f t="shared" ca="1" si="182"/>
        <v>56301.89423551222</v>
      </c>
      <c r="AR132" s="58">
        <f t="shared" ca="1" si="182"/>
        <v>28889.798612268212</v>
      </c>
      <c r="AS132" s="58">
        <f t="shared" ca="1" si="182"/>
        <v>71936.679377950961</v>
      </c>
      <c r="AT132" s="58">
        <f t="shared" ca="1" si="182"/>
        <v>21427.466104401028</v>
      </c>
      <c r="AU132" s="58">
        <f t="shared" ca="1" si="182"/>
        <v>103899.55299791448</v>
      </c>
      <c r="AV132" s="58">
        <f t="shared" ca="1" si="182"/>
        <v>34475.244618439974</v>
      </c>
      <c r="AW132" s="58">
        <f t="shared" ref="AW132:AZ132" ca="1" si="183">SUM(AW130:AW131)</f>
        <v>127913.17476427143</v>
      </c>
      <c r="AX132" s="58">
        <f t="shared" ca="1" si="183"/>
        <v>36465.680258879016</v>
      </c>
      <c r="AY132" s="58">
        <f t="shared" ca="1" si="183"/>
        <v>163888.29439707811</v>
      </c>
      <c r="AZ132" s="58">
        <f t="shared" ca="1" si="183"/>
        <v>51623.615001674829</v>
      </c>
    </row>
    <row r="133" spans="2:52">
      <c r="B133" s="11" t="str">
        <f>B8</f>
        <v>Restricted cash</v>
      </c>
      <c r="E133" s="58">
        <f>E8</f>
        <v>483.387</v>
      </c>
      <c r="F133" s="58">
        <f t="shared" ca="1" si="180"/>
        <v>395.029</v>
      </c>
      <c r="G133" s="206">
        <f t="shared" ca="1" si="180"/>
        <v>259.53300000000002</v>
      </c>
      <c r="H133" s="58">
        <f t="shared" ca="1" si="180"/>
        <v>413.01</v>
      </c>
      <c r="I133" s="58">
        <f t="shared" ca="1" si="180"/>
        <v>95.997</v>
      </c>
      <c r="J133" s="58">
        <f t="shared" ca="1" si="180"/>
        <v>317.52100000000002</v>
      </c>
      <c r="K133" s="58">
        <f t="shared" ca="1" si="180"/>
        <v>252</v>
      </c>
      <c r="L133" s="58">
        <f t="shared" ref="L133:N134" ca="1" si="184">L8</f>
        <v>252</v>
      </c>
      <c r="M133" s="58">
        <f t="shared" ca="1" si="184"/>
        <v>252</v>
      </c>
      <c r="N133" s="58">
        <f t="shared" ca="1" si="184"/>
        <v>252</v>
      </c>
      <c r="Q133" s="58"/>
      <c r="R133" s="58"/>
      <c r="S133" s="58"/>
      <c r="T133" s="58">
        <f t="shared" ref="T133:AN133" si="185">T8</f>
        <v>395.029</v>
      </c>
      <c r="U133" s="58">
        <f t="shared" si="185"/>
        <v>250.232</v>
      </c>
      <c r="V133" s="58">
        <f t="shared" si="185"/>
        <v>330.75400000000002</v>
      </c>
      <c r="W133" s="58">
        <f t="shared" si="185"/>
        <v>466.87400000000002</v>
      </c>
      <c r="X133" s="58">
        <f t="shared" si="185"/>
        <v>259.53300000000002</v>
      </c>
      <c r="Y133" s="58">
        <f t="shared" si="185"/>
        <v>263.75700000000001</v>
      </c>
      <c r="Z133" s="58">
        <f t="shared" si="185"/>
        <v>357.68299999999999</v>
      </c>
      <c r="AA133" s="58">
        <f t="shared" si="185"/>
        <v>447.726</v>
      </c>
      <c r="AB133" s="58">
        <f t="shared" si="185"/>
        <v>413.01</v>
      </c>
      <c r="AC133" s="58">
        <f t="shared" si="185"/>
        <v>530.97500000000002</v>
      </c>
      <c r="AD133" s="58">
        <f t="shared" si="185"/>
        <v>646.4</v>
      </c>
      <c r="AE133" s="58">
        <f t="shared" si="185"/>
        <v>1968.4490000000001</v>
      </c>
      <c r="AF133" s="58">
        <f t="shared" si="185"/>
        <v>95.997</v>
      </c>
      <c r="AG133" s="58">
        <f t="shared" si="185"/>
        <v>229.887</v>
      </c>
      <c r="AH133" s="58">
        <f t="shared" si="185"/>
        <v>78.245000000000005</v>
      </c>
      <c r="AI133" s="58">
        <f t="shared" si="185"/>
        <v>155.68799999999999</v>
      </c>
      <c r="AJ133" s="58">
        <f t="shared" si="185"/>
        <v>317.52100000000002</v>
      </c>
      <c r="AK133" s="58">
        <f t="shared" si="185"/>
        <v>114.605</v>
      </c>
      <c r="AL133" s="58">
        <f t="shared" si="185"/>
        <v>123</v>
      </c>
      <c r="AM133" s="58">
        <f t="shared" si="185"/>
        <v>447</v>
      </c>
      <c r="AN133" s="58">
        <f t="shared" si="185"/>
        <v>252</v>
      </c>
      <c r="AO133" s="58">
        <f t="shared" ref="AO133:AZ133" si="186">AO8</f>
        <v>252</v>
      </c>
      <c r="AP133" s="58">
        <f t="shared" si="186"/>
        <v>252</v>
      </c>
      <c r="AQ133" s="58">
        <f t="shared" si="186"/>
        <v>252</v>
      </c>
      <c r="AR133" s="58">
        <f t="shared" si="186"/>
        <v>252</v>
      </c>
      <c r="AS133" s="58">
        <f t="shared" si="186"/>
        <v>252</v>
      </c>
      <c r="AT133" s="58">
        <f t="shared" si="186"/>
        <v>252</v>
      </c>
      <c r="AU133" s="58">
        <f t="shared" si="186"/>
        <v>252</v>
      </c>
      <c r="AV133" s="58">
        <f t="shared" si="186"/>
        <v>252</v>
      </c>
      <c r="AW133" s="58">
        <f t="shared" si="186"/>
        <v>252</v>
      </c>
      <c r="AX133" s="58">
        <f t="shared" si="186"/>
        <v>252</v>
      </c>
      <c r="AY133" s="58">
        <f t="shared" si="186"/>
        <v>252</v>
      </c>
      <c r="AZ133" s="58">
        <f t="shared" si="186"/>
        <v>252</v>
      </c>
    </row>
    <row r="134" spans="2:52">
      <c r="B134" s="11" t="str">
        <f>B9</f>
        <v>Short-term investment</v>
      </c>
      <c r="E134" s="58">
        <f>E9</f>
        <v>10051.578</v>
      </c>
      <c r="F134" s="58">
        <f t="shared" ca="1" si="180"/>
        <v>20604.223000000002</v>
      </c>
      <c r="G134" s="206">
        <f t="shared" ca="1" si="180"/>
        <v>28734.760999999999</v>
      </c>
      <c r="H134" s="58">
        <f t="shared" ca="1" si="180"/>
        <v>42698.830999999998</v>
      </c>
      <c r="I134" s="58">
        <f t="shared" ca="1" si="180"/>
        <v>57969.241999999998</v>
      </c>
      <c r="J134" s="58">
        <f t="shared" ca="1" si="180"/>
        <v>71195.629000000001</v>
      </c>
      <c r="K134" s="58">
        <f t="shared" ca="1" si="180"/>
        <v>89381</v>
      </c>
      <c r="L134" s="58">
        <f t="shared" ca="1" si="184"/>
        <v>89381</v>
      </c>
      <c r="M134" s="58">
        <f t="shared" ca="1" si="184"/>
        <v>89381</v>
      </c>
      <c r="N134" s="58">
        <f t="shared" ca="1" si="184"/>
        <v>89381</v>
      </c>
      <c r="Q134" s="58"/>
      <c r="R134" s="58"/>
      <c r="S134" s="58"/>
      <c r="T134" s="58">
        <f t="shared" ref="T134:AN134" si="187">T9</f>
        <v>20604.223000000002</v>
      </c>
      <c r="U134" s="58">
        <f t="shared" si="187"/>
        <v>25089.510999999999</v>
      </c>
      <c r="V134" s="58">
        <f t="shared" si="187"/>
        <v>25040.393</v>
      </c>
      <c r="W134" s="58">
        <f t="shared" si="187"/>
        <v>25489.360000000001</v>
      </c>
      <c r="X134" s="58">
        <f t="shared" si="187"/>
        <v>28734.760999999999</v>
      </c>
      <c r="Y134" s="58">
        <f t="shared" si="187"/>
        <v>30885.437999999998</v>
      </c>
      <c r="Z134" s="58">
        <f t="shared" si="187"/>
        <v>36290.964</v>
      </c>
      <c r="AA134" s="58">
        <f t="shared" si="187"/>
        <v>41390.303999999996</v>
      </c>
      <c r="AB134" s="58">
        <f t="shared" si="187"/>
        <v>42698.830999999998</v>
      </c>
      <c r="AC134" s="58">
        <f t="shared" si="187"/>
        <v>44820.228999999999</v>
      </c>
      <c r="AD134" s="58">
        <f t="shared" si="187"/>
        <v>53661.976999999999</v>
      </c>
      <c r="AE134" s="58">
        <f t="shared" si="187"/>
        <v>55568.671999999999</v>
      </c>
      <c r="AF134" s="58">
        <f t="shared" si="187"/>
        <v>57969.241999999998</v>
      </c>
      <c r="AG134" s="58">
        <f t="shared" si="187"/>
        <v>58752.894999999997</v>
      </c>
      <c r="AH134" s="58">
        <f t="shared" si="187"/>
        <v>60042.767</v>
      </c>
      <c r="AI134" s="58">
        <f t="shared" si="187"/>
        <v>66882.649999999994</v>
      </c>
      <c r="AJ134" s="58">
        <f t="shared" si="187"/>
        <v>71195.629000000001</v>
      </c>
      <c r="AK134" s="58">
        <f t="shared" si="187"/>
        <v>76112.428</v>
      </c>
      <c r="AL134" s="58">
        <f t="shared" si="187"/>
        <v>76668</v>
      </c>
      <c r="AM134" s="58">
        <f t="shared" si="187"/>
        <v>92730</v>
      </c>
      <c r="AN134" s="58">
        <f t="shared" si="187"/>
        <v>89381</v>
      </c>
      <c r="AO134" s="58">
        <f t="shared" ref="AO134:AZ134" si="188">AO9</f>
        <v>89381</v>
      </c>
      <c r="AP134" s="58">
        <f t="shared" si="188"/>
        <v>89381</v>
      </c>
      <c r="AQ134" s="58">
        <f t="shared" si="188"/>
        <v>89381</v>
      </c>
      <c r="AR134" s="58">
        <f t="shared" si="188"/>
        <v>89381</v>
      </c>
      <c r="AS134" s="58">
        <f t="shared" si="188"/>
        <v>89381</v>
      </c>
      <c r="AT134" s="58">
        <f t="shared" si="188"/>
        <v>89381</v>
      </c>
      <c r="AU134" s="58">
        <f t="shared" si="188"/>
        <v>89381</v>
      </c>
      <c r="AV134" s="58">
        <f t="shared" si="188"/>
        <v>89381</v>
      </c>
      <c r="AW134" s="58">
        <f t="shared" si="188"/>
        <v>89381</v>
      </c>
      <c r="AX134" s="58">
        <f t="shared" si="188"/>
        <v>89381</v>
      </c>
      <c r="AY134" s="58">
        <f t="shared" si="188"/>
        <v>89381</v>
      </c>
      <c r="AZ134" s="58">
        <f t="shared" si="188"/>
        <v>89381</v>
      </c>
    </row>
    <row r="135" spans="2:52">
      <c r="B135" s="11" t="s">
        <v>202</v>
      </c>
      <c r="E135" s="58">
        <f t="shared" ref="E135:M135" si="189">SUM(E132:E134)</f>
        <v>14662.447</v>
      </c>
      <c r="F135" s="58">
        <f t="shared" ca="1" si="189"/>
        <v>32879.884000000005</v>
      </c>
      <c r="G135" s="206">
        <f t="shared" ca="1" si="189"/>
        <v>38686.091</v>
      </c>
      <c r="H135" s="58">
        <f t="shared" ca="1" si="189"/>
        <v>56964.565999999999</v>
      </c>
      <c r="I135" s="58">
        <f t="shared" ca="1" si="189"/>
        <v>68025.171000000002</v>
      </c>
      <c r="J135" s="58">
        <f t="shared" ca="1" si="189"/>
        <v>82411.612999999998</v>
      </c>
      <c r="K135" s="58">
        <f t="shared" ca="1" si="189"/>
        <v>100717</v>
      </c>
      <c r="L135" s="58">
        <f t="shared" ca="1" si="189"/>
        <v>118522.79861226822</v>
      </c>
      <c r="M135" s="58">
        <f t="shared" ca="1" si="189"/>
        <v>124108.24461843996</v>
      </c>
      <c r="N135" s="58">
        <f t="shared" ref="N135" ca="1" si="190">SUM(N132:N134)</f>
        <v>141256.6150016748</v>
      </c>
      <c r="Q135" s="58"/>
      <c r="R135" s="58"/>
      <c r="S135" s="58"/>
      <c r="T135" s="58">
        <f t="shared" ref="T135:AV135" si="191">SUM(T132:T134)</f>
        <v>32879.884000000005</v>
      </c>
      <c r="U135" s="58">
        <f t="shared" si="191"/>
        <v>34067.004999999997</v>
      </c>
      <c r="V135" s="58">
        <f t="shared" si="191"/>
        <v>34400.146000000001</v>
      </c>
      <c r="W135" s="58">
        <f t="shared" si="191"/>
        <v>43767.259000000005</v>
      </c>
      <c r="X135" s="58">
        <f t="shared" si="191"/>
        <v>38686.091</v>
      </c>
      <c r="Y135" s="58">
        <f t="shared" si="191"/>
        <v>39942.547999999995</v>
      </c>
      <c r="Z135" s="58">
        <f t="shared" si="191"/>
        <v>49016.222000000002</v>
      </c>
      <c r="AA135" s="58">
        <f t="shared" si="191"/>
        <v>51795.588999999993</v>
      </c>
      <c r="AB135" s="58">
        <f t="shared" si="191"/>
        <v>56964.565999999999</v>
      </c>
      <c r="AC135" s="58">
        <f t="shared" si="191"/>
        <v>58569.245999999999</v>
      </c>
      <c r="AD135" s="58">
        <f t="shared" si="191"/>
        <v>75605.203999999998</v>
      </c>
      <c r="AE135" s="58">
        <f t="shared" si="191"/>
        <v>72112.311000000002</v>
      </c>
      <c r="AF135" s="58">
        <f t="shared" si="191"/>
        <v>68025.171000000002</v>
      </c>
      <c r="AG135" s="58">
        <f t="shared" si="191"/>
        <v>71576.025999999998</v>
      </c>
      <c r="AH135" s="58">
        <f t="shared" si="191"/>
        <v>75890.288</v>
      </c>
      <c r="AI135" s="58">
        <f t="shared" si="191"/>
        <v>78517.227999999988</v>
      </c>
      <c r="AJ135" s="58">
        <f t="shared" si="191"/>
        <v>82411.612999999998</v>
      </c>
      <c r="AK135" s="58">
        <f t="shared" si="191"/>
        <v>90792.790999999997</v>
      </c>
      <c r="AL135" s="58">
        <f t="shared" si="191"/>
        <v>92275</v>
      </c>
      <c r="AM135" s="58">
        <f t="shared" si="191"/>
        <v>108534</v>
      </c>
      <c r="AN135" s="58">
        <f t="shared" ref="AN135" si="192">SUM(AN132:AN134)</f>
        <v>100717</v>
      </c>
      <c r="AO135" s="58">
        <f t="shared" ca="1" si="191"/>
        <v>125489.82722248031</v>
      </c>
      <c r="AP135" s="58">
        <f t="shared" ca="1" si="191"/>
        <v>120791.19181832357</v>
      </c>
      <c r="AQ135" s="58">
        <f t="shared" ca="1" si="191"/>
        <v>145934.89423551221</v>
      </c>
      <c r="AR135" s="58">
        <f t="shared" ca="1" si="191"/>
        <v>118522.79861226821</v>
      </c>
      <c r="AS135" s="58">
        <f t="shared" ca="1" si="191"/>
        <v>161569.67937795096</v>
      </c>
      <c r="AT135" s="58">
        <f t="shared" ca="1" si="191"/>
        <v>111060.46610440103</v>
      </c>
      <c r="AU135" s="58">
        <f t="shared" ca="1" si="191"/>
        <v>193532.55299791449</v>
      </c>
      <c r="AV135" s="58">
        <f t="shared" ca="1" si="191"/>
        <v>124108.24461843997</v>
      </c>
      <c r="AW135" s="58">
        <f t="shared" ref="AW135:AZ135" ca="1" si="193">SUM(AW132:AW134)</f>
        <v>217546.17476427142</v>
      </c>
      <c r="AX135" s="58">
        <f t="shared" ca="1" si="193"/>
        <v>126098.68025887902</v>
      </c>
      <c r="AY135" s="58">
        <f t="shared" ca="1" si="193"/>
        <v>253521.29439707811</v>
      </c>
      <c r="AZ135" s="58">
        <f t="shared" ca="1" si="193"/>
        <v>141256.61500167483</v>
      </c>
    </row>
    <row r="136" spans="2:52">
      <c r="B136" s="3" t="s">
        <v>125</v>
      </c>
      <c r="E136" s="58"/>
      <c r="F136" s="58">
        <f>BIDU_IS!F126</f>
        <v>866.46500000000003</v>
      </c>
      <c r="G136" s="206">
        <f>BIDU_IS!G126</f>
        <v>1308.5419999999999</v>
      </c>
      <c r="H136" s="58">
        <f>BIDU_IS!H126</f>
        <v>1992.818</v>
      </c>
      <c r="I136" s="58">
        <f>BIDU_IS!I126</f>
        <v>2362.6320000000001</v>
      </c>
      <c r="J136" s="58">
        <f>BIDU_IS!J126</f>
        <v>2341.6309999999999</v>
      </c>
      <c r="K136" s="58">
        <f>BIDU_IS!K126</f>
        <v>3154</v>
      </c>
      <c r="L136" s="58">
        <f ca="1">BIDU_IS!L126</f>
        <v>4398.3870102231949</v>
      </c>
      <c r="M136" s="58">
        <f ca="1">BIDU_IS!M126</f>
        <v>5149.0079170726458</v>
      </c>
      <c r="N136" s="58">
        <f ca="1">BIDU_IS!N126</f>
        <v>6396.8262723157568</v>
      </c>
      <c r="U136" s="58">
        <f>BIDU_IS!U126</f>
        <v>273.98700000000002</v>
      </c>
      <c r="V136" s="58">
        <f>BIDU_IS!V126</f>
        <v>317.81099999999998</v>
      </c>
      <c r="W136" s="58">
        <f>BIDU_IS!W126</f>
        <v>348.822</v>
      </c>
      <c r="X136" s="58">
        <f>BIDU_IS!X126</f>
        <v>367.92200000000003</v>
      </c>
      <c r="Y136" s="58">
        <f>BIDU_IS!Y126</f>
        <v>419.495</v>
      </c>
      <c r="Z136" s="58">
        <f>BIDU_IS!Z126</f>
        <v>463.80200000000002</v>
      </c>
      <c r="AA136" s="58">
        <f>BIDU_IS!AA126</f>
        <v>536.36699999999996</v>
      </c>
      <c r="AB136" s="58">
        <f>BIDU_IS!AB126</f>
        <v>573.154</v>
      </c>
      <c r="AC136" s="58">
        <f>BIDU_IS!AC126</f>
        <v>561.21299999999997</v>
      </c>
      <c r="AD136" s="58">
        <f>BIDU_IS!AD126</f>
        <v>612.52300000000002</v>
      </c>
      <c r="AE136" s="58">
        <f>BIDU_IS!AE126</f>
        <v>616.17100000000005</v>
      </c>
      <c r="AF136" s="58">
        <f>BIDU_IS!AF126</f>
        <v>572.72500000000002</v>
      </c>
      <c r="AG136" s="58">
        <f>BIDU_IS!AG126</f>
        <v>596.12</v>
      </c>
      <c r="AH136" s="58">
        <f>BIDU_IS!AH126</f>
        <v>486.85700000000003</v>
      </c>
      <c r="AI136" s="58">
        <f>BIDU_IS!AI126</f>
        <v>627.30799999999999</v>
      </c>
      <c r="AJ136" s="58">
        <f>BIDU_IS!AJ126</f>
        <v>631.346</v>
      </c>
      <c r="AK136" s="58">
        <f>BIDU_IS!AK126</f>
        <v>648.77300000000002</v>
      </c>
      <c r="AL136" s="58">
        <f>BIDU_IS!AL126</f>
        <v>712</v>
      </c>
      <c r="AM136" s="58">
        <f>BIDU_IS!AM126</f>
        <v>876</v>
      </c>
      <c r="AN136" s="58">
        <f>BIDU_IS!AN126</f>
        <v>917</v>
      </c>
      <c r="AO136" s="58">
        <f t="shared" ref="AO136:AV136" ca="1" si="194">AVERAGE(AN135:AO135)*AO137</f>
        <v>991.30546837536951</v>
      </c>
      <c r="AP136" s="58">
        <f t="shared" ca="1" si="194"/>
        <v>1079.2765361236848</v>
      </c>
      <c r="AQ136" s="58">
        <f t="shared" ca="1" si="194"/>
        <v>1168.8728890727759</v>
      </c>
      <c r="AR136" s="58">
        <f t="shared" ca="1" si="194"/>
        <v>1158.9321166513644</v>
      </c>
      <c r="AS136" s="58">
        <f t="shared" ca="1" si="194"/>
        <v>1227.4483864690296</v>
      </c>
      <c r="AT136" s="58">
        <f t="shared" ca="1" si="194"/>
        <v>1194.7462301605094</v>
      </c>
      <c r="AU136" s="58">
        <f t="shared" ca="1" si="194"/>
        <v>1334.8170308233812</v>
      </c>
      <c r="AV136" s="58">
        <f t="shared" ca="1" si="194"/>
        <v>1391.9962696197249</v>
      </c>
      <c r="AW136" s="58">
        <f t="shared" ref="AW136" ca="1" si="195">AVERAGE(AV135:AW135)*AW137</f>
        <v>1497.2310888547549</v>
      </c>
      <c r="AX136" s="58">
        <f t="shared" ref="AX136" ca="1" si="196">AVERAGE(AW135:AX135)*AX137</f>
        <v>1505.9537687094873</v>
      </c>
      <c r="AY136" s="58">
        <f t="shared" ref="AY136" ca="1" si="197">AVERAGE(AX135:AY135)*AY137</f>
        <v>1663.6074224711599</v>
      </c>
      <c r="AZ136" s="58">
        <f t="shared" ref="AZ136" ca="1" si="198">AVERAGE(AY135:AZ135)*AZ137</f>
        <v>1730.0339922803544</v>
      </c>
    </row>
    <row r="137" spans="2:52">
      <c r="B137" s="3" t="s">
        <v>201</v>
      </c>
      <c r="F137" s="4">
        <f t="shared" ref="F137:N137" ca="1" si="199">F136/AVERAGE(E135:F135)</f>
        <v>3.645025314387719E-2</v>
      </c>
      <c r="G137" s="4">
        <f t="shared" ca="1" si="199"/>
        <v>3.6568830369459786E-2</v>
      </c>
      <c r="H137" s="4">
        <f t="shared" ca="1" si="199"/>
        <v>4.1668673535614077E-2</v>
      </c>
      <c r="I137" s="4">
        <f t="shared" ca="1" si="199"/>
        <v>3.780521595945114E-2</v>
      </c>
      <c r="J137" s="4">
        <f t="shared" ca="1" si="199"/>
        <v>3.1131096235080379E-2</v>
      </c>
      <c r="K137" s="4">
        <f t="shared" ca="1" si="199"/>
        <v>3.444573677844652E-2</v>
      </c>
      <c r="L137" s="4">
        <f t="shared" ca="1" si="199"/>
        <v>4.0123983310182347E-2</v>
      </c>
      <c r="M137" s="4">
        <f t="shared" ca="1" si="199"/>
        <v>4.2443109080453977E-2</v>
      </c>
      <c r="N137" s="4">
        <f t="shared" ca="1" si="199"/>
        <v>4.8211555075326741E-2</v>
      </c>
      <c r="U137" s="4">
        <f t="shared" ref="U137:AN137" si="200">U136/AVERAGE(T135:U135)</f>
        <v>8.1852048420054304E-3</v>
      </c>
      <c r="V137" s="4">
        <f t="shared" si="200"/>
        <v>9.2836052138345875E-3</v>
      </c>
      <c r="W137" s="4">
        <f t="shared" si="200"/>
        <v>8.9249988534223449E-3</v>
      </c>
      <c r="X137" s="4">
        <f t="shared" si="200"/>
        <v>8.924367536309926E-3</v>
      </c>
      <c r="Y137" s="4">
        <f t="shared" si="200"/>
        <v>1.0670285161619039E-2</v>
      </c>
      <c r="Z137" s="4">
        <f t="shared" si="200"/>
        <v>1.0427347410491401E-2</v>
      </c>
      <c r="AA137" s="4">
        <f t="shared" si="200"/>
        <v>1.0640955552321146E-2</v>
      </c>
      <c r="AB137" s="4">
        <f t="shared" si="200"/>
        <v>1.0539779021094629E-2</v>
      </c>
      <c r="AC137" s="4">
        <f t="shared" si="200"/>
        <v>9.7151299742451146E-3</v>
      </c>
      <c r="AD137" s="4">
        <f t="shared" si="200"/>
        <v>9.1302479719499504E-3</v>
      </c>
      <c r="AE137" s="4">
        <f t="shared" si="200"/>
        <v>8.342558429851734E-3</v>
      </c>
      <c r="AF137" s="4">
        <f t="shared" si="200"/>
        <v>8.173758966212908E-3</v>
      </c>
      <c r="AG137" s="4">
        <f t="shared" si="200"/>
        <v>8.5403279171023163E-3</v>
      </c>
      <c r="AH137" s="4">
        <f t="shared" si="200"/>
        <v>6.6029588289566931E-3</v>
      </c>
      <c r="AI137" s="4">
        <f t="shared" si="200"/>
        <v>8.1253557631223074E-3</v>
      </c>
      <c r="AJ137" s="4">
        <f t="shared" si="200"/>
        <v>7.8462753609217888E-3</v>
      </c>
      <c r="AK137" s="4">
        <f t="shared" si="200"/>
        <v>7.4914145947466799E-3</v>
      </c>
      <c r="AL137" s="4">
        <f t="shared" si="200"/>
        <v>7.7785392625401815E-3</v>
      </c>
      <c r="AM137" s="4">
        <f t="shared" si="200"/>
        <v>8.7247085538994761E-3</v>
      </c>
      <c r="AN137" s="4">
        <f t="shared" si="200"/>
        <v>8.7645937175927467E-3</v>
      </c>
      <c r="AO137" s="66">
        <f t="shared" ref="AO137:AV137" si="201">AN137</f>
        <v>8.7645937175927467E-3</v>
      </c>
      <c r="AP137" s="66">
        <f t="shared" si="201"/>
        <v>8.7645937175927467E-3</v>
      </c>
      <c r="AQ137" s="66">
        <f t="shared" si="201"/>
        <v>8.7645937175927467E-3</v>
      </c>
      <c r="AR137" s="66">
        <f t="shared" si="201"/>
        <v>8.7645937175927467E-3</v>
      </c>
      <c r="AS137" s="66">
        <f t="shared" si="201"/>
        <v>8.7645937175927467E-3</v>
      </c>
      <c r="AT137" s="66">
        <f t="shared" si="201"/>
        <v>8.7645937175927467E-3</v>
      </c>
      <c r="AU137" s="66">
        <f t="shared" si="201"/>
        <v>8.7645937175927467E-3</v>
      </c>
      <c r="AV137" s="66">
        <f t="shared" si="201"/>
        <v>8.7645937175927467E-3</v>
      </c>
      <c r="AW137" s="66">
        <f t="shared" ref="AW137" si="202">AV137</f>
        <v>8.7645937175927467E-3</v>
      </c>
      <c r="AX137" s="66">
        <f t="shared" ref="AX137" si="203">AW137</f>
        <v>8.7645937175927467E-3</v>
      </c>
      <c r="AY137" s="66">
        <f t="shared" ref="AY137" si="204">AX137</f>
        <v>8.7645937175927467E-3</v>
      </c>
      <c r="AZ137" s="66">
        <f t="shared" ref="AZ137" si="205">AY137</f>
        <v>8.7645937175927467E-3</v>
      </c>
    </row>
    <row r="138" spans="2:52">
      <c r="B138" s="3"/>
      <c r="G138" s="10"/>
      <c r="H138" s="10"/>
      <c r="I138" s="10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</row>
    <row r="139" spans="2:52">
      <c r="B139" s="122" t="s">
        <v>200</v>
      </c>
      <c r="C139" s="5"/>
      <c r="D139" s="5"/>
      <c r="E139" s="5"/>
      <c r="F139" s="5"/>
      <c r="G139" s="13"/>
      <c r="H139" s="13"/>
      <c r="I139" s="13"/>
      <c r="J139" s="13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</row>
    <row r="140" spans="2:52">
      <c r="B140" s="19" t="s">
        <v>199</v>
      </c>
      <c r="C140" s="8" t="s">
        <v>198</v>
      </c>
      <c r="G140" s="10"/>
      <c r="H140" s="10"/>
      <c r="I140" s="10"/>
      <c r="J140" s="10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</row>
    <row r="141" spans="2:52">
      <c r="B141" s="113" t="s">
        <v>194</v>
      </c>
      <c r="C141" s="8"/>
      <c r="G141" s="10"/>
      <c r="H141" s="10"/>
      <c r="I141" s="10"/>
      <c r="J141" s="10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</row>
    <row r="142" spans="2:52">
      <c r="B142" s="114" t="s">
        <v>193</v>
      </c>
      <c r="C142" s="8"/>
      <c r="G142" s="10"/>
      <c r="H142" s="10"/>
      <c r="I142" s="10"/>
      <c r="J142" s="10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</row>
    <row r="143" spans="2:52">
      <c r="B143" s="52" t="s">
        <v>192</v>
      </c>
      <c r="C143" s="119">
        <v>5.5E-2</v>
      </c>
      <c r="G143" s="38"/>
      <c r="H143" s="38"/>
      <c r="I143" s="38"/>
      <c r="J143" s="109"/>
      <c r="K143" s="109">
        <f t="shared" ref="K143:M144" ca="1" si="206">OFFSET($P143,0,K$2,1,1)</f>
        <v>754</v>
      </c>
      <c r="L143" s="109">
        <f t="shared" ca="1" si="206"/>
        <v>0</v>
      </c>
      <c r="M143" s="109">
        <f t="shared" ca="1" si="206"/>
        <v>0</v>
      </c>
      <c r="N143" s="109">
        <f ca="1">OFFSET($P143,0,N$2,1,1)</f>
        <v>0</v>
      </c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>
        <f>AN31+AN33-AN144</f>
        <v>754</v>
      </c>
      <c r="AO143" s="109">
        <f>+AN143</f>
        <v>754</v>
      </c>
      <c r="AP143" s="109">
        <f>+AO143</f>
        <v>754</v>
      </c>
      <c r="AQ143" s="109">
        <v>0</v>
      </c>
      <c r="AR143" s="109">
        <f ca="1">+L143</f>
        <v>0</v>
      </c>
      <c r="AS143" s="109">
        <f ca="1">+AR143</f>
        <v>0</v>
      </c>
      <c r="AT143" s="109">
        <f ca="1">+AS143</f>
        <v>0</v>
      </c>
      <c r="AU143" s="109">
        <f ca="1">+AT143</f>
        <v>0</v>
      </c>
      <c r="AV143" s="109">
        <f ca="1">+M143</f>
        <v>0</v>
      </c>
      <c r="AW143" s="109">
        <f t="shared" ref="AW143:AZ143" si="207">+O143</f>
        <v>0</v>
      </c>
      <c r="AX143" s="109">
        <f t="shared" si="207"/>
        <v>0</v>
      </c>
      <c r="AY143" s="109">
        <f t="shared" si="207"/>
        <v>0</v>
      </c>
      <c r="AZ143" s="109">
        <f t="shared" si="207"/>
        <v>0</v>
      </c>
    </row>
    <row r="144" spans="2:52">
      <c r="B144" s="52" t="s">
        <v>404</v>
      </c>
      <c r="C144" s="119">
        <v>6.0400000000000002E-2</v>
      </c>
      <c r="G144" s="10"/>
      <c r="H144" s="10"/>
      <c r="I144" s="10"/>
      <c r="J144" s="109"/>
      <c r="K144" s="109">
        <f t="shared" ca="1" si="206"/>
        <v>500</v>
      </c>
      <c r="L144" s="109">
        <f t="shared" ca="1" si="206"/>
        <v>0</v>
      </c>
      <c r="M144" s="109">
        <f t="shared" ca="1" si="206"/>
        <v>0</v>
      </c>
      <c r="N144" s="109">
        <f ca="1">OFFSET($P144,0,N$2,1,1)</f>
        <v>0</v>
      </c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>
        <v>500</v>
      </c>
      <c r="AO144" s="109">
        <v>500</v>
      </c>
      <c r="AP144" s="109">
        <v>500</v>
      </c>
      <c r="AQ144" s="109">
        <v>500</v>
      </c>
      <c r="AR144" s="109">
        <v>0</v>
      </c>
      <c r="AS144" s="109">
        <v>0</v>
      </c>
      <c r="AT144" s="109">
        <v>0</v>
      </c>
      <c r="AU144" s="109">
        <v>0</v>
      </c>
      <c r="AV144" s="109">
        <v>0</v>
      </c>
      <c r="AW144" s="109">
        <v>0</v>
      </c>
      <c r="AX144" s="109">
        <v>0</v>
      </c>
      <c r="AY144" s="109">
        <v>0</v>
      </c>
      <c r="AZ144" s="109">
        <v>0</v>
      </c>
    </row>
    <row r="145" spans="2:52">
      <c r="B145" s="114" t="s">
        <v>191</v>
      </c>
      <c r="C145" s="119"/>
      <c r="G145" s="10"/>
      <c r="H145" s="10"/>
      <c r="I145" s="10"/>
      <c r="J145" s="109"/>
      <c r="K145" s="120"/>
      <c r="L145" s="120"/>
      <c r="M145" s="120"/>
      <c r="N145" s="120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2:52">
      <c r="B146" s="52" t="s">
        <v>190</v>
      </c>
      <c r="C146" s="119"/>
      <c r="G146" s="10"/>
      <c r="H146" s="10"/>
      <c r="I146" s="10"/>
      <c r="J146" s="109"/>
      <c r="K146" s="109">
        <f t="shared" ref="K146:M149" ca="1" si="208">OFFSET($P146,0,K$2,1,1)</f>
        <v>6701</v>
      </c>
      <c r="L146" s="109">
        <f t="shared" ca="1" si="208"/>
        <v>6701</v>
      </c>
      <c r="M146" s="109">
        <f t="shared" ca="1" si="208"/>
        <v>6701</v>
      </c>
      <c r="N146" s="109">
        <f ca="1">OFFSET($P146,0,N$2,1,1)</f>
        <v>6701</v>
      </c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>
        <f>AN42</f>
        <v>6701</v>
      </c>
      <c r="AO146" s="109">
        <f t="shared" ref="AO146:AV146" si="209">AN146</f>
        <v>6701</v>
      </c>
      <c r="AP146" s="109">
        <f t="shared" si="209"/>
        <v>6701</v>
      </c>
      <c r="AQ146" s="109">
        <f t="shared" si="209"/>
        <v>6701</v>
      </c>
      <c r="AR146" s="109">
        <f t="shared" si="209"/>
        <v>6701</v>
      </c>
      <c r="AS146" s="109">
        <f t="shared" si="209"/>
        <v>6701</v>
      </c>
      <c r="AT146" s="109">
        <f t="shared" si="209"/>
        <v>6701</v>
      </c>
      <c r="AU146" s="109">
        <f t="shared" si="209"/>
        <v>6701</v>
      </c>
      <c r="AV146" s="109">
        <f t="shared" si="209"/>
        <v>6701</v>
      </c>
      <c r="AW146" s="109">
        <f t="shared" ref="AW146:AW149" si="210">AV146</f>
        <v>6701</v>
      </c>
      <c r="AX146" s="109">
        <f t="shared" ref="AX146:AX149" si="211">AW146</f>
        <v>6701</v>
      </c>
      <c r="AY146" s="109">
        <f t="shared" ref="AY146:AY149" si="212">AX146</f>
        <v>6701</v>
      </c>
      <c r="AZ146" s="109">
        <f t="shared" ref="AZ146:AZ149" si="213">AY146</f>
        <v>6701</v>
      </c>
    </row>
    <row r="147" spans="2:52">
      <c r="B147" s="61" t="s">
        <v>189</v>
      </c>
      <c r="C147" s="119">
        <v>2.1100000000000001E-2</v>
      </c>
      <c r="G147" s="10"/>
      <c r="H147" s="10"/>
      <c r="I147" s="10"/>
      <c r="J147" s="109"/>
      <c r="K147" s="109">
        <f t="shared" ca="1" si="208"/>
        <v>3350.5</v>
      </c>
      <c r="L147" s="109">
        <f t="shared" ca="1" si="208"/>
        <v>3350.5</v>
      </c>
      <c r="M147" s="109">
        <f t="shared" ca="1" si="208"/>
        <v>3350.5</v>
      </c>
      <c r="N147" s="109">
        <f ca="1">OFFSET($P147,0,N$2,1,1)</f>
        <v>3350.5</v>
      </c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>
        <f>AN146/2</f>
        <v>3350.5</v>
      </c>
      <c r="AO147" s="109">
        <f t="shared" ref="AO147:AV147" si="214">AN147</f>
        <v>3350.5</v>
      </c>
      <c r="AP147" s="109">
        <f t="shared" si="214"/>
        <v>3350.5</v>
      </c>
      <c r="AQ147" s="109">
        <f t="shared" si="214"/>
        <v>3350.5</v>
      </c>
      <c r="AR147" s="109">
        <f t="shared" si="214"/>
        <v>3350.5</v>
      </c>
      <c r="AS147" s="109">
        <f t="shared" si="214"/>
        <v>3350.5</v>
      </c>
      <c r="AT147" s="109">
        <f t="shared" si="214"/>
        <v>3350.5</v>
      </c>
      <c r="AU147" s="109">
        <f t="shared" si="214"/>
        <v>3350.5</v>
      </c>
      <c r="AV147" s="109">
        <f t="shared" si="214"/>
        <v>3350.5</v>
      </c>
      <c r="AW147" s="109">
        <f t="shared" si="210"/>
        <v>3350.5</v>
      </c>
      <c r="AX147" s="109">
        <f t="shared" si="211"/>
        <v>3350.5</v>
      </c>
      <c r="AY147" s="109">
        <f t="shared" si="212"/>
        <v>3350.5</v>
      </c>
      <c r="AZ147" s="109">
        <f t="shared" si="213"/>
        <v>3350.5</v>
      </c>
    </row>
    <row r="148" spans="2:52">
      <c r="B148" s="61" t="s">
        <v>188</v>
      </c>
      <c r="C148" s="119">
        <v>2.1000000000000001E-2</v>
      </c>
      <c r="G148" s="10"/>
      <c r="H148" s="10"/>
      <c r="I148" s="10"/>
      <c r="J148" s="109"/>
      <c r="K148" s="109">
        <f t="shared" ca="1" si="208"/>
        <v>1675.25</v>
      </c>
      <c r="L148" s="109">
        <f t="shared" ca="1" si="208"/>
        <v>1675.25</v>
      </c>
      <c r="M148" s="109">
        <f t="shared" ca="1" si="208"/>
        <v>1675.25</v>
      </c>
      <c r="N148" s="109">
        <f ca="1">OFFSET($P148,0,N$2,1,1)</f>
        <v>1675.25</v>
      </c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>
        <f>AN146/4</f>
        <v>1675.25</v>
      </c>
      <c r="AO148" s="109">
        <f t="shared" ref="AO148:AV148" si="215">AN148</f>
        <v>1675.25</v>
      </c>
      <c r="AP148" s="109">
        <f t="shared" si="215"/>
        <v>1675.25</v>
      </c>
      <c r="AQ148" s="109">
        <f t="shared" si="215"/>
        <v>1675.25</v>
      </c>
      <c r="AR148" s="109">
        <f t="shared" si="215"/>
        <v>1675.25</v>
      </c>
      <c r="AS148" s="109">
        <f t="shared" si="215"/>
        <v>1675.25</v>
      </c>
      <c r="AT148" s="109">
        <f t="shared" si="215"/>
        <v>1675.25</v>
      </c>
      <c r="AU148" s="109">
        <f t="shared" si="215"/>
        <v>1675.25</v>
      </c>
      <c r="AV148" s="109">
        <f t="shared" si="215"/>
        <v>1675.25</v>
      </c>
      <c r="AW148" s="109">
        <f t="shared" si="210"/>
        <v>1675.25</v>
      </c>
      <c r="AX148" s="109">
        <f t="shared" si="211"/>
        <v>1675.25</v>
      </c>
      <c r="AY148" s="109">
        <f t="shared" si="212"/>
        <v>1675.25</v>
      </c>
      <c r="AZ148" s="109">
        <f t="shared" si="213"/>
        <v>1675.25</v>
      </c>
    </row>
    <row r="149" spans="2:52">
      <c r="B149" s="61" t="s">
        <v>188</v>
      </c>
      <c r="C149" s="119">
        <v>2.7799999999999998E-2</v>
      </c>
      <c r="G149" s="10"/>
      <c r="H149" s="10"/>
      <c r="I149" s="10"/>
      <c r="J149" s="109"/>
      <c r="K149" s="109">
        <f t="shared" ca="1" si="208"/>
        <v>1675.25</v>
      </c>
      <c r="L149" s="109">
        <f t="shared" ca="1" si="208"/>
        <v>1675.25</v>
      </c>
      <c r="M149" s="109">
        <f t="shared" ca="1" si="208"/>
        <v>1675.25</v>
      </c>
      <c r="N149" s="109">
        <f ca="1">OFFSET($P149,0,N$2,1,1)</f>
        <v>1675.25</v>
      </c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>
        <f>AN148</f>
        <v>1675.25</v>
      </c>
      <c r="AO149" s="109">
        <f t="shared" ref="AO149:AV149" si="216">AN149</f>
        <v>1675.25</v>
      </c>
      <c r="AP149" s="109">
        <f t="shared" si="216"/>
        <v>1675.25</v>
      </c>
      <c r="AQ149" s="109">
        <f t="shared" si="216"/>
        <v>1675.25</v>
      </c>
      <c r="AR149" s="109">
        <f t="shared" si="216"/>
        <v>1675.25</v>
      </c>
      <c r="AS149" s="109">
        <f t="shared" si="216"/>
        <v>1675.25</v>
      </c>
      <c r="AT149" s="109">
        <f t="shared" si="216"/>
        <v>1675.25</v>
      </c>
      <c r="AU149" s="109">
        <f t="shared" si="216"/>
        <v>1675.25</v>
      </c>
      <c r="AV149" s="109">
        <f t="shared" si="216"/>
        <v>1675.25</v>
      </c>
      <c r="AW149" s="109">
        <f t="shared" si="210"/>
        <v>1675.25</v>
      </c>
      <c r="AX149" s="109">
        <f t="shared" si="211"/>
        <v>1675.25</v>
      </c>
      <c r="AY149" s="109">
        <f t="shared" si="212"/>
        <v>1675.25</v>
      </c>
      <c r="AZ149" s="109">
        <f t="shared" si="213"/>
        <v>1675.25</v>
      </c>
    </row>
    <row r="150" spans="2:52">
      <c r="B150" s="68" t="s">
        <v>87</v>
      </c>
      <c r="C150" s="119"/>
      <c r="G150" s="10"/>
      <c r="H150" s="10"/>
      <c r="I150" s="10"/>
      <c r="J150" s="117"/>
      <c r="K150" s="117">
        <f ca="1">SUM(K147:K149,K143:K144)</f>
        <v>7955</v>
      </c>
      <c r="L150" s="117">
        <f ca="1">SUM(L147:L149,L143:L144)</f>
        <v>6701</v>
      </c>
      <c r="M150" s="117">
        <f ca="1">SUM(M147:M149,M143:M144)</f>
        <v>6701</v>
      </c>
      <c r="N150" s="117">
        <f ca="1">SUM(N147:N149,N143:N144)</f>
        <v>6701</v>
      </c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17"/>
      <c r="AN150" s="117">
        <f t="shared" ref="AN150" si="217">SUM(AN147:AN149,AN143:AN144)</f>
        <v>7955</v>
      </c>
      <c r="AO150" s="117">
        <f t="shared" ref="AO150:AV150" si="218">SUM(AO147:AO149,AO143:AO144)</f>
        <v>7955</v>
      </c>
      <c r="AP150" s="117">
        <f t="shared" si="218"/>
        <v>7955</v>
      </c>
      <c r="AQ150" s="117">
        <f t="shared" si="218"/>
        <v>7201</v>
      </c>
      <c r="AR150" s="117">
        <f t="shared" ca="1" si="218"/>
        <v>6701</v>
      </c>
      <c r="AS150" s="117">
        <f t="shared" ca="1" si="218"/>
        <v>6701</v>
      </c>
      <c r="AT150" s="117">
        <f t="shared" ca="1" si="218"/>
        <v>6701</v>
      </c>
      <c r="AU150" s="117">
        <f t="shared" ca="1" si="218"/>
        <v>6701</v>
      </c>
      <c r="AV150" s="117">
        <f t="shared" ca="1" si="218"/>
        <v>6701</v>
      </c>
      <c r="AW150" s="117">
        <f t="shared" ref="AW150:AZ150" si="219">SUM(AW147:AW149,AW143:AW144)</f>
        <v>6701</v>
      </c>
      <c r="AX150" s="117">
        <f t="shared" si="219"/>
        <v>6701</v>
      </c>
      <c r="AY150" s="117">
        <f t="shared" si="219"/>
        <v>6701</v>
      </c>
      <c r="AZ150" s="117">
        <f t="shared" si="219"/>
        <v>6701</v>
      </c>
    </row>
    <row r="151" spans="2:52">
      <c r="B151" s="61"/>
      <c r="C151" s="119"/>
      <c r="G151" s="10"/>
      <c r="H151" s="10"/>
      <c r="I151" s="10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2:52">
      <c r="B152" s="113" t="s">
        <v>187</v>
      </c>
      <c r="C152" s="119"/>
      <c r="G152" s="10"/>
      <c r="H152" s="10"/>
      <c r="I152" s="10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2:52">
      <c r="B153" s="3" t="s">
        <v>186</v>
      </c>
      <c r="C153" s="119">
        <v>1.4999999999999999E-2</v>
      </c>
      <c r="K153" s="109">
        <f ca="1">OFFSET($P153,0,K$2,1,1)</f>
        <v>0</v>
      </c>
      <c r="L153" s="109">
        <f ca="1">OFFSET($P153,0,L$2,1,1)</f>
        <v>0</v>
      </c>
      <c r="M153" s="109">
        <f ca="1">OFFSET($P153,0,M$2,1,1)</f>
        <v>0</v>
      </c>
      <c r="N153" s="109">
        <f ca="1">OFFSET($P153,0,N$2,1,1)</f>
        <v>0</v>
      </c>
      <c r="AM153" s="109"/>
      <c r="AN153" s="109">
        <f>AN32</f>
        <v>0</v>
      </c>
      <c r="AO153" s="109">
        <v>0</v>
      </c>
      <c r="AP153" s="109">
        <v>0</v>
      </c>
      <c r="AQ153" s="109">
        <v>0</v>
      </c>
      <c r="AR153" s="109">
        <v>0</v>
      </c>
      <c r="AS153" s="109">
        <v>0</v>
      </c>
      <c r="AT153" s="109">
        <v>0</v>
      </c>
      <c r="AU153" s="109">
        <v>0</v>
      </c>
      <c r="AV153" s="109">
        <v>0</v>
      </c>
      <c r="AW153" s="109">
        <v>0</v>
      </c>
      <c r="AX153" s="109">
        <v>0</v>
      </c>
      <c r="AY153" s="109">
        <v>0</v>
      </c>
      <c r="AZ153" s="109">
        <v>0</v>
      </c>
    </row>
    <row r="154" spans="2:52">
      <c r="B154" s="3" t="s">
        <v>185</v>
      </c>
      <c r="G154" s="38"/>
      <c r="H154" s="38"/>
      <c r="I154" s="38"/>
      <c r="J154" s="115"/>
      <c r="K154" s="115"/>
      <c r="L154" s="115"/>
      <c r="M154" s="115"/>
      <c r="N154" s="115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</row>
    <row r="155" spans="2:52">
      <c r="B155" s="52" t="s">
        <v>184</v>
      </c>
      <c r="C155" s="119">
        <v>2.2499999999999999E-2</v>
      </c>
      <c r="G155" s="10"/>
      <c r="H155" s="10"/>
      <c r="I155" s="10"/>
      <c r="J155" s="109"/>
      <c r="K155" s="109">
        <f t="shared" ref="K155:M164" ca="1" si="220">OFFSET($P155,0,K$2,1,1)</f>
        <v>0</v>
      </c>
      <c r="L155" s="109">
        <f t="shared" ca="1" si="220"/>
        <v>0</v>
      </c>
      <c r="M155" s="109">
        <f t="shared" ca="1" si="220"/>
        <v>0</v>
      </c>
      <c r="N155" s="109">
        <f t="shared" ref="N155:N164" ca="1" si="221">OFFSET($P155,0,N$2,1,1)</f>
        <v>0</v>
      </c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>
        <v>0</v>
      </c>
      <c r="AO155" s="109">
        <f>+AN155</f>
        <v>0</v>
      </c>
      <c r="AP155" s="109">
        <f>+AO155</f>
        <v>0</v>
      </c>
      <c r="AQ155" s="109">
        <f>+AP155</f>
        <v>0</v>
      </c>
      <c r="AR155" s="109">
        <f ca="1">+L155</f>
        <v>0</v>
      </c>
      <c r="AS155" s="109">
        <f ca="1">+AR155</f>
        <v>0</v>
      </c>
      <c r="AT155" s="109">
        <f ca="1">+AS155</f>
        <v>0</v>
      </c>
      <c r="AU155" s="109">
        <f ca="1">+AT155</f>
        <v>0</v>
      </c>
      <c r="AV155" s="109">
        <f ca="1">+M155</f>
        <v>0</v>
      </c>
      <c r="AW155" s="109">
        <f t="shared" ref="AW155:AZ155" si="222">+O155</f>
        <v>0</v>
      </c>
      <c r="AX155" s="109">
        <f t="shared" si="222"/>
        <v>0</v>
      </c>
      <c r="AY155" s="109">
        <f t="shared" si="222"/>
        <v>0</v>
      </c>
      <c r="AZ155" s="109">
        <f t="shared" si="222"/>
        <v>0</v>
      </c>
    </row>
    <row r="156" spans="2:52">
      <c r="B156" s="52" t="s">
        <v>183</v>
      </c>
      <c r="C156" s="119">
        <v>3.5000000000000003E-2</v>
      </c>
      <c r="J156" s="109"/>
      <c r="K156" s="109">
        <f t="shared" ca="1" si="220"/>
        <v>4856.045454545454</v>
      </c>
      <c r="L156" s="109">
        <f t="shared" ca="1" si="220"/>
        <v>4856.045454545454</v>
      </c>
      <c r="M156" s="109">
        <f t="shared" ca="1" si="220"/>
        <v>4856.045454545454</v>
      </c>
      <c r="N156" s="109">
        <f t="shared" ca="1" si="221"/>
        <v>4856.045454545454</v>
      </c>
      <c r="O156" s="118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>
        <f>750/(750+1000+1000+750+500+900+600)*AN$165</f>
        <v>4856.045454545454</v>
      </c>
      <c r="AO156" s="109">
        <f t="shared" ref="AO156:AV156" si="223">AN156</f>
        <v>4856.045454545454</v>
      </c>
      <c r="AP156" s="109">
        <f t="shared" si="223"/>
        <v>4856.045454545454</v>
      </c>
      <c r="AQ156" s="109">
        <f t="shared" si="223"/>
        <v>4856.045454545454</v>
      </c>
      <c r="AR156" s="109">
        <f t="shared" si="223"/>
        <v>4856.045454545454</v>
      </c>
      <c r="AS156" s="109">
        <f t="shared" si="223"/>
        <v>4856.045454545454</v>
      </c>
      <c r="AT156" s="109">
        <f t="shared" si="223"/>
        <v>4856.045454545454</v>
      </c>
      <c r="AU156" s="109">
        <f t="shared" si="223"/>
        <v>4856.045454545454</v>
      </c>
      <c r="AV156" s="109">
        <f t="shared" si="223"/>
        <v>4856.045454545454</v>
      </c>
      <c r="AW156" s="109">
        <f t="shared" ref="AW156" si="224">AV156</f>
        <v>4856.045454545454</v>
      </c>
      <c r="AX156" s="109">
        <f t="shared" ref="AX156" si="225">AW156</f>
        <v>4856.045454545454</v>
      </c>
      <c r="AY156" s="109">
        <f t="shared" ref="AY156" si="226">AX156</f>
        <v>4856.045454545454</v>
      </c>
      <c r="AZ156" s="109">
        <f t="shared" ref="AZ156" si="227">AY156</f>
        <v>4856.045454545454</v>
      </c>
    </row>
    <row r="157" spans="2:52">
      <c r="B157" s="52" t="s">
        <v>182</v>
      </c>
      <c r="C157" s="119">
        <v>3.2500000000000001E-2</v>
      </c>
      <c r="G157" s="10"/>
      <c r="H157" s="10"/>
      <c r="I157" s="10"/>
      <c r="J157" s="109"/>
      <c r="K157" s="109">
        <f t="shared" ca="1" si="220"/>
        <v>6474.727272727273</v>
      </c>
      <c r="L157" s="109">
        <f t="shared" ca="1" si="220"/>
        <v>0</v>
      </c>
      <c r="M157" s="109">
        <f t="shared" ca="1" si="220"/>
        <v>0</v>
      </c>
      <c r="N157" s="109">
        <f t="shared" ca="1" si="221"/>
        <v>0</v>
      </c>
      <c r="O157" s="118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>
        <f>1000/(750+1000+1000+750+500+900+600)*AN$165</f>
        <v>6474.727272727273</v>
      </c>
      <c r="AO157" s="109">
        <f t="shared" ref="AO157:AP164" si="228">AN157</f>
        <v>6474.727272727273</v>
      </c>
      <c r="AP157" s="109">
        <f t="shared" si="228"/>
        <v>6474.727272727273</v>
      </c>
      <c r="AQ157" s="120">
        <v>0</v>
      </c>
      <c r="AR157" s="109">
        <f ca="1">+L157</f>
        <v>0</v>
      </c>
      <c r="AS157" s="109">
        <f ca="1">+AR157</f>
        <v>0</v>
      </c>
      <c r="AT157" s="109">
        <f ca="1">+AS157</f>
        <v>0</v>
      </c>
      <c r="AU157" s="109">
        <f ca="1">+AT157</f>
        <v>0</v>
      </c>
      <c r="AV157" s="109">
        <f ca="1">+M157</f>
        <v>0</v>
      </c>
      <c r="AW157" s="109">
        <f t="shared" ref="AW157:AZ158" si="229">+O157</f>
        <v>0</v>
      </c>
      <c r="AX157" s="109">
        <f t="shared" si="229"/>
        <v>0</v>
      </c>
      <c r="AY157" s="109">
        <f t="shared" si="229"/>
        <v>0</v>
      </c>
      <c r="AZ157" s="109">
        <f t="shared" si="229"/>
        <v>0</v>
      </c>
    </row>
    <row r="158" spans="2:52">
      <c r="B158" s="52" t="s">
        <v>181</v>
      </c>
      <c r="C158" s="119">
        <v>2.75E-2</v>
      </c>
      <c r="G158" s="10"/>
      <c r="H158" s="10"/>
      <c r="I158" s="10"/>
      <c r="J158" s="109"/>
      <c r="K158" s="109">
        <f t="shared" ca="1" si="220"/>
        <v>6474.727272727273</v>
      </c>
      <c r="L158" s="109">
        <f t="shared" ca="1" si="220"/>
        <v>6474.727272727273</v>
      </c>
      <c r="M158" s="109">
        <f t="shared" ca="1" si="220"/>
        <v>0</v>
      </c>
      <c r="N158" s="109">
        <f t="shared" ca="1" si="221"/>
        <v>0</v>
      </c>
      <c r="O158" s="118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>
        <f>1000/(750+1000+1000+750+500+900+600)*AN$165</f>
        <v>6474.727272727273</v>
      </c>
      <c r="AO158" s="109">
        <f t="shared" si="228"/>
        <v>6474.727272727273</v>
      </c>
      <c r="AP158" s="109">
        <f t="shared" si="228"/>
        <v>6474.727272727273</v>
      </c>
      <c r="AQ158" s="109">
        <f t="shared" ref="AQ158:AS164" si="230">AP158</f>
        <v>6474.727272727273</v>
      </c>
      <c r="AR158" s="109">
        <f t="shared" si="230"/>
        <v>6474.727272727273</v>
      </c>
      <c r="AS158" s="109">
        <f t="shared" si="230"/>
        <v>6474.727272727273</v>
      </c>
      <c r="AT158" s="120">
        <v>0</v>
      </c>
      <c r="AU158" s="109">
        <f>+AT158</f>
        <v>0</v>
      </c>
      <c r="AV158" s="109">
        <f ca="1">+M158</f>
        <v>0</v>
      </c>
      <c r="AW158" s="109">
        <f t="shared" si="229"/>
        <v>0</v>
      </c>
      <c r="AX158" s="109">
        <f t="shared" si="229"/>
        <v>0</v>
      </c>
      <c r="AY158" s="109">
        <f t="shared" si="229"/>
        <v>0</v>
      </c>
      <c r="AZ158" s="109">
        <f t="shared" si="229"/>
        <v>0</v>
      </c>
    </row>
    <row r="159" spans="2:52">
      <c r="B159" s="52" t="s">
        <v>180</v>
      </c>
      <c r="C159" s="119">
        <v>0.03</v>
      </c>
      <c r="G159" s="10"/>
      <c r="H159" s="10"/>
      <c r="I159" s="10"/>
      <c r="J159" s="109"/>
      <c r="K159" s="109">
        <f t="shared" ca="1" si="220"/>
        <v>4856.045454545454</v>
      </c>
      <c r="L159" s="109">
        <f t="shared" ca="1" si="220"/>
        <v>4856.045454545454</v>
      </c>
      <c r="M159" s="109">
        <f t="shared" ca="1" si="220"/>
        <v>4856.045454545454</v>
      </c>
      <c r="N159" s="109">
        <f t="shared" ca="1" si="221"/>
        <v>4856.045454545454</v>
      </c>
      <c r="O159" s="118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>
        <f>750/(750+1000+1000+750+500+900+600)*AN$165</f>
        <v>4856.045454545454</v>
      </c>
      <c r="AO159" s="109">
        <f t="shared" si="228"/>
        <v>4856.045454545454</v>
      </c>
      <c r="AP159" s="109">
        <f t="shared" si="228"/>
        <v>4856.045454545454</v>
      </c>
      <c r="AQ159" s="109">
        <f t="shared" si="230"/>
        <v>4856.045454545454</v>
      </c>
      <c r="AR159" s="109">
        <f t="shared" si="230"/>
        <v>4856.045454545454</v>
      </c>
      <c r="AS159" s="109">
        <f t="shared" si="230"/>
        <v>4856.045454545454</v>
      </c>
      <c r="AT159" s="109">
        <f t="shared" ref="AT159:AV164" si="231">AS159</f>
        <v>4856.045454545454</v>
      </c>
      <c r="AU159" s="109">
        <f t="shared" si="231"/>
        <v>4856.045454545454</v>
      </c>
      <c r="AV159" s="109">
        <f t="shared" si="231"/>
        <v>4856.045454545454</v>
      </c>
      <c r="AW159" s="109">
        <f t="shared" ref="AW159:AW164" si="232">AV159</f>
        <v>4856.045454545454</v>
      </c>
      <c r="AX159" s="109">
        <f t="shared" ref="AX159:AX164" si="233">AW159</f>
        <v>4856.045454545454</v>
      </c>
      <c r="AY159" s="109">
        <f t="shared" ref="AY159:AY164" si="234">AX159</f>
        <v>4856.045454545454</v>
      </c>
      <c r="AZ159" s="109">
        <f t="shared" ref="AZ159:AZ164" si="235">AY159</f>
        <v>4856.045454545454</v>
      </c>
    </row>
    <row r="160" spans="2:52">
      <c r="B160" s="52" t="s">
        <v>179</v>
      </c>
      <c r="C160" s="119">
        <v>4.1300000000000003E-2</v>
      </c>
      <c r="J160" s="109"/>
      <c r="K160" s="109">
        <f t="shared" ca="1" si="220"/>
        <v>3237.3636363636365</v>
      </c>
      <c r="L160" s="109">
        <f t="shared" ca="1" si="220"/>
        <v>3237.3636363636365</v>
      </c>
      <c r="M160" s="109">
        <f t="shared" ca="1" si="220"/>
        <v>3237.3636363636365</v>
      </c>
      <c r="N160" s="109">
        <f t="shared" ca="1" si="221"/>
        <v>3237.3636363636365</v>
      </c>
      <c r="O160" s="118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>
        <f>500/(750+1000+1000+750+500+900+600)*AN$165</f>
        <v>3237.3636363636365</v>
      </c>
      <c r="AO160" s="109">
        <f t="shared" si="228"/>
        <v>3237.3636363636365</v>
      </c>
      <c r="AP160" s="109">
        <f t="shared" si="228"/>
        <v>3237.3636363636365</v>
      </c>
      <c r="AQ160" s="109">
        <f t="shared" si="230"/>
        <v>3237.3636363636365</v>
      </c>
      <c r="AR160" s="109">
        <f t="shared" si="230"/>
        <v>3237.3636363636365</v>
      </c>
      <c r="AS160" s="109">
        <f t="shared" si="230"/>
        <v>3237.3636363636365</v>
      </c>
      <c r="AT160" s="109">
        <f t="shared" si="231"/>
        <v>3237.3636363636365</v>
      </c>
      <c r="AU160" s="109">
        <f t="shared" si="231"/>
        <v>3237.3636363636365</v>
      </c>
      <c r="AV160" s="109">
        <f t="shared" si="231"/>
        <v>3237.3636363636365</v>
      </c>
      <c r="AW160" s="109">
        <f t="shared" si="232"/>
        <v>3237.3636363636365</v>
      </c>
      <c r="AX160" s="109">
        <f t="shared" si="233"/>
        <v>3237.3636363636365</v>
      </c>
      <c r="AY160" s="109">
        <f t="shared" si="234"/>
        <v>3237.3636363636365</v>
      </c>
      <c r="AZ160" s="109">
        <f t="shared" si="235"/>
        <v>3237.3636363636365</v>
      </c>
    </row>
    <row r="161" spans="2:52">
      <c r="B161" s="52" t="s">
        <v>178</v>
      </c>
      <c r="C161" s="119">
        <v>2.8750000000000001E-2</v>
      </c>
      <c r="J161" s="109"/>
      <c r="K161" s="109">
        <f t="shared" ca="1" si="220"/>
        <v>5827.2545454545452</v>
      </c>
      <c r="L161" s="109">
        <f t="shared" ca="1" si="220"/>
        <v>5827.2545454545452</v>
      </c>
      <c r="M161" s="109">
        <f t="shared" ca="1" si="220"/>
        <v>5827.2545454545452</v>
      </c>
      <c r="N161" s="109">
        <f t="shared" ca="1" si="221"/>
        <v>5827.2545454545452</v>
      </c>
      <c r="O161" s="118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>
        <f>900/(750+1000+1000+750+500+900+600)*AN$165</f>
        <v>5827.2545454545452</v>
      </c>
      <c r="AO161" s="109">
        <f t="shared" si="228"/>
        <v>5827.2545454545452</v>
      </c>
      <c r="AP161" s="109">
        <f t="shared" si="228"/>
        <v>5827.2545454545452</v>
      </c>
      <c r="AQ161" s="109">
        <f t="shared" si="230"/>
        <v>5827.2545454545452</v>
      </c>
      <c r="AR161" s="109">
        <f t="shared" si="230"/>
        <v>5827.2545454545452</v>
      </c>
      <c r="AS161" s="109">
        <f t="shared" si="230"/>
        <v>5827.2545454545452</v>
      </c>
      <c r="AT161" s="109">
        <f t="shared" si="231"/>
        <v>5827.2545454545452</v>
      </c>
      <c r="AU161" s="109">
        <f t="shared" si="231"/>
        <v>5827.2545454545452</v>
      </c>
      <c r="AV161" s="109">
        <f t="shared" si="231"/>
        <v>5827.2545454545452</v>
      </c>
      <c r="AW161" s="109">
        <f t="shared" si="232"/>
        <v>5827.2545454545452</v>
      </c>
      <c r="AX161" s="109">
        <f t="shared" si="233"/>
        <v>5827.2545454545452</v>
      </c>
      <c r="AY161" s="109">
        <f t="shared" si="234"/>
        <v>5827.2545454545452</v>
      </c>
      <c r="AZ161" s="109">
        <f t="shared" si="235"/>
        <v>5827.2545454545452</v>
      </c>
    </row>
    <row r="162" spans="2:52">
      <c r="B162" s="52" t="s">
        <v>177</v>
      </c>
      <c r="C162" s="119">
        <v>3.6249999999999998E-2</v>
      </c>
      <c r="J162" s="109"/>
      <c r="K162" s="109">
        <f t="shared" ca="1" si="220"/>
        <v>3884.8363636363633</v>
      </c>
      <c r="L162" s="109">
        <f t="shared" ca="1" si="220"/>
        <v>3884.8363636363633</v>
      </c>
      <c r="M162" s="109">
        <f t="shared" ca="1" si="220"/>
        <v>3884.8363636363633</v>
      </c>
      <c r="N162" s="109">
        <f t="shared" ca="1" si="221"/>
        <v>3884.8363636363633</v>
      </c>
      <c r="O162" s="118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>
        <f>600/(750+1000+1000+750+500+900+600)*AN$165</f>
        <v>3884.8363636363633</v>
      </c>
      <c r="AO162" s="109">
        <f t="shared" si="228"/>
        <v>3884.8363636363633</v>
      </c>
      <c r="AP162" s="109">
        <f t="shared" si="228"/>
        <v>3884.8363636363633</v>
      </c>
      <c r="AQ162" s="109">
        <f t="shared" si="230"/>
        <v>3884.8363636363633</v>
      </c>
      <c r="AR162" s="109">
        <f t="shared" si="230"/>
        <v>3884.8363636363633</v>
      </c>
      <c r="AS162" s="109">
        <f t="shared" si="230"/>
        <v>3884.8363636363633</v>
      </c>
      <c r="AT162" s="109">
        <f t="shared" si="231"/>
        <v>3884.8363636363633</v>
      </c>
      <c r="AU162" s="109">
        <f t="shared" si="231"/>
        <v>3884.8363636363633</v>
      </c>
      <c r="AV162" s="109">
        <f t="shared" si="231"/>
        <v>3884.8363636363633</v>
      </c>
      <c r="AW162" s="109">
        <f t="shared" si="232"/>
        <v>3884.8363636363633</v>
      </c>
      <c r="AX162" s="109">
        <f t="shared" si="233"/>
        <v>3884.8363636363633</v>
      </c>
      <c r="AY162" s="109">
        <f t="shared" si="234"/>
        <v>3884.8363636363633</v>
      </c>
      <c r="AZ162" s="109">
        <f t="shared" si="235"/>
        <v>3884.8363636363633</v>
      </c>
    </row>
    <row r="163" spans="2:52">
      <c r="B163" s="52" t="s">
        <v>405</v>
      </c>
      <c r="C163" s="119">
        <v>3.875E-2</v>
      </c>
      <c r="J163" s="109"/>
      <c r="K163" s="109">
        <f t="shared" ca="1" si="220"/>
        <v>0</v>
      </c>
      <c r="L163" s="109">
        <f t="shared" ca="1" si="220"/>
        <v>6474.7272727272721</v>
      </c>
      <c r="M163" s="109">
        <f t="shared" ca="1" si="220"/>
        <v>6474.7272727272721</v>
      </c>
      <c r="N163" s="109">
        <f t="shared" ca="1" si="221"/>
        <v>6474.7272727272721</v>
      </c>
      <c r="O163" s="118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>
        <f>1000/600*AO162</f>
        <v>6474.7272727272721</v>
      </c>
      <c r="AP163" s="109">
        <f t="shared" si="228"/>
        <v>6474.7272727272721</v>
      </c>
      <c r="AQ163" s="109">
        <f t="shared" si="230"/>
        <v>6474.7272727272721</v>
      </c>
      <c r="AR163" s="109">
        <f t="shared" si="230"/>
        <v>6474.7272727272721</v>
      </c>
      <c r="AS163" s="109">
        <f t="shared" si="230"/>
        <v>6474.7272727272721</v>
      </c>
      <c r="AT163" s="109">
        <f t="shared" si="231"/>
        <v>6474.7272727272721</v>
      </c>
      <c r="AU163" s="109">
        <f t="shared" si="231"/>
        <v>6474.7272727272721</v>
      </c>
      <c r="AV163" s="109">
        <f t="shared" si="231"/>
        <v>6474.7272727272721</v>
      </c>
      <c r="AW163" s="109">
        <f t="shared" si="232"/>
        <v>6474.7272727272721</v>
      </c>
      <c r="AX163" s="109">
        <f t="shared" si="233"/>
        <v>6474.7272727272721</v>
      </c>
      <c r="AY163" s="109">
        <f t="shared" si="234"/>
        <v>6474.7272727272721</v>
      </c>
      <c r="AZ163" s="109">
        <f t="shared" si="235"/>
        <v>6474.7272727272721</v>
      </c>
    </row>
    <row r="164" spans="2:52">
      <c r="B164" s="52" t="s">
        <v>406</v>
      </c>
      <c r="C164" s="119">
        <v>4.3749999999999997E-2</v>
      </c>
      <c r="J164" s="109"/>
      <c r="K164" s="109">
        <f t="shared" ca="1" si="220"/>
        <v>0</v>
      </c>
      <c r="L164" s="109">
        <f t="shared" ca="1" si="220"/>
        <v>3237.363636363636</v>
      </c>
      <c r="M164" s="109">
        <f t="shared" ca="1" si="220"/>
        <v>3237.363636363636</v>
      </c>
      <c r="N164" s="109">
        <f t="shared" ca="1" si="221"/>
        <v>3237.363636363636</v>
      </c>
      <c r="O164" s="118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>
        <f>500/600*AO162</f>
        <v>3237.363636363636</v>
      </c>
      <c r="AP164" s="109">
        <f t="shared" si="228"/>
        <v>3237.363636363636</v>
      </c>
      <c r="AQ164" s="109">
        <f t="shared" si="230"/>
        <v>3237.363636363636</v>
      </c>
      <c r="AR164" s="109">
        <f t="shared" si="230"/>
        <v>3237.363636363636</v>
      </c>
      <c r="AS164" s="109">
        <f t="shared" si="230"/>
        <v>3237.363636363636</v>
      </c>
      <c r="AT164" s="109">
        <f t="shared" si="231"/>
        <v>3237.363636363636</v>
      </c>
      <c r="AU164" s="109">
        <f t="shared" si="231"/>
        <v>3237.363636363636</v>
      </c>
      <c r="AV164" s="109">
        <f t="shared" si="231"/>
        <v>3237.363636363636</v>
      </c>
      <c r="AW164" s="109">
        <f t="shared" si="232"/>
        <v>3237.363636363636</v>
      </c>
      <c r="AX164" s="109">
        <f t="shared" si="233"/>
        <v>3237.363636363636</v>
      </c>
      <c r="AY164" s="109">
        <f t="shared" si="234"/>
        <v>3237.363636363636</v>
      </c>
      <c r="AZ164" s="109">
        <f t="shared" si="235"/>
        <v>3237.363636363636</v>
      </c>
    </row>
    <row r="165" spans="2:52">
      <c r="B165" s="86" t="s">
        <v>197</v>
      </c>
      <c r="J165" s="109"/>
      <c r="K165" s="109">
        <f t="shared" ref="K165:N165" ca="1" si="236">+K43+K39</f>
        <v>35611</v>
      </c>
      <c r="L165" s="109">
        <f t="shared" ca="1" si="236"/>
        <v>38848.363636363632</v>
      </c>
      <c r="M165" s="109">
        <f t="shared" ca="1" si="236"/>
        <v>32373.636363636368</v>
      </c>
      <c r="N165" s="109">
        <f t="shared" ca="1" si="236"/>
        <v>32373.636363636364</v>
      </c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>
        <f>+AN43+AN39</f>
        <v>35611</v>
      </c>
      <c r="AO165" s="109">
        <f>SUM(AO155:AO164)</f>
        <v>45323.090909090912</v>
      </c>
      <c r="AP165" s="109">
        <f t="shared" ref="AP165:AZ165" si="237">SUM(AP155:AP164)</f>
        <v>45323.090909090912</v>
      </c>
      <c r="AQ165" s="109">
        <f t="shared" si="237"/>
        <v>38848.363636363632</v>
      </c>
      <c r="AR165" s="109">
        <f t="shared" ca="1" si="237"/>
        <v>38848.363636363632</v>
      </c>
      <c r="AS165" s="109">
        <f t="shared" ca="1" si="237"/>
        <v>38848.363636363632</v>
      </c>
      <c r="AT165" s="109">
        <f t="shared" ca="1" si="237"/>
        <v>32373.636363636364</v>
      </c>
      <c r="AU165" s="109">
        <f t="shared" ca="1" si="237"/>
        <v>32373.636363636364</v>
      </c>
      <c r="AV165" s="109">
        <f t="shared" ca="1" si="237"/>
        <v>32373.636363636364</v>
      </c>
      <c r="AW165" s="109">
        <f t="shared" si="237"/>
        <v>32373.636363636364</v>
      </c>
      <c r="AX165" s="109">
        <f t="shared" si="237"/>
        <v>32373.636363636364</v>
      </c>
      <c r="AY165" s="109">
        <f t="shared" si="237"/>
        <v>32373.636363636364</v>
      </c>
      <c r="AZ165" s="109">
        <f t="shared" si="237"/>
        <v>32373.636363636364</v>
      </c>
    </row>
    <row r="166" spans="2:52">
      <c r="B166" s="68" t="s">
        <v>87</v>
      </c>
      <c r="J166" s="117"/>
      <c r="K166" s="117">
        <f ca="1">K165+K153</f>
        <v>35611</v>
      </c>
      <c r="L166" s="117">
        <f ca="1">L165+L153</f>
        <v>38848.363636363632</v>
      </c>
      <c r="M166" s="117">
        <f ca="1">M165+M153</f>
        <v>32373.636363636368</v>
      </c>
      <c r="N166" s="117">
        <f ca="1">N165+N153</f>
        <v>32373.636363636364</v>
      </c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17"/>
      <c r="AN166" s="117">
        <f t="shared" ref="AN166" si="238">AN165+AN153</f>
        <v>35611</v>
      </c>
      <c r="AO166" s="117">
        <f t="shared" ref="AO166:AV166" si="239">AO165+AO153</f>
        <v>45323.090909090912</v>
      </c>
      <c r="AP166" s="117">
        <f t="shared" si="239"/>
        <v>45323.090909090912</v>
      </c>
      <c r="AQ166" s="117">
        <f t="shared" si="239"/>
        <v>38848.363636363632</v>
      </c>
      <c r="AR166" s="117">
        <f t="shared" ca="1" si="239"/>
        <v>38848.363636363632</v>
      </c>
      <c r="AS166" s="117">
        <f t="shared" ca="1" si="239"/>
        <v>38848.363636363632</v>
      </c>
      <c r="AT166" s="117">
        <f t="shared" ca="1" si="239"/>
        <v>32373.636363636364</v>
      </c>
      <c r="AU166" s="117">
        <f t="shared" ca="1" si="239"/>
        <v>32373.636363636364</v>
      </c>
      <c r="AV166" s="117">
        <f t="shared" ca="1" si="239"/>
        <v>32373.636363636364</v>
      </c>
      <c r="AW166" s="117">
        <f t="shared" ref="AW166:AZ166" si="240">AW165+AW153</f>
        <v>32373.636363636364</v>
      </c>
      <c r="AX166" s="117">
        <f t="shared" si="240"/>
        <v>32373.636363636364</v>
      </c>
      <c r="AY166" s="117">
        <f t="shared" si="240"/>
        <v>32373.636363636364</v>
      </c>
      <c r="AZ166" s="117">
        <f t="shared" si="240"/>
        <v>32373.636363636364</v>
      </c>
    </row>
    <row r="167" spans="2:52"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</row>
    <row r="168" spans="2:52">
      <c r="B168" s="19" t="s">
        <v>196</v>
      </c>
      <c r="C168" s="1" t="s">
        <v>195</v>
      </c>
      <c r="F168" s="116"/>
      <c r="G168" s="116"/>
      <c r="H168" s="116"/>
      <c r="I168" s="116"/>
      <c r="J168" s="112">
        <v>42735</v>
      </c>
      <c r="K168" s="112">
        <v>43100</v>
      </c>
      <c r="L168" s="112">
        <v>43465</v>
      </c>
      <c r="M168" s="112">
        <v>43830</v>
      </c>
      <c r="N168" s="112">
        <v>43830</v>
      </c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12">
        <v>42735</v>
      </c>
      <c r="AK168" s="112">
        <v>42825</v>
      </c>
      <c r="AL168" s="112">
        <v>42916</v>
      </c>
      <c r="AM168" s="112">
        <v>43008</v>
      </c>
      <c r="AN168" s="112">
        <v>43100</v>
      </c>
      <c r="AO168" s="112">
        <f t="shared" ref="AO168:AV168" si="241">DATE(YEAR(AK168)+1,MONTH(AK168),DAY(AK168))</f>
        <v>43190</v>
      </c>
      <c r="AP168" s="112">
        <f t="shared" si="241"/>
        <v>43281</v>
      </c>
      <c r="AQ168" s="112">
        <f t="shared" si="241"/>
        <v>43373</v>
      </c>
      <c r="AR168" s="112">
        <f t="shared" si="241"/>
        <v>43465</v>
      </c>
      <c r="AS168" s="112">
        <f t="shared" si="241"/>
        <v>43555</v>
      </c>
      <c r="AT168" s="112">
        <f t="shared" si="241"/>
        <v>43646</v>
      </c>
      <c r="AU168" s="112">
        <f t="shared" si="241"/>
        <v>43738</v>
      </c>
      <c r="AV168" s="112">
        <f t="shared" si="241"/>
        <v>43830</v>
      </c>
      <c r="AW168" s="112">
        <f t="shared" ref="AW168" si="242">DATE(YEAR(AS168)+1,MONTH(AS168),DAY(AS168))</f>
        <v>43921</v>
      </c>
      <c r="AX168" s="112">
        <f t="shared" ref="AX168" si="243">DATE(YEAR(AT168)+1,MONTH(AT168),DAY(AT168))</f>
        <v>44012</v>
      </c>
      <c r="AY168" s="112">
        <f t="shared" ref="AY168" si="244">DATE(YEAR(AU168)+1,MONTH(AU168),DAY(AU168))</f>
        <v>44104</v>
      </c>
      <c r="AZ168" s="112">
        <f t="shared" ref="AZ168" si="245">DATE(YEAR(AV168)+1,MONTH(AV168),DAY(AV168))</f>
        <v>44196</v>
      </c>
    </row>
    <row r="169" spans="2:52">
      <c r="B169" s="113" t="s">
        <v>194</v>
      </c>
      <c r="F169" s="116"/>
      <c r="G169" s="116"/>
      <c r="H169" s="116"/>
      <c r="I169" s="116"/>
      <c r="J169" s="112"/>
      <c r="K169" s="112"/>
      <c r="L169" s="112"/>
      <c r="M169" s="112"/>
      <c r="N169" s="112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12"/>
      <c r="AK169" s="112"/>
      <c r="AL169" s="112"/>
      <c r="AM169" s="112"/>
      <c r="AN169" s="112"/>
      <c r="AO169" s="112"/>
      <c r="AP169" s="112"/>
      <c r="AQ169" s="112"/>
      <c r="AR169" s="112"/>
      <c r="AS169" s="112"/>
      <c r="AT169" s="112"/>
      <c r="AU169" s="112"/>
      <c r="AV169" s="112"/>
      <c r="AW169" s="112"/>
      <c r="AX169" s="112"/>
      <c r="AY169" s="112"/>
      <c r="AZ169" s="112"/>
    </row>
    <row r="170" spans="2:52">
      <c r="B170" s="114" t="s">
        <v>193</v>
      </c>
      <c r="F170" s="40"/>
      <c r="G170" s="40"/>
      <c r="H170" s="40"/>
      <c r="I170" s="40"/>
      <c r="J170" s="115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</row>
    <row r="171" spans="2:52">
      <c r="B171" s="52" t="s">
        <v>192</v>
      </c>
      <c r="C171" s="112">
        <f>AQ168</f>
        <v>43373</v>
      </c>
      <c r="F171" s="40"/>
      <c r="G171" s="40"/>
      <c r="H171" s="40"/>
      <c r="I171" s="40"/>
      <c r="J171" s="115"/>
      <c r="K171" s="109"/>
      <c r="L171" s="109">
        <f t="shared" ref="L171:M172" ca="1" si="246">SUM(OFFSET($P171,0,L$1,1,4))</f>
        <v>31.017287671232872</v>
      </c>
      <c r="M171" s="109">
        <f t="shared" ca="1" si="246"/>
        <v>0</v>
      </c>
      <c r="N171" s="109">
        <f ca="1">SUM(OFFSET($P171,0,N$1,1,4))</f>
        <v>0</v>
      </c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>
        <f>IF(AO$168&gt;$C171,AN143*$C143*($C171-AN$168)/($L$168-$K$168),AN143*$C143*(AO$168-AN$168)/($L$168-$K$168))</f>
        <v>10.225479452054794</v>
      </c>
      <c r="AP171" s="109">
        <f>IF(AP$168&gt;$C171,AO143*$C143*($C171-AO$168)/($L$168-$K$168),AO143*$C143*(AP$168-AO$168)/($L$168-$K$168))</f>
        <v>10.33909589041096</v>
      </c>
      <c r="AQ171" s="109">
        <f>IF(AQ$168&gt;$C171,AP143*$C143*($C171-AP$168)/($L$168-$K$168),AP143*$C143*(AQ$168-AP$168)/($L$168-$K$168))</f>
        <v>10.452712328767122</v>
      </c>
      <c r="AR171" s="109">
        <f>IF(AR$168&gt;$C171,AQ143*$C143*($C171-AQ$168)/($L$168-$K$168),AQ143*$C143*(AR$168-AQ$168)/($L$168-$K$168))</f>
        <v>0</v>
      </c>
      <c r="AS171" s="109">
        <f ca="1">IF(AS$168&gt;$C171,AR143*$C143*($C171-AR$168)/($M$168-$L$168),AR143*$C143*(AS$168-AR$168)/($M$168-$L$168))</f>
        <v>0</v>
      </c>
      <c r="AT171" s="109">
        <f ca="1">IF(AT$168&gt;$C171,AS143*$C143*($C171-AS$168)/($M$168-$L$168),AS143*$C143*(AT$168-AS$168)/($M$168-$L$168))</f>
        <v>0</v>
      </c>
      <c r="AU171" s="109">
        <f ca="1">IF(AU$168&gt;$C171,AT143*$C143*($C171-AT$168)/($M$168-$L$168),AT143*$C143*(AU$168-AT$168)/($M$168-$L$168))</f>
        <v>0</v>
      </c>
      <c r="AV171" s="109">
        <f ca="1">IF(AV$168&gt;$C171,AU143*$C143*($C171-AU$168)/($M$168-$L$168),AU143*$C143*(AV$168-AU$168)/($M$168-$L$168))</f>
        <v>0</v>
      </c>
      <c r="AW171" s="109">
        <f t="shared" ref="AW171:AZ171" ca="1" si="247">IF(AW$168&gt;$C171,AV143*$C143*($C171-AV$168)/($M$168-$L$168),AV143*$C143*(AW$168-AV$168)/($M$168-$L$168))</f>
        <v>0</v>
      </c>
      <c r="AX171" s="109">
        <f t="shared" si="247"/>
        <v>0</v>
      </c>
      <c r="AY171" s="109">
        <f t="shared" si="247"/>
        <v>0</v>
      </c>
      <c r="AZ171" s="109">
        <f t="shared" si="247"/>
        <v>0</v>
      </c>
    </row>
    <row r="172" spans="2:52">
      <c r="B172" s="52" t="s">
        <v>404</v>
      </c>
      <c r="C172" s="112">
        <v>43462</v>
      </c>
      <c r="F172" s="40"/>
      <c r="G172" s="40"/>
      <c r="H172" s="40"/>
      <c r="I172" s="40"/>
      <c r="J172" s="115"/>
      <c r="K172" s="109"/>
      <c r="L172" s="109">
        <f t="shared" ca="1" si="246"/>
        <v>29.951780821917808</v>
      </c>
      <c r="M172" s="109">
        <f t="shared" ca="1" si="246"/>
        <v>0</v>
      </c>
      <c r="N172" s="109">
        <f ca="1">SUM(OFFSET($P172,0,N$1,1,4))</f>
        <v>0</v>
      </c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>
        <f t="shared" ref="AO172:AV172" si="248">IF(AO$168&gt;$C172,AN144*$C144*($C172-AN$168)/($K$168-$J$168),AN144*$C144*(AO$168-AN$168)/($K$168-$J$168))</f>
        <v>7.4465753424657546</v>
      </c>
      <c r="AP172" s="109">
        <f t="shared" si="248"/>
        <v>7.5293150684931511</v>
      </c>
      <c r="AQ172" s="109">
        <f t="shared" si="248"/>
        <v>7.6120547945205486</v>
      </c>
      <c r="AR172" s="109">
        <f t="shared" si="248"/>
        <v>7.3638356164383563</v>
      </c>
      <c r="AS172" s="109">
        <f t="shared" si="248"/>
        <v>0</v>
      </c>
      <c r="AT172" s="109">
        <f t="shared" si="248"/>
        <v>0</v>
      </c>
      <c r="AU172" s="109">
        <f t="shared" si="248"/>
        <v>0</v>
      </c>
      <c r="AV172" s="109">
        <f t="shared" si="248"/>
        <v>0</v>
      </c>
      <c r="AW172" s="109">
        <f t="shared" ref="AW172" si="249">IF(AW$168&gt;$C172,AV144*$C144*($C172-AV$168)/($K$168-$J$168),AV144*$C144*(AW$168-AV$168)/($K$168-$J$168))</f>
        <v>0</v>
      </c>
      <c r="AX172" s="109">
        <f t="shared" ref="AX172" si="250">IF(AX$168&gt;$C172,AW144*$C144*($C172-AW$168)/($K$168-$J$168),AW144*$C144*(AX$168-AW$168)/($K$168-$J$168))</f>
        <v>0</v>
      </c>
      <c r="AY172" s="109">
        <f t="shared" ref="AY172" si="251">IF(AY$168&gt;$C172,AX144*$C144*($C172-AX$168)/($K$168-$J$168),AX144*$C144*(AY$168-AX$168)/($K$168-$J$168))</f>
        <v>0</v>
      </c>
      <c r="AZ172" s="109">
        <f t="shared" ref="AZ172" si="252">IF(AZ$168&gt;$C172,AY144*$C144*($C172-AY$168)/($K$168-$J$168),AY144*$C144*(AZ$168-AY$168)/($K$168-$J$168))</f>
        <v>0</v>
      </c>
    </row>
    <row r="173" spans="2:52">
      <c r="B173" s="114" t="s">
        <v>191</v>
      </c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</row>
    <row r="174" spans="2:52">
      <c r="B174" s="52" t="s">
        <v>190</v>
      </c>
      <c r="C174" s="112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</row>
    <row r="175" spans="2:52">
      <c r="B175" s="61" t="s">
        <v>189</v>
      </c>
      <c r="C175" s="112">
        <v>44355</v>
      </c>
      <c r="J175" s="109"/>
      <c r="K175" s="109"/>
      <c r="L175" s="109">
        <f t="shared" ref="L175:M177" ca="1" si="253">SUM(OFFSET($P175,0,L$1,1,4))</f>
        <v>70.695549999999997</v>
      </c>
      <c r="M175" s="109">
        <f t="shared" ca="1" si="253"/>
        <v>70.695549999999997</v>
      </c>
      <c r="N175" s="109">
        <f ca="1">SUM(OFFSET($P175,0,N$1,1,4))</f>
        <v>70.889236438356164</v>
      </c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>
        <f t="shared" ref="AO175:AV175" si="254">IF(AO$168&gt;$C175,AN147*$C147*($C175-AN$168)/($K$168-$J$168),AN147*$C147*(AO$168-AN$168)/($K$168-$J$168))</f>
        <v>17.431779452054794</v>
      </c>
      <c r="AP175" s="109">
        <f t="shared" si="254"/>
        <v>17.625465890410958</v>
      </c>
      <c r="AQ175" s="109">
        <f t="shared" si="254"/>
        <v>17.819152328767125</v>
      </c>
      <c r="AR175" s="109">
        <f t="shared" si="254"/>
        <v>17.819152328767125</v>
      </c>
      <c r="AS175" s="109">
        <f t="shared" si="254"/>
        <v>17.431779452054794</v>
      </c>
      <c r="AT175" s="109">
        <f t="shared" si="254"/>
        <v>17.625465890410958</v>
      </c>
      <c r="AU175" s="109">
        <f t="shared" si="254"/>
        <v>17.819152328767125</v>
      </c>
      <c r="AV175" s="109">
        <f t="shared" si="254"/>
        <v>17.819152328767125</v>
      </c>
      <c r="AW175" s="109">
        <f t="shared" ref="AW175:AZ175" si="255">IF(AW$168&gt;$C175,AV147*$C147*($C175-AV$168)/($K$168-$J$168),AV147*$C147*(AW$168-AV$168)/($K$168-$J$168))</f>
        <v>17.625465890410958</v>
      </c>
      <c r="AX175" s="109">
        <f t="shared" si="255"/>
        <v>17.625465890410958</v>
      </c>
      <c r="AY175" s="109">
        <f t="shared" si="255"/>
        <v>17.819152328767125</v>
      </c>
      <c r="AZ175" s="109">
        <f t="shared" si="255"/>
        <v>17.819152328767125</v>
      </c>
    </row>
    <row r="176" spans="2:52">
      <c r="B176" s="61" t="s">
        <v>188</v>
      </c>
      <c r="C176" s="112">
        <v>44530</v>
      </c>
      <c r="J176" s="109"/>
      <c r="K176" s="109"/>
      <c r="L176" s="109">
        <f t="shared" ca="1" si="253"/>
        <v>35.180250000000001</v>
      </c>
      <c r="M176" s="109">
        <f t="shared" ca="1" si="253"/>
        <v>35.180250000000001</v>
      </c>
      <c r="N176" s="109">
        <f ca="1">SUM(OFFSET($P176,0,N$1,1,4))</f>
        <v>35.276634246575348</v>
      </c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>
        <f t="shared" ref="AO176:AV176" si="256">IF(AO$168&gt;$C176,AN148*$C148*($C176-AN$168)/($K$168-$J$168),AN148*$C148*(AO$168-AN$168)/($K$168-$J$168))</f>
        <v>8.6745821917808215</v>
      </c>
      <c r="AP176" s="109">
        <f t="shared" si="256"/>
        <v>8.7709664383561652</v>
      </c>
      <c r="AQ176" s="109">
        <f t="shared" si="256"/>
        <v>8.8673506849315071</v>
      </c>
      <c r="AR176" s="109">
        <f t="shared" si="256"/>
        <v>8.8673506849315071</v>
      </c>
      <c r="AS176" s="109">
        <f t="shared" si="256"/>
        <v>8.6745821917808215</v>
      </c>
      <c r="AT176" s="109">
        <f t="shared" si="256"/>
        <v>8.7709664383561652</v>
      </c>
      <c r="AU176" s="109">
        <f t="shared" si="256"/>
        <v>8.8673506849315071</v>
      </c>
      <c r="AV176" s="109">
        <f t="shared" si="256"/>
        <v>8.8673506849315071</v>
      </c>
      <c r="AW176" s="109">
        <f t="shared" ref="AW176:AZ176" si="257">IF(AW$168&gt;$C176,AV148*$C148*($C176-AV$168)/($K$168-$J$168),AV148*$C148*(AW$168-AV$168)/($K$168-$J$168))</f>
        <v>8.7709664383561652</v>
      </c>
      <c r="AX176" s="109">
        <f t="shared" si="257"/>
        <v>8.7709664383561652</v>
      </c>
      <c r="AY176" s="109">
        <f t="shared" si="257"/>
        <v>8.8673506849315071</v>
      </c>
      <c r="AZ176" s="109">
        <f t="shared" si="257"/>
        <v>8.8673506849315071</v>
      </c>
    </row>
    <row r="177" spans="2:52">
      <c r="B177" s="61" t="s">
        <v>188</v>
      </c>
      <c r="C177" s="112">
        <v>44530</v>
      </c>
      <c r="J177" s="109"/>
      <c r="K177" s="109"/>
      <c r="L177" s="109">
        <f t="shared" ca="1" si="253"/>
        <v>46.571950000000001</v>
      </c>
      <c r="M177" s="109">
        <f t="shared" ca="1" si="253"/>
        <v>46.571950000000001</v>
      </c>
      <c r="N177" s="109">
        <f ca="1">SUM(OFFSET($P177,0,N$1,1,4))</f>
        <v>46.699544383561644</v>
      </c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>
        <f t="shared" ref="AO177:AV177" si="258">IF(AO$168&gt;$C177,AN149*$C149*($C177-AN$168)/($K$168-$J$168),AN149*$C149*(AO$168-AN$168)/($K$168-$J$168))</f>
        <v>11.483494520547945</v>
      </c>
      <c r="AP177" s="109">
        <f t="shared" si="258"/>
        <v>11.611088904109586</v>
      </c>
      <c r="AQ177" s="109">
        <f t="shared" si="258"/>
        <v>11.738683287671233</v>
      </c>
      <c r="AR177" s="109">
        <f t="shared" si="258"/>
        <v>11.738683287671233</v>
      </c>
      <c r="AS177" s="109">
        <f t="shared" si="258"/>
        <v>11.483494520547945</v>
      </c>
      <c r="AT177" s="109">
        <f t="shared" si="258"/>
        <v>11.611088904109586</v>
      </c>
      <c r="AU177" s="109">
        <f t="shared" si="258"/>
        <v>11.738683287671233</v>
      </c>
      <c r="AV177" s="109">
        <f t="shared" si="258"/>
        <v>11.738683287671233</v>
      </c>
      <c r="AW177" s="109">
        <f t="shared" ref="AW177:AZ177" si="259">IF(AW$168&gt;$C177,AV149*$C149*($C177-AV$168)/($K$168-$J$168),AV149*$C149*(AW$168-AV$168)/($K$168-$J$168))</f>
        <v>11.611088904109586</v>
      </c>
      <c r="AX177" s="109">
        <f t="shared" si="259"/>
        <v>11.611088904109586</v>
      </c>
      <c r="AY177" s="109">
        <f t="shared" si="259"/>
        <v>11.738683287671233</v>
      </c>
      <c r="AZ177" s="109">
        <f t="shared" si="259"/>
        <v>11.738683287671233</v>
      </c>
    </row>
    <row r="178" spans="2:52">
      <c r="B178" s="61"/>
      <c r="C178" s="112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</row>
    <row r="179" spans="2:52">
      <c r="B179" s="113" t="s">
        <v>187</v>
      </c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</row>
    <row r="180" spans="2:52">
      <c r="B180" s="3" t="s">
        <v>186</v>
      </c>
      <c r="C180" s="112">
        <v>43125</v>
      </c>
      <c r="J180" s="109"/>
      <c r="K180" s="109"/>
      <c r="L180" s="109">
        <f ca="1">SUM(OFFSET($P180,0,L$1,1,4))</f>
        <v>0</v>
      </c>
      <c r="M180" s="109">
        <f ca="1">SUM(OFFSET($P180,0,M$1,1,4))</f>
        <v>0</v>
      </c>
      <c r="N180" s="109">
        <f ca="1">SUM(OFFSET($P180,0,N$1,1,4))</f>
        <v>0</v>
      </c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>
        <f t="shared" ref="AO180:AV180" si="260">IF(AO$168&gt;$C180,AN153*$C153*($C180-AN$168)/($K$168-$J$168),AN153*$C153*(AO$168-AN$168)/($K$168-$J$168))</f>
        <v>0</v>
      </c>
      <c r="AP180" s="109">
        <f t="shared" si="260"/>
        <v>0</v>
      </c>
      <c r="AQ180" s="109">
        <f t="shared" si="260"/>
        <v>0</v>
      </c>
      <c r="AR180" s="109">
        <f t="shared" si="260"/>
        <v>0</v>
      </c>
      <c r="AS180" s="109">
        <f t="shared" si="260"/>
        <v>0</v>
      </c>
      <c r="AT180" s="109">
        <f t="shared" si="260"/>
        <v>0</v>
      </c>
      <c r="AU180" s="109">
        <f t="shared" si="260"/>
        <v>0</v>
      </c>
      <c r="AV180" s="109">
        <f t="shared" si="260"/>
        <v>0</v>
      </c>
      <c r="AW180" s="109">
        <f t="shared" ref="AW180" si="261">IF(AW$168&gt;$C180,AV153*$C153*($C180-AV$168)/($K$168-$J$168),AV153*$C153*(AW$168-AV$168)/($K$168-$J$168))</f>
        <v>0</v>
      </c>
      <c r="AX180" s="109">
        <f t="shared" ref="AX180" si="262">IF(AX$168&gt;$C180,AW153*$C153*($C180-AW$168)/($K$168-$J$168),AW153*$C153*(AX$168-AW$168)/($K$168-$J$168))</f>
        <v>0</v>
      </c>
      <c r="AY180" s="109">
        <f t="shared" ref="AY180" si="263">IF(AY$168&gt;$C180,AX153*$C153*($C180-AX$168)/($K$168-$J$168),AX153*$C153*(AY$168-AX$168)/($K$168-$J$168))</f>
        <v>0</v>
      </c>
      <c r="AZ180" s="109">
        <f t="shared" ref="AZ180" si="264">IF(AZ$168&gt;$C180,AY153*$C153*($C180-AY$168)/($K$168-$J$168),AY153*$C153*(AZ$168-AY$168)/($K$168-$J$168))</f>
        <v>0</v>
      </c>
    </row>
    <row r="181" spans="2:52">
      <c r="B181" s="3" t="s">
        <v>185</v>
      </c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</row>
    <row r="182" spans="2:52">
      <c r="B182" s="52" t="s">
        <v>184</v>
      </c>
      <c r="C182" s="112">
        <v>43067</v>
      </c>
      <c r="J182" s="109"/>
      <c r="K182" s="109"/>
      <c r="L182" s="109">
        <f t="shared" ref="L182:M191" ca="1" si="265">SUM(OFFSET($P182,0,L$1,1,4))</f>
        <v>0</v>
      </c>
      <c r="M182" s="109">
        <f t="shared" ca="1" si="265"/>
        <v>0</v>
      </c>
      <c r="N182" s="109">
        <f t="shared" ref="N182:N191" ca="1" si="266">SUM(OFFSET($P182,0,N$1,1,4))</f>
        <v>0</v>
      </c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>
        <f t="shared" ref="AO182:AV182" si="267">IF(AO$168&gt;$C182,AN155*$C155*($C182-AN$168)/($K$168-$J$168),AN155*$C155*(AO$168-AN$168)/($K$168-$J$168))</f>
        <v>0</v>
      </c>
      <c r="AP182" s="109">
        <f t="shared" si="267"/>
        <v>0</v>
      </c>
      <c r="AQ182" s="109">
        <f t="shared" si="267"/>
        <v>0</v>
      </c>
      <c r="AR182" s="109">
        <f t="shared" si="267"/>
        <v>0</v>
      </c>
      <c r="AS182" s="109">
        <f t="shared" ca="1" si="267"/>
        <v>0</v>
      </c>
      <c r="AT182" s="109">
        <f t="shared" ca="1" si="267"/>
        <v>0</v>
      </c>
      <c r="AU182" s="109">
        <f t="shared" ca="1" si="267"/>
        <v>0</v>
      </c>
      <c r="AV182" s="109">
        <f t="shared" ca="1" si="267"/>
        <v>0</v>
      </c>
      <c r="AW182" s="109">
        <f t="shared" ref="AW182:AZ182" ca="1" si="268">IF(AW$168&gt;$C182,AV155*$C155*($C182-AV$168)/($K$168-$J$168),AV155*$C155*(AW$168-AV$168)/($K$168-$J$168))</f>
        <v>0</v>
      </c>
      <c r="AX182" s="109">
        <f t="shared" si="268"/>
        <v>0</v>
      </c>
      <c r="AY182" s="109">
        <f t="shared" si="268"/>
        <v>0</v>
      </c>
      <c r="AZ182" s="109">
        <f t="shared" si="268"/>
        <v>0</v>
      </c>
    </row>
    <row r="183" spans="2:52">
      <c r="B183" s="52" t="s">
        <v>183</v>
      </c>
      <c r="C183" s="112">
        <v>44893</v>
      </c>
      <c r="J183" s="109"/>
      <c r="K183" s="109"/>
      <c r="L183" s="109">
        <f t="shared" ca="1" si="265"/>
        <v>169.96159090909094</v>
      </c>
      <c r="M183" s="109">
        <f t="shared" ca="1" si="265"/>
        <v>169.96159090909094</v>
      </c>
      <c r="N183" s="109">
        <f t="shared" ca="1" si="266"/>
        <v>170.42723910336241</v>
      </c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>
        <f t="shared" ref="AO183:AV183" si="269">IF(AO$168&gt;$C183,AN156*$C156*($C183-AN$168)/($K$168-$J$168),AN156*$C156*(AO$168-AN$168)/($K$168-$J$168))</f>
        <v>41.908337484433375</v>
      </c>
      <c r="AP183" s="109">
        <f t="shared" si="269"/>
        <v>42.373985678704862</v>
      </c>
      <c r="AQ183" s="109">
        <f t="shared" si="269"/>
        <v>42.839633872976343</v>
      </c>
      <c r="AR183" s="109">
        <f t="shared" si="269"/>
        <v>42.839633872976343</v>
      </c>
      <c r="AS183" s="109">
        <f t="shared" si="269"/>
        <v>41.908337484433375</v>
      </c>
      <c r="AT183" s="109">
        <f t="shared" si="269"/>
        <v>42.373985678704862</v>
      </c>
      <c r="AU183" s="109">
        <f t="shared" si="269"/>
        <v>42.839633872976343</v>
      </c>
      <c r="AV183" s="109">
        <f t="shared" si="269"/>
        <v>42.839633872976343</v>
      </c>
      <c r="AW183" s="109">
        <f t="shared" ref="AW183:AZ183" si="270">IF(AW$168&gt;$C183,AV156*$C156*($C183-AV$168)/($K$168-$J$168),AV156*$C156*(AW$168-AV$168)/($K$168-$J$168))</f>
        <v>42.373985678704862</v>
      </c>
      <c r="AX183" s="109">
        <f t="shared" si="270"/>
        <v>42.373985678704862</v>
      </c>
      <c r="AY183" s="109">
        <f t="shared" si="270"/>
        <v>42.839633872976343</v>
      </c>
      <c r="AZ183" s="109">
        <f t="shared" si="270"/>
        <v>42.839633872976343</v>
      </c>
    </row>
    <row r="184" spans="2:52">
      <c r="B184" s="52" t="s">
        <v>182</v>
      </c>
      <c r="C184" s="112">
        <v>43318</v>
      </c>
      <c r="J184" s="109"/>
      <c r="K184" s="109"/>
      <c r="L184" s="109">
        <f t="shared" ca="1" si="265"/>
        <v>125.68066500622665</v>
      </c>
      <c r="M184" s="109">
        <f t="shared" ca="1" si="265"/>
        <v>0</v>
      </c>
      <c r="N184" s="109">
        <f t="shared" ca="1" si="266"/>
        <v>0</v>
      </c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>
        <f t="shared" ref="AO184:AV184" si="271">IF(AO$168&gt;$C184,AN157*$C157*($C184-AN$168)/($K$168-$J$168),AN157*$C157*(AO$168-AN$168)/($K$168-$J$168))</f>
        <v>51.886513075965134</v>
      </c>
      <c r="AP184" s="109">
        <f t="shared" si="271"/>
        <v>52.4630298879203</v>
      </c>
      <c r="AQ184" s="109">
        <f t="shared" si="271"/>
        <v>21.331122042341221</v>
      </c>
      <c r="AR184" s="109">
        <f t="shared" si="271"/>
        <v>0</v>
      </c>
      <c r="AS184" s="109">
        <f t="shared" ca="1" si="271"/>
        <v>0</v>
      </c>
      <c r="AT184" s="109">
        <f t="shared" ca="1" si="271"/>
        <v>0</v>
      </c>
      <c r="AU184" s="109">
        <f t="shared" ca="1" si="271"/>
        <v>0</v>
      </c>
      <c r="AV184" s="109">
        <f t="shared" ca="1" si="271"/>
        <v>0</v>
      </c>
      <c r="AW184" s="109">
        <f t="shared" ref="AW184:AZ184" ca="1" si="272">IF(AW$168&gt;$C184,AV157*$C157*($C184-AV$168)/($K$168-$J$168),AV157*$C157*(AW$168-AV$168)/($K$168-$J$168))</f>
        <v>0</v>
      </c>
      <c r="AX184" s="109">
        <f t="shared" si="272"/>
        <v>0</v>
      </c>
      <c r="AY184" s="109">
        <f t="shared" si="272"/>
        <v>0</v>
      </c>
      <c r="AZ184" s="109">
        <f t="shared" si="272"/>
        <v>0</v>
      </c>
    </row>
    <row r="185" spans="2:52">
      <c r="B185" s="52" t="s">
        <v>181</v>
      </c>
      <c r="C185" s="112">
        <v>43625</v>
      </c>
      <c r="J185" s="109"/>
      <c r="K185" s="109"/>
      <c r="L185" s="109">
        <f t="shared" ca="1" si="265"/>
        <v>178.05500000000001</v>
      </c>
      <c r="M185" s="109">
        <f t="shared" ca="1" si="265"/>
        <v>78.051506849315075</v>
      </c>
      <c r="N185" s="109">
        <f t="shared" ca="1" si="266"/>
        <v>0</v>
      </c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>
        <f t="shared" ref="AO185:AV185" si="273">IF(AO$168&gt;$C185,AN158*$C158*($C185-AN$168)/($K$168-$J$168),AN158*$C158*(AO$168-AN$168)/($K$168-$J$168))</f>
        <v>43.903972602739728</v>
      </c>
      <c r="AP185" s="109">
        <f t="shared" si="273"/>
        <v>44.391794520547947</v>
      </c>
      <c r="AQ185" s="109">
        <f t="shared" si="273"/>
        <v>44.879616438356166</v>
      </c>
      <c r="AR185" s="109">
        <f t="shared" si="273"/>
        <v>44.879616438356166</v>
      </c>
      <c r="AS185" s="109">
        <f t="shared" si="273"/>
        <v>43.903972602739728</v>
      </c>
      <c r="AT185" s="109">
        <f t="shared" si="273"/>
        <v>34.14753424657534</v>
      </c>
      <c r="AU185" s="109">
        <f t="shared" si="273"/>
        <v>0</v>
      </c>
      <c r="AV185" s="109">
        <f t="shared" si="273"/>
        <v>0</v>
      </c>
      <c r="AW185" s="109">
        <f t="shared" ref="AW185:AZ185" ca="1" si="274">IF(AW$168&gt;$C185,AV158*$C158*($C185-AV$168)/($K$168-$J$168),AV158*$C158*(AW$168-AV$168)/($K$168-$J$168))</f>
        <v>0</v>
      </c>
      <c r="AX185" s="109">
        <f t="shared" si="274"/>
        <v>0</v>
      </c>
      <c r="AY185" s="109">
        <f t="shared" si="274"/>
        <v>0</v>
      </c>
      <c r="AZ185" s="109">
        <f t="shared" si="274"/>
        <v>0</v>
      </c>
    </row>
    <row r="186" spans="2:52">
      <c r="B186" s="52" t="s">
        <v>180</v>
      </c>
      <c r="C186" s="111">
        <v>44012</v>
      </c>
      <c r="D186" s="110"/>
      <c r="E186" s="110"/>
      <c r="J186" s="109"/>
      <c r="K186" s="109"/>
      <c r="L186" s="109">
        <f t="shared" ca="1" si="265"/>
        <v>145.68136363636361</v>
      </c>
      <c r="M186" s="109">
        <f t="shared" ca="1" si="265"/>
        <v>145.68136363636361</v>
      </c>
      <c r="N186" s="109">
        <f t="shared" ca="1" si="266"/>
        <v>35.921432129514322</v>
      </c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>
        <f t="shared" ref="AO186:AV186" si="275">IF(AO$168&gt;$C186,AN159*$C159*($C186-AN$168)/($K$168-$J$168),AN159*$C159*(AO$168-AN$168)/($K$168-$J$168))</f>
        <v>35.921432129514315</v>
      </c>
      <c r="AP186" s="109">
        <f t="shared" si="275"/>
        <v>36.320559153175587</v>
      </c>
      <c r="AQ186" s="109">
        <f t="shared" si="275"/>
        <v>36.719686176836852</v>
      </c>
      <c r="AR186" s="109">
        <f t="shared" si="275"/>
        <v>36.719686176836852</v>
      </c>
      <c r="AS186" s="109">
        <f t="shared" si="275"/>
        <v>35.921432129514315</v>
      </c>
      <c r="AT186" s="109">
        <f t="shared" si="275"/>
        <v>36.320559153175587</v>
      </c>
      <c r="AU186" s="109">
        <f t="shared" si="275"/>
        <v>36.719686176836852</v>
      </c>
      <c r="AV186" s="109">
        <f t="shared" si="275"/>
        <v>36.719686176836852</v>
      </c>
      <c r="AW186" s="109">
        <f t="shared" ref="AW186:AZ186" si="276">IF(AW$168&gt;$C186,AV159*$C159*($C186-AV$168)/($K$168-$J$168),AV159*$C159*(AW$168-AV$168)/($K$168-$J$168))</f>
        <v>36.320559153175587</v>
      </c>
      <c r="AX186" s="109">
        <f t="shared" si="276"/>
        <v>36.320559153175587</v>
      </c>
      <c r="AY186" s="109">
        <f t="shared" si="276"/>
        <v>0</v>
      </c>
      <c r="AZ186" s="109">
        <f t="shared" si="276"/>
        <v>-36.719686176836852</v>
      </c>
    </row>
    <row r="187" spans="2:52">
      <c r="B187" s="52" t="s">
        <v>179</v>
      </c>
      <c r="C187" s="111">
        <v>45838</v>
      </c>
      <c r="D187" s="110"/>
      <c r="E187" s="110"/>
      <c r="F187" s="110"/>
      <c r="G187" s="40"/>
      <c r="H187" s="40"/>
      <c r="I187" s="40"/>
      <c r="J187" s="109"/>
      <c r="K187" s="109"/>
      <c r="L187" s="109">
        <f t="shared" ca="1" si="265"/>
        <v>133.70311818181824</v>
      </c>
      <c r="M187" s="109">
        <f t="shared" ca="1" si="265"/>
        <v>133.70311818181824</v>
      </c>
      <c r="N187" s="109">
        <f t="shared" ca="1" si="266"/>
        <v>134.06942809464513</v>
      </c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>
        <f t="shared" ref="AO187:AV187" si="277">IF(AO$168&gt;$C187,AN160*$C160*($C187-AN$168)/($K$168-$J$168),AN160*$C160*(AO$168-AN$168)/($K$168-$J$168))</f>
        <v>32.96789215442093</v>
      </c>
      <c r="AP187" s="109">
        <f t="shared" si="277"/>
        <v>33.33420206724783</v>
      </c>
      <c r="AQ187" s="109">
        <f t="shared" si="277"/>
        <v>33.700511980074729</v>
      </c>
      <c r="AR187" s="109">
        <f t="shared" si="277"/>
        <v>33.700511980074729</v>
      </c>
      <c r="AS187" s="109">
        <f t="shared" si="277"/>
        <v>32.96789215442093</v>
      </c>
      <c r="AT187" s="109">
        <f t="shared" si="277"/>
        <v>33.33420206724783</v>
      </c>
      <c r="AU187" s="109">
        <f t="shared" si="277"/>
        <v>33.700511980074729</v>
      </c>
      <c r="AV187" s="109">
        <f t="shared" si="277"/>
        <v>33.700511980074729</v>
      </c>
      <c r="AW187" s="109">
        <f t="shared" ref="AW187:AZ187" si="278">IF(AW$168&gt;$C187,AV160*$C160*($C187-AV$168)/($K$168-$J$168),AV160*$C160*(AW$168-AV$168)/($K$168-$J$168))</f>
        <v>33.33420206724783</v>
      </c>
      <c r="AX187" s="109">
        <f t="shared" si="278"/>
        <v>33.33420206724783</v>
      </c>
      <c r="AY187" s="109">
        <f t="shared" si="278"/>
        <v>33.700511980074729</v>
      </c>
      <c r="AZ187" s="109">
        <f t="shared" si="278"/>
        <v>33.700511980074729</v>
      </c>
    </row>
    <row r="188" spans="2:52">
      <c r="B188" s="52" t="s">
        <v>178</v>
      </c>
      <c r="C188" s="111">
        <v>44738</v>
      </c>
      <c r="D188" s="110"/>
      <c r="E188" s="110"/>
      <c r="F188" s="110"/>
      <c r="G188" s="40"/>
      <c r="H188" s="40"/>
      <c r="I188" s="40"/>
      <c r="J188" s="109"/>
      <c r="K188" s="109"/>
      <c r="L188" s="109">
        <f t="shared" ca="1" si="265"/>
        <v>167.53356818181817</v>
      </c>
      <c r="M188" s="109">
        <f t="shared" ca="1" si="265"/>
        <v>167.53356818181817</v>
      </c>
      <c r="N188" s="109">
        <f t="shared" ca="1" si="266"/>
        <v>167.99256425902863</v>
      </c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>
        <f t="shared" ref="AO188:AV188" si="279">IF(AO$168&gt;$C188,AN161*$C161*($C188-AN$168)/($K$168-$J$168),AN161*$C161*(AO$168-AN$168)/($K$168-$J$168))</f>
        <v>41.30964694894147</v>
      </c>
      <c r="AP188" s="109">
        <f t="shared" si="279"/>
        <v>41.768643026151928</v>
      </c>
      <c r="AQ188" s="109">
        <f t="shared" si="279"/>
        <v>42.227639103362385</v>
      </c>
      <c r="AR188" s="109">
        <f t="shared" si="279"/>
        <v>42.227639103362385</v>
      </c>
      <c r="AS188" s="109">
        <f t="shared" si="279"/>
        <v>41.30964694894147</v>
      </c>
      <c r="AT188" s="109">
        <f t="shared" si="279"/>
        <v>41.768643026151928</v>
      </c>
      <c r="AU188" s="109">
        <f t="shared" si="279"/>
        <v>42.227639103362385</v>
      </c>
      <c r="AV188" s="109">
        <f t="shared" si="279"/>
        <v>42.227639103362385</v>
      </c>
      <c r="AW188" s="109">
        <f t="shared" ref="AW188:AZ188" si="280">IF(AW$168&gt;$C188,AV161*$C161*($C188-AV$168)/($K$168-$J$168),AV161*$C161*(AW$168-AV$168)/($K$168-$J$168))</f>
        <v>41.768643026151928</v>
      </c>
      <c r="AX188" s="109">
        <f t="shared" si="280"/>
        <v>41.768643026151928</v>
      </c>
      <c r="AY188" s="109">
        <f t="shared" si="280"/>
        <v>42.227639103362385</v>
      </c>
      <c r="AZ188" s="109">
        <f t="shared" si="280"/>
        <v>42.227639103362385</v>
      </c>
    </row>
    <row r="189" spans="2:52">
      <c r="B189" s="52" t="s">
        <v>177</v>
      </c>
      <c r="C189" s="111">
        <v>46564</v>
      </c>
      <c r="D189" s="110"/>
      <c r="E189" s="110"/>
      <c r="F189" s="110"/>
      <c r="G189" s="40"/>
      <c r="H189" s="40"/>
      <c r="I189" s="40"/>
      <c r="J189" s="109"/>
      <c r="K189" s="109"/>
      <c r="L189" s="109">
        <f t="shared" ca="1" si="265"/>
        <v>140.82531818181815</v>
      </c>
      <c r="M189" s="109">
        <f t="shared" ca="1" si="265"/>
        <v>140.82531818181815</v>
      </c>
      <c r="N189" s="109">
        <f t="shared" ca="1" si="266"/>
        <v>141.21114097135739</v>
      </c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>
        <f t="shared" ref="AO189:AV189" si="281">IF(AO$168&gt;$C189,AN162*$C162*($C189-AN$168)/($K$168-$J$168),AN162*$C162*(AO$168-AN$168)/($K$168-$J$168))</f>
        <v>34.724051058530499</v>
      </c>
      <c r="AP189" s="109">
        <f t="shared" si="281"/>
        <v>35.109873848069732</v>
      </c>
      <c r="AQ189" s="109">
        <f t="shared" si="281"/>
        <v>35.495696637608958</v>
      </c>
      <c r="AR189" s="109">
        <f t="shared" si="281"/>
        <v>35.495696637608958</v>
      </c>
      <c r="AS189" s="109">
        <f t="shared" si="281"/>
        <v>34.724051058530499</v>
      </c>
      <c r="AT189" s="109">
        <f t="shared" si="281"/>
        <v>35.109873848069732</v>
      </c>
      <c r="AU189" s="109">
        <f t="shared" si="281"/>
        <v>35.495696637608958</v>
      </c>
      <c r="AV189" s="109">
        <f t="shared" si="281"/>
        <v>35.495696637608958</v>
      </c>
      <c r="AW189" s="109">
        <f t="shared" ref="AW189:AZ189" si="282">IF(AW$168&gt;$C189,AV162*$C162*($C189-AV$168)/($K$168-$J$168),AV162*$C162*(AW$168-AV$168)/($K$168-$J$168))</f>
        <v>35.109873848069732</v>
      </c>
      <c r="AX189" s="109">
        <f t="shared" si="282"/>
        <v>35.109873848069732</v>
      </c>
      <c r="AY189" s="109">
        <f t="shared" si="282"/>
        <v>35.495696637608958</v>
      </c>
      <c r="AZ189" s="109">
        <f t="shared" si="282"/>
        <v>35.495696637608958</v>
      </c>
    </row>
    <row r="190" spans="2:52">
      <c r="B190" s="52" t="s">
        <v>405</v>
      </c>
      <c r="C190" s="111">
        <v>45198</v>
      </c>
      <c r="D190" s="110"/>
      <c r="E190" s="110"/>
      <c r="F190" s="110"/>
      <c r="G190" s="40"/>
      <c r="H190" s="40"/>
      <c r="I190" s="40"/>
      <c r="J190" s="109"/>
      <c r="K190" s="109"/>
      <c r="L190" s="109">
        <f t="shared" ca="1" si="265"/>
        <v>189.03099315068491</v>
      </c>
      <c r="M190" s="109">
        <f t="shared" ca="1" si="265"/>
        <v>250.8956818181818</v>
      </c>
      <c r="N190" s="109">
        <f t="shared" ca="1" si="266"/>
        <v>251.58306724782065</v>
      </c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>
        <f t="shared" ref="AO190:AO191" si="283">IF(AO$168&gt;$C190,AN163*$C163*($C190-AN$168)/($K$168-$J$168),AN163*$C163*(AO$168-AN$168)/($K$168-$J$168))</f>
        <v>0</v>
      </c>
      <c r="AP190" s="109">
        <f t="shared" ref="AP190:AP191" si="284">IF(AP$168&gt;$C190,AO163*$C163*($C190-AO$168)/($K$168-$J$168),AO163*$C163*(AP$168-AO$168)/($K$168-$J$168))</f>
        <v>62.55207409713573</v>
      </c>
      <c r="AQ190" s="109">
        <f t="shared" ref="AQ190:AQ191" si="285">IF(AQ$168&gt;$C190,AP163*$C163*($C190-AP$168)/($K$168-$J$168),AP163*$C163*(AQ$168-AP$168)/($K$168-$J$168))</f>
        <v>63.239459526774588</v>
      </c>
      <c r="AR190" s="109">
        <f t="shared" ref="AR190:AR191" si="286">IF(AR$168&gt;$C190,AQ163*$C163*($C190-AQ$168)/($K$168-$J$168),AQ163*$C163*(AR$168-AQ$168)/($K$168-$J$168))</f>
        <v>63.239459526774588</v>
      </c>
      <c r="AS190" s="109">
        <f t="shared" ref="AS190:AS191" si="287">IF(AS$168&gt;$C190,AR163*$C163*($C190-AR$168)/($K$168-$J$168),AR163*$C163*(AS$168-AR$168)/($K$168-$J$168))</f>
        <v>61.864688667496885</v>
      </c>
      <c r="AT190" s="109">
        <f t="shared" ref="AT190:AT191" si="288">IF(AT$168&gt;$C190,AS163*$C163*($C190-AS$168)/($K$168-$J$168),AS163*$C163*(AT$168-AS$168)/($K$168-$J$168))</f>
        <v>62.55207409713573</v>
      </c>
      <c r="AU190" s="109">
        <f t="shared" ref="AU190:AU191" si="289">IF(AU$168&gt;$C190,AT163*$C163*($C190-AT$168)/($K$168-$J$168),AT163*$C163*(AU$168-AT$168)/($K$168-$J$168))</f>
        <v>63.239459526774588</v>
      </c>
      <c r="AV190" s="109">
        <f t="shared" ref="AV190:AZ191" si="290">IF(AV$168&gt;$C190,AU163*$C163*($C190-AU$168)/($K$168-$J$168),AU163*$C163*(AV$168-AU$168)/($K$168-$J$168))</f>
        <v>63.239459526774588</v>
      </c>
      <c r="AW190" s="109">
        <f t="shared" si="290"/>
        <v>62.55207409713573</v>
      </c>
      <c r="AX190" s="109">
        <f t="shared" si="290"/>
        <v>62.55207409713573</v>
      </c>
      <c r="AY190" s="109">
        <f t="shared" si="290"/>
        <v>63.239459526774588</v>
      </c>
      <c r="AZ190" s="109">
        <f t="shared" si="290"/>
        <v>63.239459526774588</v>
      </c>
    </row>
    <row r="191" spans="2:52">
      <c r="B191" s="52" t="s">
        <v>406</v>
      </c>
      <c r="C191" s="111">
        <v>46841</v>
      </c>
      <c r="D191" s="110"/>
      <c r="E191" s="110"/>
      <c r="F191" s="110"/>
      <c r="G191" s="40"/>
      <c r="H191" s="40"/>
      <c r="I191" s="40"/>
      <c r="J191" s="109"/>
      <c r="K191" s="109"/>
      <c r="L191" s="109">
        <f t="shared" ca="1" si="265"/>
        <v>106.71104452054792</v>
      </c>
      <c r="M191" s="109">
        <f t="shared" ca="1" si="265"/>
        <v>141.63465909090905</v>
      </c>
      <c r="N191" s="109">
        <f t="shared" ca="1" si="266"/>
        <v>142.02269925280194</v>
      </c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>
        <f t="shared" si="283"/>
        <v>0</v>
      </c>
      <c r="AP191" s="109">
        <f t="shared" si="284"/>
        <v>35.311654732254034</v>
      </c>
      <c r="AQ191" s="109">
        <f t="shared" si="285"/>
        <v>35.699694894146944</v>
      </c>
      <c r="AR191" s="109">
        <f t="shared" si="286"/>
        <v>35.699694894146944</v>
      </c>
      <c r="AS191" s="109">
        <f t="shared" si="287"/>
        <v>34.923614570361138</v>
      </c>
      <c r="AT191" s="109">
        <f t="shared" si="288"/>
        <v>35.311654732254034</v>
      </c>
      <c r="AU191" s="109">
        <f t="shared" si="289"/>
        <v>35.699694894146944</v>
      </c>
      <c r="AV191" s="109">
        <f t="shared" si="290"/>
        <v>35.699694894146944</v>
      </c>
      <c r="AW191" s="109">
        <f t="shared" ref="AW191:AZ191" si="291">IF(AW$168&gt;$C191,AV164*$C164*($C191-AV$168)/($K$168-$J$168),AV164*$C164*(AW$168-AV$168)/($K$168-$J$168))</f>
        <v>35.311654732254034</v>
      </c>
      <c r="AX191" s="109">
        <f t="shared" si="291"/>
        <v>35.311654732254034</v>
      </c>
      <c r="AY191" s="109">
        <f t="shared" si="291"/>
        <v>35.699694894146944</v>
      </c>
      <c r="AZ191" s="109">
        <f t="shared" si="291"/>
        <v>35.699694894146944</v>
      </c>
    </row>
    <row r="192" spans="2:52">
      <c r="B192" s="86"/>
      <c r="C192" s="10"/>
      <c r="D192" s="10"/>
      <c r="E192" s="10"/>
      <c r="F192" s="10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</row>
    <row r="193" spans="2:59">
      <c r="B193" s="11" t="s">
        <v>176</v>
      </c>
      <c r="C193" s="10"/>
      <c r="D193" s="10"/>
      <c r="E193" s="10"/>
      <c r="F193" s="10"/>
      <c r="J193" s="109"/>
      <c r="K193" s="109">
        <f ca="1">SUM(OFFSET($P193,0,K$1,1,4))</f>
        <v>1614.366</v>
      </c>
      <c r="L193" s="109">
        <f ca="1">SUM(OFFSET($P193,0,L$1,1,4))</f>
        <v>1570.5994802615191</v>
      </c>
      <c r="M193" s="109">
        <f ca="1">SUM(OFFSET($P193,0,M$1,1,4))</f>
        <v>1380.7345568493149</v>
      </c>
      <c r="N193" s="109">
        <f ca="1">SUM(OFFSET($P193,0,N$1,1,4))</f>
        <v>1196.0929861270236</v>
      </c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>
        <f>-BIDU_IS!AK127</f>
        <v>323.36599999999999</v>
      </c>
      <c r="AL193" s="109">
        <f>-BIDU_IS!AL127</f>
        <v>334</v>
      </c>
      <c r="AM193" s="109">
        <f>-BIDU_IS!AM127</f>
        <v>557</v>
      </c>
      <c r="AN193" s="109">
        <f>-BIDU_IS!AN127</f>
        <v>400</v>
      </c>
      <c r="AO193" s="109">
        <f>SUM(AO171:AO191)</f>
        <v>337.88375641344959</v>
      </c>
      <c r="AP193" s="109">
        <f t="shared" ref="AP193:AZ193" si="292">SUM(AP171:AP191)</f>
        <v>439.50174920298889</v>
      </c>
      <c r="AQ193" s="109">
        <f t="shared" si="292"/>
        <v>412.62301409713569</v>
      </c>
      <c r="AR193" s="109">
        <f t="shared" si="292"/>
        <v>380.5909605479452</v>
      </c>
      <c r="AS193" s="109">
        <f t="shared" ca="1" si="292"/>
        <v>365.11349178082185</v>
      </c>
      <c r="AT193" s="109">
        <f t="shared" ca="1" si="292"/>
        <v>358.92604808219176</v>
      </c>
      <c r="AU193" s="109">
        <f t="shared" ca="1" si="292"/>
        <v>328.34750849315066</v>
      </c>
      <c r="AV193" s="109">
        <f t="shared" ca="1" si="292"/>
        <v>328.34750849315066</v>
      </c>
      <c r="AW193" s="109">
        <f t="shared" ca="1" si="292"/>
        <v>324.77851383561642</v>
      </c>
      <c r="AX193" s="109">
        <f t="shared" si="292"/>
        <v>324.77851383561642</v>
      </c>
      <c r="AY193" s="109">
        <f t="shared" si="292"/>
        <v>291.62782231631377</v>
      </c>
      <c r="AZ193" s="109">
        <f t="shared" si="292"/>
        <v>254.90813613947697</v>
      </c>
    </row>
    <row r="194" spans="2:59">
      <c r="B194" s="11"/>
      <c r="C194" s="10"/>
      <c r="D194" s="10"/>
      <c r="E194" s="10"/>
      <c r="F194" s="10"/>
    </row>
    <row r="195" spans="2:59" s="1" customFormat="1">
      <c r="B195" s="6" t="s">
        <v>175</v>
      </c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B195"/>
      <c r="BC195"/>
      <c r="BD195"/>
      <c r="BE195"/>
      <c r="BF195"/>
      <c r="BG195"/>
    </row>
    <row r="196" spans="2:59" s="1" customFormat="1">
      <c r="B196" s="8" t="s">
        <v>174</v>
      </c>
      <c r="BB196"/>
      <c r="BC196"/>
      <c r="BD196"/>
      <c r="BE196"/>
      <c r="BF196"/>
      <c r="BG196"/>
    </row>
    <row r="197" spans="2:59" s="1" customFormat="1">
      <c r="B197" s="1" t="s">
        <v>165</v>
      </c>
      <c r="E197" s="2"/>
      <c r="F197" s="58">
        <f>+E203</f>
        <v>2744.241</v>
      </c>
      <c r="G197" s="58">
        <f ca="1">+F203</f>
        <v>3887.877</v>
      </c>
      <c r="H197" s="58">
        <f ca="1">+G203</f>
        <v>5370.268</v>
      </c>
      <c r="I197" s="58">
        <f ca="1">+H203</f>
        <v>8705.3639999999996</v>
      </c>
      <c r="J197" s="58">
        <f ca="1">+I203</f>
        <v>10627.127</v>
      </c>
      <c r="K197" s="58">
        <f ca="1">J203</f>
        <v>11294.348</v>
      </c>
      <c r="L197" s="58">
        <f ca="1">K203</f>
        <v>12475.000000000002</v>
      </c>
      <c r="M197" s="58">
        <f ca="1">L203</f>
        <v>14210.597120655075</v>
      </c>
      <c r="N197" s="58">
        <f ca="1">M203</f>
        <v>16615.857402142319</v>
      </c>
      <c r="O197" s="58"/>
      <c r="P197" s="58"/>
      <c r="Q197" s="67">
        <v>2744.241</v>
      </c>
      <c r="R197" s="58">
        <f t="shared" ref="R197:AV197" si="293">+Q203</f>
        <v>2689.8319999999999</v>
      </c>
      <c r="S197" s="58">
        <f t="shared" si="293"/>
        <v>3304.75</v>
      </c>
      <c r="T197" s="58">
        <f t="shared" si="293"/>
        <v>3729.489</v>
      </c>
      <c r="U197" s="58">
        <f t="shared" si="293"/>
        <v>3887.877</v>
      </c>
      <c r="V197" s="58">
        <f t="shared" si="293"/>
        <v>3872.6840000000002</v>
      </c>
      <c r="W197" s="58">
        <f t="shared" si="293"/>
        <v>4231.3649999999998</v>
      </c>
      <c r="X197" s="58">
        <f t="shared" si="293"/>
        <v>4600.2520000000004</v>
      </c>
      <c r="Y197" s="58">
        <f t="shared" si="293"/>
        <v>5370.268</v>
      </c>
      <c r="Z197" s="58">
        <f t="shared" si="293"/>
        <v>6255.7430000000004</v>
      </c>
      <c r="AA197" s="58">
        <f t="shared" si="293"/>
        <v>7232.49</v>
      </c>
      <c r="AB197" s="58">
        <f t="shared" si="293"/>
        <v>8138.3909999999996</v>
      </c>
      <c r="AC197" s="58">
        <f t="shared" si="293"/>
        <v>8705.3639999999996</v>
      </c>
      <c r="AD197" s="58">
        <f t="shared" si="293"/>
        <v>9153.7909999999993</v>
      </c>
      <c r="AE197" s="58">
        <f t="shared" si="293"/>
        <v>9863.2129999999997</v>
      </c>
      <c r="AF197" s="58">
        <f t="shared" si="293"/>
        <v>10564.579</v>
      </c>
      <c r="AG197" s="58">
        <f t="shared" si="293"/>
        <v>10627.127</v>
      </c>
      <c r="AH197" s="58">
        <f t="shared" si="293"/>
        <v>10489.45</v>
      </c>
      <c r="AI197" s="58">
        <f t="shared" si="293"/>
        <v>11016.548000000001</v>
      </c>
      <c r="AJ197" s="58">
        <f t="shared" si="293"/>
        <v>11181.883</v>
      </c>
      <c r="AK197" s="58">
        <f t="shared" si="293"/>
        <v>11294.348</v>
      </c>
      <c r="AL197" s="58">
        <f t="shared" si="293"/>
        <v>11144.763999999999</v>
      </c>
      <c r="AM197" s="58">
        <f t="shared" si="293"/>
        <v>11641</v>
      </c>
      <c r="AN197" s="58">
        <f t="shared" si="293"/>
        <v>12058</v>
      </c>
      <c r="AO197" s="58">
        <f t="shared" si="293"/>
        <v>12475</v>
      </c>
      <c r="AP197" s="58">
        <f t="shared" ca="1" si="293"/>
        <v>12699.648246655317</v>
      </c>
      <c r="AQ197" s="58">
        <f t="shared" ca="1" si="293"/>
        <v>13152.577948346478</v>
      </c>
      <c r="AR197" s="58">
        <f t="shared" ca="1" si="293"/>
        <v>13706.255459329135</v>
      </c>
      <c r="AS197" s="58">
        <f t="shared" ca="1" si="293"/>
        <v>14210.597120655073</v>
      </c>
      <c r="AT197" s="58">
        <f t="shared" ca="1" si="293"/>
        <v>14626.471531262057</v>
      </c>
      <c r="AU197" s="58">
        <f t="shared" ca="1" si="293"/>
        <v>15251.173313635883</v>
      </c>
      <c r="AV197" s="58">
        <f t="shared" ca="1" si="293"/>
        <v>15997.454636606823</v>
      </c>
      <c r="AW197" s="58">
        <f t="shared" ref="AW197" ca="1" si="294">+AV203</f>
        <v>16615.857402142316</v>
      </c>
      <c r="AX197" s="58">
        <f t="shared" ref="AX197" ca="1" si="295">+AW203</f>
        <v>17173.529688548864</v>
      </c>
      <c r="AY197" s="58">
        <f t="shared" ref="AY197" ca="1" si="296">+AX203</f>
        <v>17943.517051559586</v>
      </c>
      <c r="AZ197" s="58">
        <f t="shared" ref="AZ197" ca="1" si="297">+AY203</f>
        <v>18841.99120673686</v>
      </c>
      <c r="BB197"/>
      <c r="BC197"/>
      <c r="BD197"/>
      <c r="BE197"/>
      <c r="BF197"/>
      <c r="BG197"/>
    </row>
    <row r="198" spans="2:59" s="1" customFormat="1">
      <c r="B198" s="11" t="s">
        <v>173</v>
      </c>
      <c r="E198" s="2"/>
      <c r="F198" s="58">
        <f t="shared" ref="F198:M199" ca="1" si="298">SUM(OFFSET($P198,0,F$1,1,4))</f>
        <v>1281.336</v>
      </c>
      <c r="G198" s="58">
        <f t="shared" ca="1" si="298"/>
        <v>1702.1400000000006</v>
      </c>
      <c r="H198" s="58">
        <f t="shared" ca="1" si="298"/>
        <v>2223.9070000000002</v>
      </c>
      <c r="I198" s="58">
        <f t="shared" ca="1" si="298"/>
        <v>2886.2539999999999</v>
      </c>
      <c r="J198" s="58">
        <f t="shared" ca="1" si="298"/>
        <v>3451.422</v>
      </c>
      <c r="K198" s="58">
        <f t="shared" ca="1" si="298"/>
        <v>3804.056</v>
      </c>
      <c r="L198" s="58">
        <f t="shared" ca="1" si="298"/>
        <v>4285.059486046659</v>
      </c>
      <c r="M198" s="58">
        <f t="shared" ca="1" si="298"/>
        <v>4948.1752136295181</v>
      </c>
      <c r="N198" s="58">
        <f ca="1">SUM(OFFSET($P198,0,N$1,1,4))</f>
        <v>5811.9813469517921</v>
      </c>
      <c r="O198" s="58"/>
      <c r="P198" s="58"/>
      <c r="Q198" s="58">
        <f ca="1">+Q199/$F199*$F198</f>
        <v>273.11492205627951</v>
      </c>
      <c r="R198" s="58">
        <f ca="1">+R199/$F199*$F198</f>
        <v>294.0245285624444</v>
      </c>
      <c r="S198" s="58">
        <f ca="1">+S199/$F199*$F198</f>
        <v>334.61228782090876</v>
      </c>
      <c r="T198" s="58">
        <f ca="1">+T199/$F199*$F198</f>
        <v>379.58426156036739</v>
      </c>
      <c r="U198" s="58">
        <f ca="1">+U199/$G199*$G198</f>
        <v>385.79640970927045</v>
      </c>
      <c r="V198" s="58">
        <f ca="1">+V199/$G199*$G198</f>
        <v>413.45182554722339</v>
      </c>
      <c r="W198" s="58">
        <f ca="1">+W199/$G199*$G198</f>
        <v>427.84125876486007</v>
      </c>
      <c r="X198" s="58">
        <f ca="1">+X199/$G199*$G198</f>
        <v>475.0505059786467</v>
      </c>
      <c r="Y198" s="58">
        <f ca="1">+Y199/$H199*$H198</f>
        <v>488.77260328708968</v>
      </c>
      <c r="Z198" s="58">
        <f ca="1">+Z199/$H199*$H198</f>
        <v>524.457225761377</v>
      </c>
      <c r="AA198" s="58">
        <f ca="1">+AA199/$H199*$H198</f>
        <v>582.16912665194309</v>
      </c>
      <c r="AB198" s="58">
        <f ca="1">+AB199/$H199*$H198</f>
        <v>628.50804429959055</v>
      </c>
      <c r="AC198" s="67">
        <v>667.96900000000005</v>
      </c>
      <c r="AD198" s="67">
        <v>699.72500000000002</v>
      </c>
      <c r="AE198" s="67">
        <v>745.87599999999998</v>
      </c>
      <c r="AF198" s="67">
        <v>772.68399999999997</v>
      </c>
      <c r="AG198" s="67">
        <v>795.58900000000006</v>
      </c>
      <c r="AH198" s="67">
        <v>845.36500000000001</v>
      </c>
      <c r="AI198" s="67">
        <v>898.89</v>
      </c>
      <c r="AJ198" s="67">
        <v>911.57799999999997</v>
      </c>
      <c r="AK198" s="67">
        <v>922.05600000000004</v>
      </c>
      <c r="AL198" s="67">
        <v>932</v>
      </c>
      <c r="AM198" s="67">
        <v>957</v>
      </c>
      <c r="AN198" s="67">
        <v>993</v>
      </c>
      <c r="AO198" s="58">
        <f t="shared" ref="AO198:AV198" si="299">+SUM(AO199:AO200)</f>
        <v>1027.3407696135346</v>
      </c>
      <c r="AP198" s="58">
        <f t="shared" ca="1" si="299"/>
        <v>1045.8409942717474</v>
      </c>
      <c r="AQ198" s="58">
        <f t="shared" ca="1" si="299"/>
        <v>1083.1406454393807</v>
      </c>
      <c r="AR198" s="58">
        <f t="shared" ca="1" si="299"/>
        <v>1128.7370767219963</v>
      </c>
      <c r="AS198" s="58">
        <f t="shared" ca="1" si="299"/>
        <v>1170.2706038157646</v>
      </c>
      <c r="AT198" s="58">
        <f t="shared" ca="1" si="299"/>
        <v>1204.5186789304382</v>
      </c>
      <c r="AU198" s="58">
        <f t="shared" ca="1" si="299"/>
        <v>1255.9640985603278</v>
      </c>
      <c r="AV198" s="58">
        <f t="shared" ca="1" si="299"/>
        <v>1317.421832322987</v>
      </c>
      <c r="AW198" s="58">
        <f t="shared" ref="AW198:AZ198" ca="1" si="300">+SUM(AW199:AW200)</f>
        <v>1368.3485155355218</v>
      </c>
      <c r="AX198" s="58">
        <f t="shared" ca="1" si="300"/>
        <v>1414.273924426026</v>
      </c>
      <c r="AY198" s="58">
        <f t="shared" ca="1" si="300"/>
        <v>1477.6838971801849</v>
      </c>
      <c r="AZ198" s="58">
        <f t="shared" ca="1" si="300"/>
        <v>1551.6750098100601</v>
      </c>
      <c r="BB198"/>
      <c r="BC198"/>
      <c r="BD198"/>
      <c r="BE198"/>
      <c r="BF198"/>
      <c r="BG198"/>
    </row>
    <row r="199" spans="2:59" s="1" customFormat="1">
      <c r="B199" s="3" t="s">
        <v>168</v>
      </c>
      <c r="E199" s="2"/>
      <c r="F199" s="58">
        <f t="shared" ca="1" si="298"/>
        <v>1071.722</v>
      </c>
      <c r="G199" s="58">
        <f t="shared" ca="1" si="298"/>
        <v>1469.6469999999999</v>
      </c>
      <c r="H199" s="58">
        <f t="shared" ca="1" si="298"/>
        <v>1958.7539999999999</v>
      </c>
      <c r="I199" s="58">
        <f t="shared" ca="1" si="298"/>
        <v>2547.88</v>
      </c>
      <c r="J199" s="58">
        <f t="shared" ca="1" si="298"/>
        <v>3074.893</v>
      </c>
      <c r="K199" s="58">
        <f t="shared" ca="1" si="298"/>
        <v>3388.01</v>
      </c>
      <c r="L199" s="58">
        <f t="shared" ca="1" si="298"/>
        <v>3819.0107201926417</v>
      </c>
      <c r="M199" s="58">
        <f t="shared" ca="1" si="298"/>
        <v>4410.0050997604467</v>
      </c>
      <c r="N199" s="58">
        <f ca="1">SUM(OFFSET($P199,0,N$1,1,4))</f>
        <v>5179.8625297606613</v>
      </c>
      <c r="O199" s="58"/>
      <c r="P199" s="58"/>
      <c r="Q199" s="58">
        <f>+BIDU_IS!Q103</f>
        <v>228.43600000000001</v>
      </c>
      <c r="R199" s="58">
        <f>+BIDU_IS!R103</f>
        <v>245.92500000000001</v>
      </c>
      <c r="S199" s="58">
        <f>+BIDU_IS!S103</f>
        <v>279.87299999999999</v>
      </c>
      <c r="T199" s="58">
        <f>+BIDU_IS!T103</f>
        <v>317.488</v>
      </c>
      <c r="U199" s="58">
        <f>+BIDU_IS!U103</f>
        <v>333.101</v>
      </c>
      <c r="V199" s="58">
        <f>+BIDU_IS!V103</f>
        <v>356.97899999999998</v>
      </c>
      <c r="W199" s="58">
        <f>+BIDU_IS!W103</f>
        <v>369.40300000000002</v>
      </c>
      <c r="X199" s="58">
        <f>+BIDU_IS!X103</f>
        <v>410.16399999999999</v>
      </c>
      <c r="Y199" s="58">
        <f>+BIDU_IS!Y103</f>
        <v>430.49700000000001</v>
      </c>
      <c r="Z199" s="58">
        <f>+BIDU_IS!Z103</f>
        <v>461.92700000000002</v>
      </c>
      <c r="AA199" s="58">
        <f>+BIDU_IS!AA103</f>
        <v>512.75800000000004</v>
      </c>
      <c r="AB199" s="58">
        <f>+BIDU_IS!AB103</f>
        <v>553.572</v>
      </c>
      <c r="AC199" s="58">
        <f>+BIDU_IS!AC103</f>
        <v>582.43700000000001</v>
      </c>
      <c r="AD199" s="58">
        <f>+BIDU_IS!AD103</f>
        <v>616.072</v>
      </c>
      <c r="AE199" s="58">
        <f>+BIDU_IS!AE103</f>
        <v>657.32500000000005</v>
      </c>
      <c r="AF199" s="58">
        <f>+BIDU_IS!AF103</f>
        <v>692.04600000000005</v>
      </c>
      <c r="AG199" s="58">
        <f>+BIDU_IS!AG103</f>
        <v>707.33199999999999</v>
      </c>
      <c r="AH199" s="58">
        <f>+BIDU_IS!AH103</f>
        <v>753.77499999999998</v>
      </c>
      <c r="AI199" s="58">
        <f>+BIDU_IS!AI103</f>
        <v>802.25699999999995</v>
      </c>
      <c r="AJ199" s="58">
        <f>+BIDU_IS!AJ103</f>
        <v>811.529</v>
      </c>
      <c r="AK199" s="58">
        <f>+BIDU_IS!AK103</f>
        <v>823.01</v>
      </c>
      <c r="AL199" s="58">
        <f>+BIDU_IS!AL103</f>
        <v>828</v>
      </c>
      <c r="AM199" s="58">
        <f>+BIDU_IS!AM103</f>
        <v>852</v>
      </c>
      <c r="AN199" s="58">
        <f>+BIDU_IS!AN103</f>
        <v>885</v>
      </c>
      <c r="AO199" s="58">
        <f t="shared" ref="AO199:AV199" si="301">+AO207*AO$197</f>
        <v>915.60582186100521</v>
      </c>
      <c r="AP199" s="58">
        <f t="shared" ca="1" si="301"/>
        <v>932.09393749294713</v>
      </c>
      <c r="AQ199" s="58">
        <f t="shared" ca="1" si="301"/>
        <v>965.3368290169708</v>
      </c>
      <c r="AR199" s="58">
        <f t="shared" ca="1" si="301"/>
        <v>1005.9741318217189</v>
      </c>
      <c r="AS199" s="58">
        <f t="shared" ca="1" si="301"/>
        <v>1042.990417298038</v>
      </c>
      <c r="AT199" s="58">
        <f t="shared" ca="1" si="301"/>
        <v>1073.5136262370975</v>
      </c>
      <c r="AU199" s="58">
        <f t="shared" ca="1" si="301"/>
        <v>1119.3637736413798</v>
      </c>
      <c r="AV199" s="58">
        <f t="shared" ca="1" si="301"/>
        <v>1174.137282583931</v>
      </c>
      <c r="AW199" s="58">
        <f t="shared" ref="AW199:AZ199" ca="1" si="302">+AW207*AW$197</f>
        <v>1219.5251120331689</v>
      </c>
      <c r="AX199" s="58">
        <f t="shared" ca="1" si="302"/>
        <v>1260.4556124038602</v>
      </c>
      <c r="AY199" s="58">
        <f t="shared" ca="1" si="302"/>
        <v>1316.9690322300742</v>
      </c>
      <c r="AZ199" s="58">
        <f t="shared" ca="1" si="302"/>
        <v>1382.9127730935581</v>
      </c>
      <c r="BB199"/>
      <c r="BC199"/>
      <c r="BD199"/>
      <c r="BE199"/>
      <c r="BF199"/>
      <c r="BG199"/>
    </row>
    <row r="200" spans="2:59" s="1" customFormat="1">
      <c r="B200" s="3" t="s">
        <v>167</v>
      </c>
      <c r="E200" s="2"/>
      <c r="F200" s="58">
        <f ca="1">+F198-F199</f>
        <v>209.61400000000003</v>
      </c>
      <c r="G200" s="58">
        <f ca="1">+G198-G199</f>
        <v>232.49300000000062</v>
      </c>
      <c r="H200" s="58">
        <f ca="1">+H198-H199</f>
        <v>265.15300000000025</v>
      </c>
      <c r="I200" s="58">
        <f t="shared" ref="I200:M201" ca="1" si="303">SUM(OFFSET($P200,0,I$1,1,4))</f>
        <v>338.37399999999991</v>
      </c>
      <c r="J200" s="58">
        <f t="shared" ca="1" si="303"/>
        <v>376.52900000000011</v>
      </c>
      <c r="K200" s="58">
        <f t="shared" ca="1" si="303"/>
        <v>416.04600000000005</v>
      </c>
      <c r="L200" s="58">
        <f t="shared" ca="1" si="303"/>
        <v>466.04876585401729</v>
      </c>
      <c r="M200" s="58">
        <f t="shared" ca="1" si="303"/>
        <v>538.17011386907132</v>
      </c>
      <c r="N200" s="58">
        <f ca="1">SUM(OFFSET($P200,0,N$1,1,4))</f>
        <v>632.11881719113148</v>
      </c>
      <c r="O200" s="58"/>
      <c r="P200" s="58"/>
      <c r="Q200" s="58">
        <f t="shared" ref="Q200:AM200" ca="1" si="304">+Q198-Q199</f>
        <v>44.678922056279504</v>
      </c>
      <c r="R200" s="58">
        <f t="shared" ca="1" si="304"/>
        <v>48.099528562444391</v>
      </c>
      <c r="S200" s="58">
        <f t="shared" ca="1" si="304"/>
        <v>54.739287820908771</v>
      </c>
      <c r="T200" s="58">
        <f t="shared" ca="1" si="304"/>
        <v>62.096261560367395</v>
      </c>
      <c r="U200" s="58">
        <f t="shared" ca="1" si="304"/>
        <v>52.69540970927045</v>
      </c>
      <c r="V200" s="58">
        <f t="shared" ca="1" si="304"/>
        <v>56.472825547223408</v>
      </c>
      <c r="W200" s="58">
        <f t="shared" ca="1" si="304"/>
        <v>58.438258764860052</v>
      </c>
      <c r="X200" s="58">
        <f t="shared" ca="1" si="304"/>
        <v>64.88650597864671</v>
      </c>
      <c r="Y200" s="58">
        <f t="shared" ca="1" si="304"/>
        <v>58.275603287089666</v>
      </c>
      <c r="Z200" s="58">
        <f t="shared" ca="1" si="304"/>
        <v>62.530225761376983</v>
      </c>
      <c r="AA200" s="58">
        <f t="shared" ca="1" si="304"/>
        <v>69.41112665194305</v>
      </c>
      <c r="AB200" s="58">
        <f t="shared" ca="1" si="304"/>
        <v>74.936044299590549</v>
      </c>
      <c r="AC200" s="58">
        <f t="shared" si="304"/>
        <v>85.532000000000039</v>
      </c>
      <c r="AD200" s="58">
        <f t="shared" si="304"/>
        <v>83.65300000000002</v>
      </c>
      <c r="AE200" s="58">
        <f t="shared" si="304"/>
        <v>88.550999999999931</v>
      </c>
      <c r="AF200" s="58">
        <f t="shared" si="304"/>
        <v>80.63799999999992</v>
      </c>
      <c r="AG200" s="58">
        <f t="shared" si="304"/>
        <v>88.257000000000062</v>
      </c>
      <c r="AH200" s="58">
        <f t="shared" si="304"/>
        <v>91.590000000000032</v>
      </c>
      <c r="AI200" s="58">
        <f t="shared" si="304"/>
        <v>96.633000000000038</v>
      </c>
      <c r="AJ200" s="58">
        <f t="shared" si="304"/>
        <v>100.04899999999998</v>
      </c>
      <c r="AK200" s="58">
        <f t="shared" si="304"/>
        <v>99.046000000000049</v>
      </c>
      <c r="AL200" s="58">
        <f t="shared" si="304"/>
        <v>104</v>
      </c>
      <c r="AM200" s="58">
        <f t="shared" si="304"/>
        <v>105</v>
      </c>
      <c r="AN200" s="58">
        <f t="shared" ref="AN200" si="305">+AN198-AN199</f>
        <v>108</v>
      </c>
      <c r="AO200" s="58">
        <f t="shared" ref="AO200:AV200" si="306">+AO208*AO$197</f>
        <v>111.73494775252945</v>
      </c>
      <c r="AP200" s="58">
        <f t="shared" ca="1" si="306"/>
        <v>113.74705677880033</v>
      </c>
      <c r="AQ200" s="58">
        <f t="shared" ca="1" si="306"/>
        <v>117.80381642240999</v>
      </c>
      <c r="AR200" s="58">
        <f t="shared" ca="1" si="306"/>
        <v>122.76294490027755</v>
      </c>
      <c r="AS200" s="58">
        <f t="shared" ca="1" si="306"/>
        <v>127.28018651772665</v>
      </c>
      <c r="AT200" s="58">
        <f t="shared" ca="1" si="306"/>
        <v>131.0050526933407</v>
      </c>
      <c r="AU200" s="58">
        <f t="shared" ca="1" si="306"/>
        <v>136.60032491894805</v>
      </c>
      <c r="AV200" s="58">
        <f t="shared" ca="1" si="306"/>
        <v>143.28454973905596</v>
      </c>
      <c r="AW200" s="58">
        <f t="shared" ref="AW200:AZ200" ca="1" si="307">+AW208*AW$197</f>
        <v>148.82340350235282</v>
      </c>
      <c r="AX200" s="58">
        <f t="shared" ca="1" si="307"/>
        <v>153.81831202216597</v>
      </c>
      <c r="AY200" s="58">
        <f t="shared" ca="1" si="307"/>
        <v>160.71486495011075</v>
      </c>
      <c r="AZ200" s="58">
        <f t="shared" ca="1" si="307"/>
        <v>168.762236716502</v>
      </c>
      <c r="BB200"/>
      <c r="BC200"/>
      <c r="BD200"/>
      <c r="BE200"/>
      <c r="BF200"/>
      <c r="BG200"/>
    </row>
    <row r="201" spans="2:59" s="1" customFormat="1">
      <c r="B201" s="1" t="s">
        <v>172</v>
      </c>
      <c r="E201" s="2"/>
      <c r="F201" s="58">
        <f ca="1">SUM(OFFSET($P201,0,F$1,1,4))</f>
        <v>2310.86</v>
      </c>
      <c r="G201" s="58">
        <f ca="1">SUM(OFFSET($P201,0,G$1,1,4))</f>
        <v>2756.6289999999999</v>
      </c>
      <c r="H201" s="58">
        <f ca="1">SUM(OFFSET($P201,0,H$1,1,4))</f>
        <v>4827.1629999999996</v>
      </c>
      <c r="I201" s="58">
        <f t="shared" ca="1" si="303"/>
        <v>5229.616</v>
      </c>
      <c r="J201" s="58">
        <f t="shared" ca="1" si="303"/>
        <v>4189.1869999999999</v>
      </c>
      <c r="K201" s="58">
        <f t="shared" ca="1" si="303"/>
        <v>4778.7980000000007</v>
      </c>
      <c r="L201" s="58">
        <f t="shared" ca="1" si="303"/>
        <v>6020.6566067017311</v>
      </c>
      <c r="M201" s="58">
        <f t="shared" ca="1" si="303"/>
        <v>7353.4354951167634</v>
      </c>
      <c r="N201" s="58">
        <f ca="1">SUM(OFFSET($P201,0,N$1,1,4))</f>
        <v>8847.7733413810874</v>
      </c>
      <c r="O201" s="58"/>
      <c r="P201" s="58"/>
      <c r="Q201" s="58">
        <f ca="1">+F201/4</f>
        <v>577.71500000000003</v>
      </c>
      <c r="R201" s="58">
        <f ca="1">+Q201</f>
        <v>577.71500000000003</v>
      </c>
      <c r="S201" s="58">
        <f ca="1">+R201</f>
        <v>577.71500000000003</v>
      </c>
      <c r="T201" s="58">
        <f ca="1">+S201</f>
        <v>577.71500000000003</v>
      </c>
      <c r="U201" s="58">
        <f ca="1">+G201/4</f>
        <v>689.15724999999998</v>
      </c>
      <c r="V201" s="58">
        <f ca="1">+U201</f>
        <v>689.15724999999998</v>
      </c>
      <c r="W201" s="58">
        <f ca="1">+V201</f>
        <v>689.15724999999998</v>
      </c>
      <c r="X201" s="58">
        <f ca="1">+W201</f>
        <v>689.15724999999998</v>
      </c>
      <c r="Y201" s="58">
        <f ca="1">+H201/4</f>
        <v>1206.7907499999999</v>
      </c>
      <c r="Z201" s="58">
        <f ca="1">+Y201</f>
        <v>1206.7907499999999</v>
      </c>
      <c r="AA201" s="58">
        <f ca="1">+Z201</f>
        <v>1206.7907499999999</v>
      </c>
      <c r="AB201" s="58">
        <f ca="1">+AA201</f>
        <v>1206.7907499999999</v>
      </c>
      <c r="AC201" s="67">
        <v>1021.341</v>
      </c>
      <c r="AD201" s="67">
        <v>923.14599999999996</v>
      </c>
      <c r="AE201" s="67">
        <v>1861.6020000000001</v>
      </c>
      <c r="AF201" s="67">
        <v>1423.527</v>
      </c>
      <c r="AG201" s="67">
        <v>825.56500000000005</v>
      </c>
      <c r="AH201" s="67">
        <v>979.63499999999999</v>
      </c>
      <c r="AI201" s="67">
        <v>1182.627</v>
      </c>
      <c r="AJ201" s="67">
        <v>1201.3599999999999</v>
      </c>
      <c r="AK201" s="67">
        <v>1167.598</v>
      </c>
      <c r="AL201" s="67">
        <v>1125.4000000000001</v>
      </c>
      <c r="AM201" s="67">
        <v>1297.4000000000001</v>
      </c>
      <c r="AN201" s="67">
        <v>1188.4000000000001</v>
      </c>
      <c r="AO201" s="58">
        <f ca="1">+AO205*BIDU_IS!AO89</f>
        <v>1251.9890162688514</v>
      </c>
      <c r="AP201" s="58">
        <f ca="1">+AP205*BIDU_IS!AP89</f>
        <v>1498.7706959629088</v>
      </c>
      <c r="AQ201" s="58">
        <f ca="1">+AQ205*BIDU_IS!AQ89</f>
        <v>1636.8181564220367</v>
      </c>
      <c r="AR201" s="58">
        <f ca="1">+AR205*BIDU_IS!AR89</f>
        <v>1633.0787380479344</v>
      </c>
      <c r="AS201" s="58">
        <f ca="1">+AS205*BIDU_IS!AS89</f>
        <v>1586.1450144227497</v>
      </c>
      <c r="AT201" s="58">
        <f ca="1">+AT205*BIDU_IS!AT89</f>
        <v>1829.2204613042652</v>
      </c>
      <c r="AU201" s="58">
        <f ca="1">+AU205*BIDU_IS!AU89</f>
        <v>2002.2454215312671</v>
      </c>
      <c r="AV201" s="58">
        <f ca="1">+AV205*BIDU_IS!AV89</f>
        <v>1935.8245978584807</v>
      </c>
      <c r="AW201" s="58">
        <f ca="1">+AW205*BIDU_IS!AW89</f>
        <v>1926.0208019420702</v>
      </c>
      <c r="AX201" s="58">
        <f ca="1">+AX205*BIDU_IS!AX89</f>
        <v>2184.2612874367464</v>
      </c>
      <c r="AY201" s="58">
        <f ca="1">+AY205*BIDU_IS!AY89</f>
        <v>2376.1580523574594</v>
      </c>
      <c r="AZ201" s="58">
        <f ca="1">+AZ205*BIDU_IS!AZ89</f>
        <v>2361.3331996448119</v>
      </c>
      <c r="BB201"/>
      <c r="BC201"/>
      <c r="BD201"/>
      <c r="BE201"/>
      <c r="BF201"/>
      <c r="BG201"/>
    </row>
    <row r="202" spans="2:59" s="1" customFormat="1">
      <c r="B202" s="1" t="s">
        <v>171</v>
      </c>
      <c r="E202" s="2"/>
      <c r="F202" s="58">
        <f ca="1">+F203-SUM(F197,-F198,F201)</f>
        <v>114.11199999999963</v>
      </c>
      <c r="G202" s="58">
        <f ca="1">+G203-SUM(G197,-G198,G201)</f>
        <v>427.90200000000095</v>
      </c>
      <c r="H202" s="58">
        <f ca="1">+H203-SUM(H197,-H198,H201)</f>
        <v>731.84000000000015</v>
      </c>
      <c r="I202" s="58">
        <f ca="1">+I203-SUM(I197,-I198,I201)</f>
        <v>-421.59899999999834</v>
      </c>
      <c r="J202" s="58">
        <f ca="1">+J203-SUM(J197,-J198,J201)</f>
        <v>-70.543999999999869</v>
      </c>
      <c r="K202" s="58">
        <f ca="1">SUM(OFFSET($P202,0,K$1,1,4))</f>
        <v>205.91000000000167</v>
      </c>
      <c r="L202" s="58">
        <f ca="1">SUM(OFFSET($P202,0,L$1,1,4))</f>
        <v>0</v>
      </c>
      <c r="M202" s="58">
        <f ca="1">SUM(OFFSET($P202,0,M$1,1,4))</f>
        <v>0</v>
      </c>
      <c r="N202" s="58">
        <f ca="1">SUM(OFFSET($P202,0,N$1,1,4))</f>
        <v>0</v>
      </c>
      <c r="O202" s="58"/>
      <c r="P202" s="58"/>
      <c r="Q202" s="58">
        <f t="shared" ref="Q202:AB202" ca="1" si="308">+Q203-SUM(Q197,-Q198,Q201)</f>
        <v>-359.00907794372097</v>
      </c>
      <c r="R202" s="58">
        <f t="shared" ca="1" si="308"/>
        <v>331.2275285624446</v>
      </c>
      <c r="S202" s="58">
        <f t="shared" ca="1" si="308"/>
        <v>181.63628782090882</v>
      </c>
      <c r="T202" s="58">
        <f t="shared" ca="1" si="308"/>
        <v>-39.742738439632831</v>
      </c>
      <c r="U202" s="58">
        <f t="shared" ca="1" si="308"/>
        <v>-318.55384029072957</v>
      </c>
      <c r="V202" s="58">
        <f t="shared" ca="1" si="308"/>
        <v>82.975575547223343</v>
      </c>
      <c r="W202" s="58">
        <f t="shared" ca="1" si="308"/>
        <v>107.57100876486038</v>
      </c>
      <c r="X202" s="58">
        <f t="shared" ca="1" si="308"/>
        <v>555.90925597864589</v>
      </c>
      <c r="Y202" s="58">
        <f t="shared" ca="1" si="308"/>
        <v>167.45685328708987</v>
      </c>
      <c r="Z202" s="58">
        <f t="shared" ca="1" si="308"/>
        <v>294.4134757613765</v>
      </c>
      <c r="AA202" s="58">
        <f t="shared" ca="1" si="308"/>
        <v>281.27937665194258</v>
      </c>
      <c r="AB202" s="58">
        <f t="shared" ca="1" si="308"/>
        <v>-11.309705700408813</v>
      </c>
      <c r="AC202" s="58">
        <f t="shared" ref="AC202:AM202" si="309">+AC203-SUM(AC197,AC201,-AC198)</f>
        <v>95.054999999998472</v>
      </c>
      <c r="AD202" s="58">
        <f t="shared" si="309"/>
        <v>486.0010000000002</v>
      </c>
      <c r="AE202" s="58">
        <f t="shared" si="309"/>
        <v>-414.36000000000058</v>
      </c>
      <c r="AF202" s="58">
        <f t="shared" si="309"/>
        <v>-588.29500000000007</v>
      </c>
      <c r="AG202" s="58">
        <f t="shared" si="309"/>
        <v>-167.65300000000025</v>
      </c>
      <c r="AH202" s="58">
        <f t="shared" si="309"/>
        <v>392.82799999999952</v>
      </c>
      <c r="AI202" s="58">
        <f t="shared" si="309"/>
        <v>-118.40200000000186</v>
      </c>
      <c r="AJ202" s="58">
        <f t="shared" si="309"/>
        <v>-177.31700000000092</v>
      </c>
      <c r="AK202" s="58">
        <f t="shared" si="309"/>
        <v>-395.1260000000002</v>
      </c>
      <c r="AL202" s="58">
        <f t="shared" si="309"/>
        <v>302.83600000000115</v>
      </c>
      <c r="AM202" s="58">
        <f t="shared" si="309"/>
        <v>76.600000000000364</v>
      </c>
      <c r="AN202" s="58">
        <f t="shared" ref="AN202" si="310">+AN203-SUM(AN197,AN201,-AN198)</f>
        <v>221.60000000000036</v>
      </c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8"/>
      <c r="BB202"/>
      <c r="BC202"/>
      <c r="BD202"/>
      <c r="BE202"/>
      <c r="BF202"/>
      <c r="BG202"/>
    </row>
    <row r="203" spans="2:59" s="1" customFormat="1">
      <c r="B203" s="1" t="s">
        <v>160</v>
      </c>
      <c r="E203" s="67">
        <v>2744.241</v>
      </c>
      <c r="F203" s="58">
        <f ca="1">F18</f>
        <v>3887.877</v>
      </c>
      <c r="G203" s="58">
        <f ca="1">G18</f>
        <v>5370.268</v>
      </c>
      <c r="H203" s="58">
        <f ca="1">H18</f>
        <v>8705.3639999999996</v>
      </c>
      <c r="I203" s="58">
        <f ca="1">I18</f>
        <v>10627.127</v>
      </c>
      <c r="J203" s="58">
        <f ca="1">J18</f>
        <v>11294.348</v>
      </c>
      <c r="K203" s="58">
        <f ca="1">K197-K198+K201+K202</f>
        <v>12475.000000000002</v>
      </c>
      <c r="L203" s="58">
        <f ca="1">L197-L198+L201+L202</f>
        <v>14210.597120655075</v>
      </c>
      <c r="M203" s="58">
        <f ca="1">M197-M198+M201+M202</f>
        <v>16615.857402142319</v>
      </c>
      <c r="N203" s="58">
        <f ca="1">N197-N198+N201+N202</f>
        <v>19651.649396571614</v>
      </c>
      <c r="O203" s="58"/>
      <c r="P203" s="58"/>
      <c r="Q203" s="67">
        <v>2689.8319999999999</v>
      </c>
      <c r="R203" s="67">
        <v>3304.75</v>
      </c>
      <c r="S203" s="67">
        <v>3729.489</v>
      </c>
      <c r="T203" s="58">
        <f>'BIDU_BS + CFS'!T18</f>
        <v>3887.877</v>
      </c>
      <c r="U203" s="58">
        <f>'BIDU_BS + CFS'!U18</f>
        <v>3872.6840000000002</v>
      </c>
      <c r="V203" s="58">
        <f>'BIDU_BS + CFS'!V18</f>
        <v>4231.3649999999998</v>
      </c>
      <c r="W203" s="58">
        <f>'BIDU_BS + CFS'!W18</f>
        <v>4600.2520000000004</v>
      </c>
      <c r="X203" s="58">
        <f>'BIDU_BS + CFS'!X18</f>
        <v>5370.268</v>
      </c>
      <c r="Y203" s="58">
        <f>'BIDU_BS + CFS'!Y18</f>
        <v>6255.7430000000004</v>
      </c>
      <c r="Z203" s="58">
        <f>'BIDU_BS + CFS'!Z18</f>
        <v>7232.49</v>
      </c>
      <c r="AA203" s="58">
        <f>'BIDU_BS + CFS'!AA18</f>
        <v>8138.3909999999996</v>
      </c>
      <c r="AB203" s="58">
        <f>'BIDU_BS + CFS'!AB18</f>
        <v>8705.3639999999996</v>
      </c>
      <c r="AC203" s="58">
        <f>'BIDU_BS + CFS'!AC18</f>
        <v>9153.7909999999993</v>
      </c>
      <c r="AD203" s="58">
        <f>'BIDU_BS + CFS'!AD18</f>
        <v>9863.2129999999997</v>
      </c>
      <c r="AE203" s="58">
        <f>'BIDU_BS + CFS'!AE18</f>
        <v>10564.579</v>
      </c>
      <c r="AF203" s="58">
        <f>'BIDU_BS + CFS'!AF18</f>
        <v>10627.127</v>
      </c>
      <c r="AG203" s="58">
        <f>'BIDU_BS + CFS'!AG18</f>
        <v>10489.45</v>
      </c>
      <c r="AH203" s="58">
        <f>'BIDU_BS + CFS'!AH18</f>
        <v>11016.548000000001</v>
      </c>
      <c r="AI203" s="58">
        <f>'BIDU_BS + CFS'!AI18</f>
        <v>11181.883</v>
      </c>
      <c r="AJ203" s="58">
        <f>'BIDU_BS + CFS'!AJ18</f>
        <v>11294.348</v>
      </c>
      <c r="AK203" s="58">
        <f>'BIDU_BS + CFS'!AK18</f>
        <v>11144.763999999999</v>
      </c>
      <c r="AL203" s="58">
        <f>'BIDU_BS + CFS'!AL18</f>
        <v>11641</v>
      </c>
      <c r="AM203" s="58">
        <f>'BIDU_BS + CFS'!AM18</f>
        <v>12058</v>
      </c>
      <c r="AN203" s="58">
        <f>'BIDU_BS + CFS'!AN18</f>
        <v>12475</v>
      </c>
      <c r="AO203" s="58">
        <f t="shared" ref="AO203:AV203" ca="1" si="311">+AO197-AO198+AO201</f>
        <v>12699.648246655317</v>
      </c>
      <c r="AP203" s="58">
        <f t="shared" ca="1" si="311"/>
        <v>13152.577948346478</v>
      </c>
      <c r="AQ203" s="58">
        <f t="shared" ca="1" si="311"/>
        <v>13706.255459329135</v>
      </c>
      <c r="AR203" s="58">
        <f t="shared" ca="1" si="311"/>
        <v>14210.597120655073</v>
      </c>
      <c r="AS203" s="58">
        <f t="shared" ca="1" si="311"/>
        <v>14626.471531262057</v>
      </c>
      <c r="AT203" s="58">
        <f t="shared" ca="1" si="311"/>
        <v>15251.173313635883</v>
      </c>
      <c r="AU203" s="58">
        <f t="shared" ca="1" si="311"/>
        <v>15997.454636606823</v>
      </c>
      <c r="AV203" s="58">
        <f t="shared" ca="1" si="311"/>
        <v>16615.857402142316</v>
      </c>
      <c r="AW203" s="58">
        <f t="shared" ref="AW203:AZ203" ca="1" si="312">+AW197-AW198+AW201</f>
        <v>17173.529688548864</v>
      </c>
      <c r="AX203" s="58">
        <f t="shared" ca="1" si="312"/>
        <v>17943.517051559586</v>
      </c>
      <c r="AY203" s="58">
        <f t="shared" ca="1" si="312"/>
        <v>18841.99120673686</v>
      </c>
      <c r="AZ203" s="58">
        <f t="shared" ca="1" si="312"/>
        <v>19651.649396571611</v>
      </c>
      <c r="BB203"/>
      <c r="BC203"/>
      <c r="BD203"/>
      <c r="BE203"/>
      <c r="BF203"/>
      <c r="BG203"/>
    </row>
    <row r="204" spans="2:59" s="1" customFormat="1">
      <c r="E204" s="10"/>
      <c r="F204" s="10"/>
      <c r="G204" s="10"/>
      <c r="H204" s="10"/>
      <c r="I204" s="10"/>
      <c r="J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BB204"/>
      <c r="BC204"/>
      <c r="BD204"/>
      <c r="BE204"/>
      <c r="BF204"/>
      <c r="BG204"/>
    </row>
    <row r="205" spans="2:59" s="1" customFormat="1">
      <c r="B205" s="1" t="s">
        <v>170</v>
      </c>
      <c r="E205" s="10"/>
      <c r="F205" s="4">
        <f ca="1">+F201/BIDU_IS!F82</f>
        <v>0.10359801427650088</v>
      </c>
      <c r="G205" s="4">
        <f ca="1">+G201/BIDU_IS!G82</f>
        <v>8.6295878990946748E-2</v>
      </c>
      <c r="H205" s="4">
        <f ca="1">+H201/BIDU_IS!H82</f>
        <v>9.8408458495274367E-2</v>
      </c>
      <c r="I205" s="4">
        <f ca="1">+I201/BIDU_IS!I82</f>
        <v>7.878095492209912E-2</v>
      </c>
      <c r="J205" s="4">
        <f ca="1">+J201/BIDU_IS!J82</f>
        <v>5.9379514746582263E-2</v>
      </c>
      <c r="K205" s="4">
        <f ca="1">K201/BIDU_IS!K82</f>
        <v>5.634748067829954E-2</v>
      </c>
      <c r="L205" s="4">
        <f ca="1">L201/BIDU_IS!L82</f>
        <v>5.7181161947983665E-2</v>
      </c>
      <c r="M205" s="4">
        <f ca="1">M201/BIDU_IS!M82</f>
        <v>5.7181161947983672E-2</v>
      </c>
      <c r="N205" s="4">
        <f ca="1">N201/BIDU_IS!N82</f>
        <v>5.7181161947983665E-2</v>
      </c>
      <c r="O205" s="71"/>
      <c r="P205" s="71"/>
      <c r="Q205" s="4">
        <f ca="1">+Q201/BIDU_IS!Q82</f>
        <v>0.13549530727459802</v>
      </c>
      <c r="R205" s="4">
        <f ca="1">+R201/BIDU_IS!R82</f>
        <v>0.10588167805181305</v>
      </c>
      <c r="S205" s="4">
        <f ca="1">+S201/BIDU_IS!S82</f>
        <v>9.2423752783679328E-2</v>
      </c>
      <c r="T205" s="4">
        <f ca="1">+T201/BIDU_IS!T82</f>
        <v>9.1189178933557866E-2</v>
      </c>
      <c r="U205" s="4">
        <f ca="1">+U201/BIDU_IS!U82</f>
        <v>0.11546500164696948</v>
      </c>
      <c r="V205" s="4">
        <f ca="1">+V201/BIDU_IS!V82</f>
        <v>9.1148540203668527E-2</v>
      </c>
      <c r="W205" s="4">
        <f ca="1">+W201/BIDU_IS!W82</f>
        <v>7.7506045554158742E-2</v>
      </c>
      <c r="X205" s="4">
        <f ca="1">+X201/BIDU_IS!X82</f>
        <v>7.2368323642146057E-2</v>
      </c>
      <c r="Y205" s="4">
        <f ca="1">+Y201/BIDU_IS!Y82</f>
        <v>0.12707672742696507</v>
      </c>
      <c r="Z205" s="4">
        <f ca="1">+Z201/BIDU_IS!Z82</f>
        <v>0.10068519100380766</v>
      </c>
      <c r="AA205" s="4">
        <f ca="1">+AA201/BIDU_IS!AA82</f>
        <v>8.9261281786446434E-2</v>
      </c>
      <c r="AB205" s="4">
        <f ca="1">+AB201/BIDU_IS!AB82</f>
        <v>8.5891180136636922E-2</v>
      </c>
      <c r="AC205" s="4">
        <f>+AC201/BIDU_IS!AC82</f>
        <v>8.0264976169025448E-2</v>
      </c>
      <c r="AD205" s="4">
        <f>+AD201/BIDU_IS!AD82</f>
        <v>5.5694283243474398E-2</v>
      </c>
      <c r="AE205" s="4">
        <f>+AE201/BIDU_IS!AE82</f>
        <v>0.10126713797322659</v>
      </c>
      <c r="AF205" s="4">
        <f>+AF201/BIDU_IS!AF82</f>
        <v>7.6129348234971722E-2</v>
      </c>
      <c r="AG205" s="4">
        <f>+AG201/BIDU_IS!AG82</f>
        <v>5.2183005772484081E-2</v>
      </c>
      <c r="AH205" s="4">
        <f>+AH201/BIDU_IS!AH82</f>
        <v>5.3638517343304028E-2</v>
      </c>
      <c r="AI205" s="4">
        <f>+AI201/BIDU_IS!AI82</f>
        <v>6.4791684369469832E-2</v>
      </c>
      <c r="AJ205" s="4">
        <f>+AJ201/BIDU_IS!AJ82</f>
        <v>6.5963903135146759E-2</v>
      </c>
      <c r="AK205" s="4">
        <f>+AK201/BIDU_IS!AK82</f>
        <v>6.9126331310238098E-2</v>
      </c>
      <c r="AL205" s="4">
        <f>+AL201/BIDU_IS!AL82</f>
        <v>5.3913959950177261E-2</v>
      </c>
      <c r="AM205" s="4">
        <f>+AM201/BIDU_IS!AM82</f>
        <v>5.5234365021925164E-2</v>
      </c>
      <c r="AN205" s="4">
        <f>+AN201/BIDU_IS!AN82</f>
        <v>5.0449991509594165E-2</v>
      </c>
      <c r="AO205" s="66">
        <f>AVERAGE(AK205:AN205)</f>
        <v>5.7181161947983672E-2</v>
      </c>
      <c r="AP205" s="66">
        <f t="shared" ref="AP205:AV205" si="313">AO205</f>
        <v>5.7181161947983672E-2</v>
      </c>
      <c r="AQ205" s="66">
        <f t="shared" si="313"/>
        <v>5.7181161947983672E-2</v>
      </c>
      <c r="AR205" s="66">
        <f t="shared" si="313"/>
        <v>5.7181161947983672E-2</v>
      </c>
      <c r="AS205" s="66">
        <f t="shared" si="313"/>
        <v>5.7181161947983672E-2</v>
      </c>
      <c r="AT205" s="66">
        <f t="shared" si="313"/>
        <v>5.7181161947983672E-2</v>
      </c>
      <c r="AU205" s="66">
        <f t="shared" si="313"/>
        <v>5.7181161947983672E-2</v>
      </c>
      <c r="AV205" s="66">
        <f t="shared" si="313"/>
        <v>5.7181161947983672E-2</v>
      </c>
      <c r="AW205" s="66">
        <f t="shared" ref="AW205" si="314">AV205</f>
        <v>5.7181161947983672E-2</v>
      </c>
      <c r="AX205" s="66">
        <f t="shared" ref="AX205" si="315">AW205</f>
        <v>5.7181161947983672E-2</v>
      </c>
      <c r="AY205" s="66">
        <f t="shared" ref="AY205" si="316">AX205</f>
        <v>5.7181161947983672E-2</v>
      </c>
      <c r="AZ205" s="66">
        <f t="shared" ref="AZ205" si="317">AY205</f>
        <v>5.7181161947983672E-2</v>
      </c>
      <c r="BB205"/>
      <c r="BC205"/>
      <c r="BD205"/>
      <c r="BE205"/>
      <c r="BF205"/>
      <c r="BG205"/>
    </row>
    <row r="206" spans="2:59" s="1" customFormat="1">
      <c r="B206" s="1" t="s">
        <v>169</v>
      </c>
      <c r="E206" s="10"/>
      <c r="F206" s="4">
        <f t="shared" ref="F206:M208" ca="1" si="318">+F198/F$197</f>
        <v>0.46691817518942397</v>
      </c>
      <c r="G206" s="4">
        <f t="shared" ca="1" si="318"/>
        <v>0.43780706025422117</v>
      </c>
      <c r="H206" s="4">
        <f t="shared" ca="1" si="318"/>
        <v>0.414114714572904</v>
      </c>
      <c r="I206" s="4">
        <f t="shared" ca="1" si="318"/>
        <v>0.33154891627736649</v>
      </c>
      <c r="J206" s="4">
        <f t="shared" ca="1" si="318"/>
        <v>0.32477470157268279</v>
      </c>
      <c r="K206" s="4">
        <f t="shared" ca="1" si="318"/>
        <v>0.33681058880069925</v>
      </c>
      <c r="L206" s="4">
        <f t="shared" ca="1" si="318"/>
        <v>0.34349174236846963</v>
      </c>
      <c r="M206" s="4">
        <f t="shared" ca="1" si="318"/>
        <v>0.34820318749571438</v>
      </c>
      <c r="N206" s="4">
        <f t="shared" ref="N206" ca="1" si="319">+N198/N$197</f>
        <v>0.34978522060513356</v>
      </c>
      <c r="O206" s="71"/>
      <c r="P206" s="71"/>
      <c r="Q206" s="4">
        <f ca="1">+Q198/Q$197</f>
        <v>9.9522936234929624E-2</v>
      </c>
      <c r="R206" s="4">
        <f t="shared" ref="R206:AV206" ca="1" si="320">+R198/R197</f>
        <v>0.10930962549424812</v>
      </c>
      <c r="S206" s="4">
        <f t="shared" ca="1" si="320"/>
        <v>0.10125192157376768</v>
      </c>
      <c r="T206" s="4">
        <f t="shared" ca="1" si="320"/>
        <v>0.1017791610487033</v>
      </c>
      <c r="U206" s="4">
        <f t="shared" ca="1" si="320"/>
        <v>9.9230610873047284E-2</v>
      </c>
      <c r="V206" s="4">
        <f t="shared" ca="1" si="320"/>
        <v>0.10676105397373588</v>
      </c>
      <c r="W206" s="4">
        <f t="shared" ca="1" si="320"/>
        <v>0.10111187731733379</v>
      </c>
      <c r="X206" s="4">
        <f t="shared" ca="1" si="320"/>
        <v>0.10326619193440852</v>
      </c>
      <c r="Y206" s="4">
        <f t="shared" ca="1" si="320"/>
        <v>9.1014564503501441E-2</v>
      </c>
      <c r="Z206" s="4">
        <f t="shared" ca="1" si="320"/>
        <v>8.3836120787151414E-2</v>
      </c>
      <c r="AA206" s="4">
        <f t="shared" ca="1" si="320"/>
        <v>8.0493595795077921E-2</v>
      </c>
      <c r="AB206" s="4">
        <f t="shared" ca="1" si="320"/>
        <v>7.7227555704756701E-2</v>
      </c>
      <c r="AC206" s="4">
        <f t="shared" si="320"/>
        <v>7.6730737508506258E-2</v>
      </c>
      <c r="AD206" s="4">
        <f t="shared" si="320"/>
        <v>7.6441006791612365E-2</v>
      </c>
      <c r="AE206" s="4">
        <f t="shared" si="320"/>
        <v>7.56220107991179E-2</v>
      </c>
      <c r="AF206" s="4">
        <f t="shared" si="320"/>
        <v>7.313911893696852E-2</v>
      </c>
      <c r="AG206" s="4">
        <f t="shared" si="320"/>
        <v>7.486397781827582E-2</v>
      </c>
      <c r="AH206" s="4">
        <f t="shared" si="320"/>
        <v>8.0591928080118586E-2</v>
      </c>
      <c r="AI206" s="4">
        <f t="shared" si="320"/>
        <v>8.1594524891100181E-2</v>
      </c>
      <c r="AJ206" s="4">
        <f t="shared" si="320"/>
        <v>8.1522763205445811E-2</v>
      </c>
      <c r="AK206" s="4">
        <f t="shared" si="320"/>
        <v>8.1638709910479126E-2</v>
      </c>
      <c r="AL206" s="4">
        <f t="shared" si="320"/>
        <v>8.3626714751429465E-2</v>
      </c>
      <c r="AM206" s="4">
        <f t="shared" si="320"/>
        <v>8.2209432179366035E-2</v>
      </c>
      <c r="AN206" s="4">
        <f t="shared" si="320"/>
        <v>8.2351965500082933E-2</v>
      </c>
      <c r="AO206" s="4">
        <f t="shared" si="320"/>
        <v>8.2351965500082933E-2</v>
      </c>
      <c r="AP206" s="4">
        <f t="shared" ca="1" si="320"/>
        <v>8.2351965500082933E-2</v>
      </c>
      <c r="AQ206" s="4">
        <f t="shared" ca="1" si="320"/>
        <v>8.2351965500082933E-2</v>
      </c>
      <c r="AR206" s="4">
        <f t="shared" ca="1" si="320"/>
        <v>8.2351965500082933E-2</v>
      </c>
      <c r="AS206" s="4">
        <f t="shared" ca="1" si="320"/>
        <v>8.2351965500082946E-2</v>
      </c>
      <c r="AT206" s="4">
        <f t="shared" ca="1" si="320"/>
        <v>8.2351965500082933E-2</v>
      </c>
      <c r="AU206" s="4">
        <f t="shared" ca="1" si="320"/>
        <v>8.2351965500082933E-2</v>
      </c>
      <c r="AV206" s="4">
        <f t="shared" ca="1" si="320"/>
        <v>8.2351965500082946E-2</v>
      </c>
      <c r="AW206" s="4">
        <f t="shared" ref="AW206:AZ206" ca="1" si="321">+AW198/AW197</f>
        <v>8.2351965500082946E-2</v>
      </c>
      <c r="AX206" s="4">
        <f t="shared" ca="1" si="321"/>
        <v>8.2351965500082933E-2</v>
      </c>
      <c r="AY206" s="4">
        <f t="shared" ca="1" si="321"/>
        <v>8.2351965500082933E-2</v>
      </c>
      <c r="AZ206" s="4">
        <f t="shared" ca="1" si="321"/>
        <v>8.2351965500082946E-2</v>
      </c>
      <c r="BB206"/>
      <c r="BC206"/>
      <c r="BD206"/>
      <c r="BE206"/>
      <c r="BF206"/>
      <c r="BG206"/>
    </row>
    <row r="207" spans="2:59" s="1" customFormat="1">
      <c r="B207" s="3" t="s">
        <v>168</v>
      </c>
      <c r="E207" s="10"/>
      <c r="F207" s="4">
        <f t="shared" ca="1" si="318"/>
        <v>0.39053494208416828</v>
      </c>
      <c r="G207" s="4">
        <f t="shared" ca="1" si="318"/>
        <v>0.37800758614534358</v>
      </c>
      <c r="H207" s="4">
        <f t="shared" ca="1" si="318"/>
        <v>0.36474045615600559</v>
      </c>
      <c r="I207" s="4">
        <f t="shared" ca="1" si="318"/>
        <v>0.29267931817670118</v>
      </c>
      <c r="J207" s="4">
        <f t="shared" ca="1" si="318"/>
        <v>0.28934377089875746</v>
      </c>
      <c r="K207" s="4">
        <f t="shared" ca="1" si="318"/>
        <v>0.2999739338649739</v>
      </c>
      <c r="L207" s="4">
        <f t="shared" ca="1" si="318"/>
        <v>0.30613312386313757</v>
      </c>
      <c r="M207" s="4">
        <f t="shared" ca="1" si="318"/>
        <v>0.31033214595539499</v>
      </c>
      <c r="N207" s="4">
        <f t="shared" ref="N207" ca="1" si="322">+N199/N$197</f>
        <v>0.31174211504082905</v>
      </c>
      <c r="O207" s="71"/>
      <c r="P207" s="71"/>
      <c r="Q207" s="4">
        <f>+Q199/Q$197</f>
        <v>8.3241960163119785E-2</v>
      </c>
      <c r="R207" s="4">
        <f t="shared" ref="R207:AM207" si="323">+R199/R$197</f>
        <v>9.1427643064696987E-2</v>
      </c>
      <c r="S207" s="4">
        <f t="shared" si="323"/>
        <v>8.4688100461456986E-2</v>
      </c>
      <c r="T207" s="4">
        <f t="shared" si="323"/>
        <v>8.5129088730386382E-2</v>
      </c>
      <c r="U207" s="4">
        <f t="shared" si="323"/>
        <v>8.5676835969862211E-2</v>
      </c>
      <c r="V207" s="4">
        <f t="shared" si="323"/>
        <v>9.2178706034367883E-2</v>
      </c>
      <c r="W207" s="4">
        <f t="shared" si="323"/>
        <v>8.7301142775440085E-2</v>
      </c>
      <c r="X207" s="4">
        <f t="shared" si="323"/>
        <v>8.9161202473255805E-2</v>
      </c>
      <c r="Y207" s="4">
        <f t="shared" si="323"/>
        <v>8.0163038418194402E-2</v>
      </c>
      <c r="Z207" s="4">
        <f t="shared" si="323"/>
        <v>7.3840469469413944E-2</v>
      </c>
      <c r="AA207" s="4">
        <f t="shared" si="323"/>
        <v>7.0896468574446703E-2</v>
      </c>
      <c r="AB207" s="4">
        <f t="shared" si="323"/>
        <v>6.8019833404416183E-2</v>
      </c>
      <c r="AC207" s="4">
        <f t="shared" si="323"/>
        <v>6.6905530888771575E-2</v>
      </c>
      <c r="AD207" s="4">
        <f t="shared" si="323"/>
        <v>6.7302388704308422E-2</v>
      </c>
      <c r="AE207" s="4">
        <f t="shared" si="323"/>
        <v>6.6644104715167365E-2</v>
      </c>
      <c r="AF207" s="4">
        <f t="shared" si="323"/>
        <v>6.5506254437588105E-2</v>
      </c>
      <c r="AG207" s="4">
        <f t="shared" si="323"/>
        <v>6.6559099180803993E-2</v>
      </c>
      <c r="AH207" s="4">
        <f t="shared" si="323"/>
        <v>7.186029772771689E-2</v>
      </c>
      <c r="AI207" s="4">
        <f t="shared" si="323"/>
        <v>7.2822902419160687E-2</v>
      </c>
      <c r="AJ207" s="4">
        <f t="shared" si="323"/>
        <v>7.2575343526667196E-2</v>
      </c>
      <c r="AK207" s="4">
        <f t="shared" si="323"/>
        <v>7.2869190855461508E-2</v>
      </c>
      <c r="AL207" s="4">
        <f t="shared" si="323"/>
        <v>7.4294978341398712E-2</v>
      </c>
      <c r="AM207" s="4">
        <f t="shared" si="323"/>
        <v>7.3189588523322732E-2</v>
      </c>
      <c r="AN207" s="4">
        <f t="shared" ref="AN207" si="324">+AN199/AN$197</f>
        <v>7.3395256261403224E-2</v>
      </c>
      <c r="AO207" s="66">
        <f t="shared" ref="AO207:AV208" si="325">AN207</f>
        <v>7.3395256261403224E-2</v>
      </c>
      <c r="AP207" s="66">
        <f t="shared" si="325"/>
        <v>7.3395256261403224E-2</v>
      </c>
      <c r="AQ207" s="66">
        <f t="shared" si="325"/>
        <v>7.3395256261403224E-2</v>
      </c>
      <c r="AR207" s="66">
        <f t="shared" si="325"/>
        <v>7.3395256261403224E-2</v>
      </c>
      <c r="AS207" s="66">
        <f t="shared" si="325"/>
        <v>7.3395256261403224E-2</v>
      </c>
      <c r="AT207" s="66">
        <f t="shared" si="325"/>
        <v>7.3395256261403224E-2</v>
      </c>
      <c r="AU207" s="66">
        <f t="shared" si="325"/>
        <v>7.3395256261403224E-2</v>
      </c>
      <c r="AV207" s="66">
        <f t="shared" si="325"/>
        <v>7.3395256261403224E-2</v>
      </c>
      <c r="AW207" s="66">
        <f t="shared" ref="AW207:AW208" si="326">AV207</f>
        <v>7.3395256261403224E-2</v>
      </c>
      <c r="AX207" s="66">
        <f t="shared" ref="AX207:AX208" si="327">AW207</f>
        <v>7.3395256261403224E-2</v>
      </c>
      <c r="AY207" s="66">
        <f t="shared" ref="AY207:AY208" si="328">AX207</f>
        <v>7.3395256261403224E-2</v>
      </c>
      <c r="AZ207" s="66">
        <f t="shared" ref="AZ207:AZ208" si="329">AY207</f>
        <v>7.3395256261403224E-2</v>
      </c>
      <c r="BB207"/>
      <c r="BC207"/>
      <c r="BD207"/>
      <c r="BE207"/>
      <c r="BF207"/>
      <c r="BG207"/>
    </row>
    <row r="208" spans="2:59" s="1" customFormat="1">
      <c r="B208" s="3" t="s">
        <v>167</v>
      </c>
      <c r="E208" s="10"/>
      <c r="F208" s="4">
        <f t="shared" ca="1" si="318"/>
        <v>7.6383233105255716E-2</v>
      </c>
      <c r="G208" s="4">
        <f t="shared" ca="1" si="318"/>
        <v>5.9799474108877579E-2</v>
      </c>
      <c r="H208" s="4">
        <f t="shared" ca="1" si="318"/>
        <v>4.9374258416898423E-2</v>
      </c>
      <c r="I208" s="4">
        <f t="shared" ca="1" si="318"/>
        <v>3.886959810066528E-2</v>
      </c>
      <c r="J208" s="4">
        <f t="shared" ca="1" si="318"/>
        <v>3.5430930673925332E-2</v>
      </c>
      <c r="K208" s="4">
        <f t="shared" ca="1" si="318"/>
        <v>3.6836654935725376E-2</v>
      </c>
      <c r="L208" s="4">
        <f t="shared" ca="1" si="318"/>
        <v>3.7358618505332043E-2</v>
      </c>
      <c r="M208" s="4">
        <f t="shared" ca="1" si="318"/>
        <v>3.7871041540319381E-2</v>
      </c>
      <c r="N208" s="4">
        <f t="shared" ref="N208" ca="1" si="330">+N200/N$197</f>
        <v>3.8043105564304555E-2</v>
      </c>
      <c r="O208" s="71"/>
      <c r="P208" s="71"/>
      <c r="Q208" s="4">
        <f ca="1">+Q200/Q$197</f>
        <v>1.6280976071809838E-2</v>
      </c>
      <c r="R208" s="4">
        <f t="shared" ref="R208:AM208" ca="1" si="331">+R200/R$197</f>
        <v>1.7881982429551135E-2</v>
      </c>
      <c r="S208" s="4">
        <f t="shared" ca="1" si="331"/>
        <v>1.6563821112310695E-2</v>
      </c>
      <c r="T208" s="4">
        <f t="shared" ca="1" si="331"/>
        <v>1.6650072318316906E-2</v>
      </c>
      <c r="U208" s="4">
        <f t="shared" ca="1" si="331"/>
        <v>1.3553774903185068E-2</v>
      </c>
      <c r="V208" s="4">
        <f t="shared" ca="1" si="331"/>
        <v>1.4582347939367996E-2</v>
      </c>
      <c r="W208" s="4">
        <f t="shared" ca="1" si="331"/>
        <v>1.3810734541893705E-2</v>
      </c>
      <c r="X208" s="4">
        <f t="shared" ca="1" si="331"/>
        <v>1.4104989461152717E-2</v>
      </c>
      <c r="Y208" s="4">
        <f t="shared" ca="1" si="331"/>
        <v>1.0851526085307039E-2</v>
      </c>
      <c r="Z208" s="4">
        <f t="shared" ca="1" si="331"/>
        <v>9.9956513177374747E-3</v>
      </c>
      <c r="AA208" s="4">
        <f t="shared" ca="1" si="331"/>
        <v>9.5971272206312151E-3</v>
      </c>
      <c r="AB208" s="4">
        <f t="shared" ca="1" si="331"/>
        <v>9.2077223003405161E-3</v>
      </c>
      <c r="AC208" s="4">
        <f t="shared" si="331"/>
        <v>9.8252066197346884E-3</v>
      </c>
      <c r="AD208" s="4">
        <f t="shared" si="331"/>
        <v>9.1386180873039412E-3</v>
      </c>
      <c r="AE208" s="4">
        <f t="shared" si="331"/>
        <v>8.9779060839505279E-3</v>
      </c>
      <c r="AF208" s="4">
        <f t="shared" si="331"/>
        <v>7.6328644993804221E-3</v>
      </c>
      <c r="AG208" s="4">
        <f t="shared" si="331"/>
        <v>8.304878637471827E-3</v>
      </c>
      <c r="AH208" s="4">
        <f t="shared" si="331"/>
        <v>8.7316303524017005E-3</v>
      </c>
      <c r="AI208" s="4">
        <f t="shared" si="331"/>
        <v>8.771622471939489E-3</v>
      </c>
      <c r="AJ208" s="4">
        <f t="shared" si="331"/>
        <v>8.9474196787786078E-3</v>
      </c>
      <c r="AK208" s="4">
        <f t="shared" si="331"/>
        <v>8.7695190550176119E-3</v>
      </c>
      <c r="AL208" s="4">
        <f t="shared" si="331"/>
        <v>9.3317364100307561E-3</v>
      </c>
      <c r="AM208" s="4">
        <f t="shared" si="331"/>
        <v>9.0198436560432957E-3</v>
      </c>
      <c r="AN208" s="4">
        <f t="shared" ref="AN208" si="332">+AN200/AN$197</f>
        <v>8.9567092386797151E-3</v>
      </c>
      <c r="AO208" s="66">
        <f t="shared" si="325"/>
        <v>8.9567092386797151E-3</v>
      </c>
      <c r="AP208" s="66">
        <f t="shared" si="325"/>
        <v>8.9567092386797151E-3</v>
      </c>
      <c r="AQ208" s="66">
        <f t="shared" si="325"/>
        <v>8.9567092386797151E-3</v>
      </c>
      <c r="AR208" s="66">
        <f t="shared" si="325"/>
        <v>8.9567092386797151E-3</v>
      </c>
      <c r="AS208" s="66">
        <f t="shared" si="325"/>
        <v>8.9567092386797151E-3</v>
      </c>
      <c r="AT208" s="66">
        <f t="shared" si="325"/>
        <v>8.9567092386797151E-3</v>
      </c>
      <c r="AU208" s="66">
        <f t="shared" si="325"/>
        <v>8.9567092386797151E-3</v>
      </c>
      <c r="AV208" s="66">
        <f t="shared" si="325"/>
        <v>8.9567092386797151E-3</v>
      </c>
      <c r="AW208" s="66">
        <f t="shared" si="326"/>
        <v>8.9567092386797151E-3</v>
      </c>
      <c r="AX208" s="66">
        <f t="shared" si="327"/>
        <v>8.9567092386797151E-3</v>
      </c>
      <c r="AY208" s="66">
        <f t="shared" si="328"/>
        <v>8.9567092386797151E-3</v>
      </c>
      <c r="AZ208" s="66">
        <f t="shared" si="329"/>
        <v>8.9567092386797151E-3</v>
      </c>
      <c r="BB208"/>
      <c r="BC208"/>
      <c r="BD208"/>
      <c r="BE208"/>
      <c r="BF208"/>
      <c r="BG208"/>
    </row>
    <row r="209" spans="2:59" s="1" customFormat="1">
      <c r="I209" s="10"/>
      <c r="AC209" s="10"/>
      <c r="AG209" s="40"/>
      <c r="AH209" s="40"/>
      <c r="AI209" s="40"/>
      <c r="AJ209" s="40"/>
      <c r="BB209"/>
      <c r="BC209"/>
      <c r="BD209"/>
      <c r="BE209"/>
      <c r="BF209"/>
      <c r="BG209"/>
    </row>
    <row r="210" spans="2:59" s="1" customFormat="1">
      <c r="B210" s="8" t="s">
        <v>166</v>
      </c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12"/>
      <c r="AH210" s="12"/>
      <c r="AI210" s="12"/>
      <c r="AJ210" s="1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B210"/>
      <c r="BC210"/>
      <c r="BD210"/>
      <c r="BE210"/>
      <c r="BF210"/>
      <c r="BG210"/>
    </row>
    <row r="211" spans="2:59" s="1" customFormat="1">
      <c r="B211" s="1" t="s">
        <v>165</v>
      </c>
      <c r="E211" s="58"/>
      <c r="F211" s="58">
        <f t="shared" ref="F211:N211" si="333">+E216</f>
        <v>928.51099999999997</v>
      </c>
      <c r="G211" s="58">
        <f t="shared" ca="1" si="333"/>
        <v>1587.665</v>
      </c>
      <c r="H211" s="58">
        <f t="shared" ca="1" si="333"/>
        <v>3630.3150000000001</v>
      </c>
      <c r="I211" s="58">
        <f t="shared" ca="1" si="333"/>
        <v>3574.3589999999999</v>
      </c>
      <c r="J211" s="58">
        <f t="shared" ca="1" si="333"/>
        <v>3334.6190000000001</v>
      </c>
      <c r="K211" s="58">
        <f t="shared" ca="1" si="333"/>
        <v>3872.2269999999999</v>
      </c>
      <c r="L211" s="58">
        <f t="shared" ca="1" si="333"/>
        <v>5051.2269999999999</v>
      </c>
      <c r="M211" s="58">
        <f t="shared" ca="1" si="333"/>
        <v>6140.0210517818141</v>
      </c>
      <c r="N211" s="58">
        <f t="shared" ca="1" si="333"/>
        <v>5693.5133324218114</v>
      </c>
      <c r="O211" s="58"/>
      <c r="P211" s="58"/>
      <c r="Q211" s="67">
        <v>928.51099999999997</v>
      </c>
      <c r="R211" s="58">
        <f t="shared" ref="R211:AN211" si="334">+Q216</f>
        <v>899.40300000000002</v>
      </c>
      <c r="S211" s="58">
        <f t="shared" si="334"/>
        <v>862.62400000000002</v>
      </c>
      <c r="T211" s="58">
        <f t="shared" si="334"/>
        <v>899.43700000000001</v>
      </c>
      <c r="U211" s="58">
        <f t="shared" si="334"/>
        <v>1587.665</v>
      </c>
      <c r="V211" s="58">
        <f t="shared" si="334"/>
        <v>1974.2360000000001</v>
      </c>
      <c r="W211" s="58">
        <f t="shared" si="334"/>
        <v>2315.4589999999998</v>
      </c>
      <c r="X211" s="58">
        <f t="shared" si="334"/>
        <v>2304.5279999999998</v>
      </c>
      <c r="Y211" s="58">
        <f t="shared" si="334"/>
        <v>3630.3150000000001</v>
      </c>
      <c r="Z211" s="58">
        <f t="shared" si="334"/>
        <v>3625.502</v>
      </c>
      <c r="AA211" s="58">
        <f t="shared" si="334"/>
        <v>3478.03</v>
      </c>
      <c r="AB211" s="58">
        <f t="shared" si="334"/>
        <v>3421.817</v>
      </c>
      <c r="AC211" s="58">
        <f t="shared" si="334"/>
        <v>3574.3589999999999</v>
      </c>
      <c r="AD211" s="58">
        <f t="shared" si="334"/>
        <v>3547.4259999999999</v>
      </c>
      <c r="AE211" s="58">
        <f t="shared" si="334"/>
        <v>3633.241</v>
      </c>
      <c r="AF211" s="58">
        <f t="shared" si="334"/>
        <v>3574.3159999999998</v>
      </c>
      <c r="AG211" s="58">
        <f t="shared" si="334"/>
        <v>3334.6190000000001</v>
      </c>
      <c r="AH211" s="58">
        <f t="shared" si="334"/>
        <v>3421.21</v>
      </c>
      <c r="AI211" s="58">
        <f t="shared" si="334"/>
        <v>3489.6190000000001</v>
      </c>
      <c r="AJ211" s="58">
        <f t="shared" si="334"/>
        <v>4185.2629999999999</v>
      </c>
      <c r="AK211" s="58">
        <f t="shared" si="334"/>
        <v>3872.2269999999999</v>
      </c>
      <c r="AL211" s="58">
        <f t="shared" si="334"/>
        <v>5025.8069999999998</v>
      </c>
      <c r="AM211" s="58">
        <f t="shared" si="334"/>
        <v>4900</v>
      </c>
      <c r="AN211" s="58">
        <f t="shared" si="334"/>
        <v>4895</v>
      </c>
      <c r="AO211" s="58">
        <f t="shared" ref="AO211:AV211" si="335">AN216</f>
        <v>5467</v>
      </c>
      <c r="AP211" s="58">
        <f t="shared" ca="1" si="335"/>
        <v>6188.3028812222483</v>
      </c>
      <c r="AQ211" s="58">
        <f t="shared" ca="1" si="335"/>
        <v>6308.56736018027</v>
      </c>
      <c r="AR211" s="58">
        <f t="shared" ca="1" si="335"/>
        <v>6614.54831886586</v>
      </c>
      <c r="AS211" s="58">
        <f t="shared" ca="1" si="335"/>
        <v>6555.7940517818133</v>
      </c>
      <c r="AT211" s="58">
        <f t="shared" ca="1" si="335"/>
        <v>6557.747929964281</v>
      </c>
      <c r="AU211" s="58">
        <f t="shared" ca="1" si="335"/>
        <v>6384.771644123296</v>
      </c>
      <c r="AV211" s="58">
        <f t="shared" ca="1" si="335"/>
        <v>6412.3873261512927</v>
      </c>
      <c r="AW211" s="58">
        <f t="shared" ref="AW211" ca="1" si="336">AV216</f>
        <v>6109.2863324218133</v>
      </c>
      <c r="AX211" s="58">
        <f t="shared" ref="AX211" ca="1" si="337">AW216</f>
        <v>5621.7459799512299</v>
      </c>
      <c r="AY211" s="58">
        <f t="shared" ref="AY211" ca="1" si="338">AX216</f>
        <v>4853.9659390356946</v>
      </c>
      <c r="AZ211" s="58">
        <f t="shared" ref="AZ211" ca="1" si="339">AY216</f>
        <v>4577.6219108994874</v>
      </c>
      <c r="BB211"/>
      <c r="BC211"/>
      <c r="BD211"/>
      <c r="BE211"/>
      <c r="BF211"/>
      <c r="BG211"/>
    </row>
    <row r="212" spans="2:59" s="1" customFormat="1">
      <c r="B212" s="11" t="s">
        <v>164</v>
      </c>
      <c r="E212" s="58"/>
      <c r="F212" s="58">
        <f t="shared" ref="F212:M212" ca="1" si="340">SUM(OFFSET($P212,0,F$1,1,4))</f>
        <v>182.64299999999929</v>
      </c>
      <c r="G212" s="58">
        <f t="shared" ca="1" si="340"/>
        <v>409.96000000000521</v>
      </c>
      <c r="H212" s="58">
        <f t="shared" ca="1" si="340"/>
        <v>764.63899999999774</v>
      </c>
      <c r="I212" s="58">
        <f t="shared" ca="1" si="340"/>
        <v>715.10799999999995</v>
      </c>
      <c r="J212" s="58">
        <f t="shared" ca="1" si="340"/>
        <v>531.54999999999995</v>
      </c>
      <c r="K212" s="58">
        <f t="shared" ca="1" si="340"/>
        <v>594.83600000000001</v>
      </c>
      <c r="L212" s="58">
        <f t="shared" ca="1" si="340"/>
        <v>766.44694727428896</v>
      </c>
      <c r="M212" s="58">
        <f t="shared" ca="1" si="340"/>
        <v>807.99249136867229</v>
      </c>
      <c r="N212" s="58">
        <f ca="1">SUM(OFFSET($P212,0,N$1,1,4))</f>
        <v>659.92958741237032</v>
      </c>
      <c r="O212" s="58"/>
      <c r="P212" s="58"/>
      <c r="Q212" s="58">
        <f t="shared" ref="Q212:AB212" ca="1" si="341">Q226</f>
        <v>42.614077943720304</v>
      </c>
      <c r="R212" s="58">
        <f t="shared" ca="1" si="341"/>
        <v>74.10247143755555</v>
      </c>
      <c r="S212" s="58">
        <f t="shared" ca="1" si="341"/>
        <v>35.824712179090682</v>
      </c>
      <c r="T212" s="58">
        <f t="shared" ca="1" si="341"/>
        <v>30.101738439632754</v>
      </c>
      <c r="U212" s="58">
        <f t="shared" ca="1" si="341"/>
        <v>73.824590290729645</v>
      </c>
      <c r="V212" s="58">
        <f t="shared" ca="1" si="341"/>
        <v>76.331174452776963</v>
      </c>
      <c r="W212" s="58">
        <f t="shared" ca="1" si="341"/>
        <v>88.875741235145028</v>
      </c>
      <c r="X212" s="58">
        <f t="shared" ca="1" si="341"/>
        <v>170.92849402135357</v>
      </c>
      <c r="Y212" s="58">
        <f t="shared" ca="1" si="341"/>
        <v>187.99939671291207</v>
      </c>
      <c r="Z212" s="58">
        <f t="shared" ca="1" si="341"/>
        <v>191.07177423862026</v>
      </c>
      <c r="AA212" s="58">
        <f t="shared" ca="1" si="341"/>
        <v>180.25887334805589</v>
      </c>
      <c r="AB212" s="58">
        <f t="shared" ca="1" si="341"/>
        <v>205.30895570040946</v>
      </c>
      <c r="AC212" s="67">
        <v>181.86600000000001</v>
      </c>
      <c r="AD212" s="67">
        <v>182.37299999999999</v>
      </c>
      <c r="AE212" s="67">
        <v>184.23699999999999</v>
      </c>
      <c r="AF212" s="67">
        <v>166.63200000000001</v>
      </c>
      <c r="AG212" s="67">
        <v>141.875</v>
      </c>
      <c r="AH212" s="67">
        <v>137.54400000000001</v>
      </c>
      <c r="AI212" s="67">
        <v>125.839</v>
      </c>
      <c r="AJ212" s="67">
        <v>126.292</v>
      </c>
      <c r="AK212" s="67">
        <v>67.835999999999999</v>
      </c>
      <c r="AL212" s="67">
        <v>70</v>
      </c>
      <c r="AM212" s="67">
        <v>347</v>
      </c>
      <c r="AN212" s="67">
        <v>110</v>
      </c>
      <c r="AO212" s="58">
        <f t="shared" ref="AO212:AV212" si="342">+AO219*AO211</f>
        <v>170.48149173934419</v>
      </c>
      <c r="AP212" s="58">
        <f t="shared" ca="1" si="342"/>
        <v>192.9744112905891</v>
      </c>
      <c r="AQ212" s="58">
        <f t="shared" ca="1" si="342"/>
        <v>196.72470720718295</v>
      </c>
      <c r="AR212" s="58">
        <f t="shared" ca="1" si="342"/>
        <v>206.26633703717269</v>
      </c>
      <c r="AS212" s="58">
        <f t="shared" ca="1" si="342"/>
        <v>204.43415940802689</v>
      </c>
      <c r="AT212" s="58">
        <f t="shared" ca="1" si="342"/>
        <v>204.49508863195666</v>
      </c>
      <c r="AU212" s="58">
        <f t="shared" ca="1" si="342"/>
        <v>199.10104157768515</v>
      </c>
      <c r="AV212" s="58">
        <f t="shared" ca="1" si="342"/>
        <v>199.96220175100365</v>
      </c>
      <c r="AW212" s="58">
        <f t="shared" ref="AW212:AZ212" ca="1" si="343">+AW219*AW211</f>
        <v>190.51037999159644</v>
      </c>
      <c r="AX212" s="58">
        <f t="shared" ca="1" si="343"/>
        <v>175.30704972411689</v>
      </c>
      <c r="AY212" s="58">
        <f t="shared" ca="1" si="343"/>
        <v>151.36479863522442</v>
      </c>
      <c r="AZ212" s="58">
        <f t="shared" ca="1" si="343"/>
        <v>142.74735906143258</v>
      </c>
      <c r="BB212"/>
      <c r="BC212"/>
      <c r="BD212"/>
      <c r="BE212"/>
      <c r="BF212"/>
      <c r="BG212"/>
    </row>
    <row r="213" spans="2:59" s="1" customFormat="1">
      <c r="B213" s="11" t="s">
        <v>163</v>
      </c>
      <c r="E213" s="58"/>
      <c r="F213" s="67">
        <v>234.001</v>
      </c>
      <c r="G213" s="67">
        <v>949.85</v>
      </c>
      <c r="H213" s="67">
        <v>1748.3869999999999</v>
      </c>
      <c r="I213" s="67">
        <f ca="1">2974.658-I212</f>
        <v>2259.5500000000002</v>
      </c>
      <c r="J213" s="67">
        <f ca="1">4876.135-J212</f>
        <v>4344.585</v>
      </c>
      <c r="K213" s="67">
        <f ca="1">7943-K212</f>
        <v>7348.1639999999998</v>
      </c>
      <c r="L213" s="58">
        <f t="shared" ref="L213:M215" ca="1" si="344">SUM(OFFSET($P213,0,L$1,1,4))</f>
        <v>15315.040308936568</v>
      </c>
      <c r="M213" s="58">
        <f t="shared" ca="1" si="344"/>
        <v>18129.016027564932</v>
      </c>
      <c r="N213" s="58">
        <f ca="1">SUM(OFFSET($P213,0,N$1,1,4))</f>
        <v>20378.703385798159</v>
      </c>
      <c r="O213" s="58"/>
      <c r="P213" s="58"/>
      <c r="Q213" s="58">
        <f>+Q218*(Q211+Q214)</f>
        <v>58.889309250037428</v>
      </c>
      <c r="R213" s="58">
        <f>+R218*(R211+R214)</f>
        <v>57.302667397531145</v>
      </c>
      <c r="S213" s="58">
        <f>+S218*(S211+S214)</f>
        <v>54.986755987720308</v>
      </c>
      <c r="T213" s="58">
        <f>F213-SUM(Q213:S213)</f>
        <v>62.822267364711138</v>
      </c>
      <c r="U213" s="58">
        <f ca="1">+U218*(U211+U214)</f>
        <v>176.66073078508381</v>
      </c>
      <c r="V213" s="58">
        <f ca="1">+V218*(V211+V214)</f>
        <v>223.16531552013913</v>
      </c>
      <c r="W213" s="58">
        <f ca="1">+W218*(W211+W214)</f>
        <v>266.77636986651811</v>
      </c>
      <c r="X213" s="58">
        <f ca="1">+G213-SUM(U213:W213)</f>
        <v>283.24758382825905</v>
      </c>
      <c r="Y213" s="58">
        <f ca="1">+Y218*(Y211+Y214)</f>
        <v>441.12397321107989</v>
      </c>
      <c r="Z213" s="58">
        <f ca="1">+Z218*(Z211+Z214)</f>
        <v>436.92561411895781</v>
      </c>
      <c r="AA213" s="58">
        <f ca="1">+AA218*(AA211+AA214)</f>
        <v>433.88120692628911</v>
      </c>
      <c r="AB213" s="58">
        <f ca="1">H213-SUM(Y213:AA213)</f>
        <v>436.45620574367308</v>
      </c>
      <c r="AC213" s="58">
        <f ca="1">+AC218*(AC211+AC214)</f>
        <v>535.04579846926845</v>
      </c>
      <c r="AD213" s="58">
        <f ca="1">+AD218*(AD211+AD214)</f>
        <v>552.17058878881119</v>
      </c>
      <c r="AE213" s="58">
        <f ca="1">+AE218*(AE211+AE214)</f>
        <v>570.36063325042062</v>
      </c>
      <c r="AF213" s="58">
        <f ca="1">I213-SUM(AC213:AE213)</f>
        <v>601.97297949150015</v>
      </c>
      <c r="AG213" s="58">
        <f ca="1">+AG218*(AG211+AG214)</f>
        <v>930.53943480571138</v>
      </c>
      <c r="AH213" s="58">
        <f ca="1">+AH218*(AH211+AH214)</f>
        <v>1001.771762931148</v>
      </c>
      <c r="AI213" s="58">
        <f ca="1">+AI218*(AI211+AI214)</f>
        <v>1102.0348848528581</v>
      </c>
      <c r="AJ213" s="58">
        <f ca="1">+J213-SUM(AG213:AI213)</f>
        <v>1310.2389174102827</v>
      </c>
      <c r="AK213" s="58">
        <f t="shared" ref="AK213:AM213" ca="1" si="345">+AK218*(AK211+AK214)</f>
        <v>1497.3483338478625</v>
      </c>
      <c r="AL213" s="58">
        <f t="shared" ca="1" si="345"/>
        <v>1887.8149932206743</v>
      </c>
      <c r="AM213" s="58">
        <f t="shared" ca="1" si="345"/>
        <v>1995.7946154939511</v>
      </c>
      <c r="AN213" s="58">
        <f ca="1">K213-SUM(AK213:AM213)</f>
        <v>1967.2060574375118</v>
      </c>
      <c r="AO213" s="58">
        <f ca="1">'IQ_BS + CFS'!AO287</f>
        <v>2636.4579009520053</v>
      </c>
      <c r="AP213" s="58">
        <f ca="1">'IQ_BS + CFS'!AP287</f>
        <v>3924.331620530691</v>
      </c>
      <c r="AQ213" s="58">
        <f ca="1">'IQ_BS + CFS'!AQ287</f>
        <v>4261.251657396755</v>
      </c>
      <c r="AR213" s="58">
        <f ca="1">'IQ_BS + CFS'!AR287</f>
        <v>4492.9991300571173</v>
      </c>
      <c r="AS213" s="58">
        <f ca="1">'IQ_BS + CFS'!AS287</f>
        <v>4096.1263141731934</v>
      </c>
      <c r="AT213" s="58">
        <f ca="1">'IQ_BS + CFS'!AT287</f>
        <v>4618.7017414026659</v>
      </c>
      <c r="AU213" s="58">
        <f ca="1">'IQ_BS + CFS'!AU287</f>
        <v>4677.4231592694377</v>
      </c>
      <c r="AV213" s="58">
        <f ca="1">'IQ_BS + CFS'!AV287</f>
        <v>4736.7648127196344</v>
      </c>
      <c r="AW213" s="58">
        <f ca="1">'IQ_BS + CFS'!AW287</f>
        <v>4767.3042375669093</v>
      </c>
      <c r="AX213" s="58">
        <f ca="1">'IQ_BS + CFS'!AX287</f>
        <v>5420.9122911058439</v>
      </c>
      <c r="AY213" s="58">
        <f ca="1">'IQ_BS + CFS'!AY287</f>
        <v>5137.5757819446935</v>
      </c>
      <c r="AZ213" s="58">
        <f ca="1">'IQ_BS + CFS'!AZ287</f>
        <v>5052.9110751807111</v>
      </c>
      <c r="BB213"/>
      <c r="BC213"/>
      <c r="BD213"/>
      <c r="BE213"/>
      <c r="BF213"/>
      <c r="BG213"/>
    </row>
    <row r="214" spans="2:59" s="1" customFormat="1">
      <c r="B214" s="1" t="s">
        <v>162</v>
      </c>
      <c r="E214" s="58"/>
      <c r="F214" s="67">
        <v>190.303</v>
      </c>
      <c r="G214" s="67">
        <v>909.71699999999998</v>
      </c>
      <c r="H214" s="67">
        <v>1563.7460000000001</v>
      </c>
      <c r="I214" s="67">
        <v>2492.855</v>
      </c>
      <c r="J214" s="67">
        <v>6294.473</v>
      </c>
      <c r="K214" s="67">
        <v>9122</v>
      </c>
      <c r="L214" s="58">
        <f t="shared" ca="1" si="344"/>
        <v>17170.281307992671</v>
      </c>
      <c r="M214" s="58">
        <f t="shared" ca="1" si="344"/>
        <v>18490.500799573601</v>
      </c>
      <c r="N214" s="58">
        <f ca="1">SUM(OFFSET($P214,0,N$1,1,4))</f>
        <v>19115.839513004601</v>
      </c>
      <c r="O214" s="58"/>
      <c r="P214" s="58"/>
      <c r="Q214" s="58">
        <f>Q221*BIDU_IS!Q105</f>
        <v>25.942166385445283</v>
      </c>
      <c r="R214" s="58">
        <f>R221*BIDU_IS!R105</f>
        <v>29.334542287794061</v>
      </c>
      <c r="S214" s="58">
        <f>S221*BIDU_IS!S105</f>
        <v>28.578223801090488</v>
      </c>
      <c r="T214" s="58">
        <f>T221*BIDU_IS!T105</f>
        <v>106.44806752567017</v>
      </c>
      <c r="U214" s="58">
        <f>U221*BIDU_IS!U105</f>
        <v>101.3646713625181</v>
      </c>
      <c r="V214" s="58">
        <f>V221*BIDU_IS!V105</f>
        <v>159.41779989880129</v>
      </c>
      <c r="W214" s="58">
        <f>W221*BIDU_IS!W105</f>
        <v>235.15427053548058</v>
      </c>
      <c r="X214" s="58">
        <f>X221*BIDU_IS!X105</f>
        <v>382.74790284228709</v>
      </c>
      <c r="Y214" s="58">
        <f>Y221*BIDU_IS!Y105</f>
        <v>328.83671065427433</v>
      </c>
      <c r="Z214" s="58">
        <f>Z221*BIDU_IS!Z105</f>
        <v>295.96882820184345</v>
      </c>
      <c r="AA214" s="58">
        <f>AA221*BIDU_IS!AA105</f>
        <v>416.11683160051842</v>
      </c>
      <c r="AB214" s="58">
        <f>AB221*BIDU_IS!AB105</f>
        <v>494.54948163422745</v>
      </c>
      <c r="AC214" s="58">
        <f>AC221*BIDU_IS!AC105</f>
        <v>404.98726966675861</v>
      </c>
      <c r="AD214" s="58">
        <f>AD221*BIDU_IS!AD105</f>
        <v>559.28407790870267</v>
      </c>
      <c r="AE214" s="58">
        <f>AE221*BIDU_IS!AE105</f>
        <v>608.75560063342061</v>
      </c>
      <c r="AF214" s="58">
        <f>AF221*BIDU_IS!AF105</f>
        <v>919.82805179111813</v>
      </c>
      <c r="AG214" s="58">
        <f>AG221*BIDU_IS!AG105</f>
        <v>1106.6081818107136</v>
      </c>
      <c r="AH214" s="58">
        <f>AH221*BIDU_IS!AH105</f>
        <v>1359.9909003457076</v>
      </c>
      <c r="AI214" s="58">
        <f>AI221*BIDU_IS!AI105</f>
        <v>1770.1121869260649</v>
      </c>
      <c r="AJ214" s="58">
        <f>AJ221*BIDU_IS!AJ105</f>
        <v>2057.7617309175139</v>
      </c>
      <c r="AK214" s="58">
        <f>AK221*BIDU_IS!AK105</f>
        <v>1794.6224367816094</v>
      </c>
      <c r="AL214" s="58">
        <f>AL221*BIDU_IS!AL105</f>
        <v>2118.7986266606958</v>
      </c>
      <c r="AM214" s="58">
        <f>AM221*BIDU_IS!AM105</f>
        <v>2653.2642185400805</v>
      </c>
      <c r="AN214" s="58">
        <f>AN221*BIDU_IS!AN105</f>
        <v>2555.9029705926259</v>
      </c>
      <c r="AO214" s="58">
        <f>'IQ_BS + CFS'!AO278</f>
        <v>3528.2422739135977</v>
      </c>
      <c r="AP214" s="58">
        <f>'IQ_BS + CFS'!AP278</f>
        <v>4237.5705107793019</v>
      </c>
      <c r="AQ214" s="58">
        <f>'IQ_BS + CFS'!AQ278</f>
        <v>4763.9573232895282</v>
      </c>
      <c r="AR214" s="58">
        <f>'IQ_BS + CFS'!AR278</f>
        <v>4640.5112000102436</v>
      </c>
      <c r="AS214" s="58">
        <f>'IQ_BS + CFS'!AS278</f>
        <v>4302.514351763688</v>
      </c>
      <c r="AT214" s="58">
        <f>'IQ_BS + CFS'!AT278</f>
        <v>4650.2205441936376</v>
      </c>
      <c r="AU214" s="58">
        <f>'IQ_BS + CFS'!AU278</f>
        <v>4904.1398828751198</v>
      </c>
      <c r="AV214" s="58">
        <f>'IQ_BS + CFS'!AV278</f>
        <v>4633.6260207411588</v>
      </c>
      <c r="AW214" s="58">
        <f>'IQ_BS + CFS'!AW278</f>
        <v>4470.2742650879227</v>
      </c>
      <c r="AX214" s="58">
        <f>'IQ_BS + CFS'!AX278</f>
        <v>4828.4392999144256</v>
      </c>
      <c r="AY214" s="58">
        <f>'IQ_BS + CFS'!AY278</f>
        <v>5012.5965524437106</v>
      </c>
      <c r="AZ214" s="58">
        <f>'IQ_BS + CFS'!AZ278</f>
        <v>4804.529395558543</v>
      </c>
      <c r="BB214"/>
      <c r="BC214"/>
      <c r="BD214"/>
      <c r="BE214"/>
      <c r="BF214"/>
      <c r="BG214"/>
    </row>
    <row r="215" spans="2:59" s="1" customFormat="1">
      <c r="B215" s="1" t="s">
        <v>161</v>
      </c>
      <c r="E215" s="58"/>
      <c r="F215" s="58">
        <f ca="1">+F216-(F211-F212-F213+F214)</f>
        <v>885.49499999999932</v>
      </c>
      <c r="G215" s="58">
        <f ca="1">+G216-(G211-G212-G213+G214)</f>
        <v>2492.7430000000054</v>
      </c>
      <c r="H215" s="58">
        <f ca="1">+H216-(H211-H212-H213+H214)</f>
        <v>893.32399999999734</v>
      </c>
      <c r="I215" s="58">
        <f ca="1">+I216-(I211-I212-I213+I214)</f>
        <v>242.0630000000001</v>
      </c>
      <c r="J215" s="58">
        <f ca="1">+J216-(J211-J212-J213+J214)</f>
        <v>-880.73000000000047</v>
      </c>
      <c r="K215" s="58">
        <f ca="1">SUM(OFFSET($P215,0,K$1,1,4))</f>
        <v>415.18474742498802</v>
      </c>
      <c r="L215" s="58">
        <f t="shared" ca="1" si="344"/>
        <v>0</v>
      </c>
      <c r="M215" s="58">
        <f t="shared" ca="1" si="344"/>
        <v>0</v>
      </c>
      <c r="N215" s="58">
        <f ca="1">SUM(OFFSET($P215,0,N$1,1,4))</f>
        <v>0</v>
      </c>
      <c r="O215" s="58"/>
      <c r="P215" s="58"/>
      <c r="Q215" s="58">
        <f t="shared" ref="Q215:AM215" ca="1" si="346">+Q216-(Q211-Q212-Q213+Q214)</f>
        <v>46.453220808312494</v>
      </c>
      <c r="R215" s="58">
        <f t="shared" ca="1" si="346"/>
        <v>65.29159654729267</v>
      </c>
      <c r="S215" s="58">
        <f t="shared" ca="1" si="346"/>
        <v>99.046244365720554</v>
      </c>
      <c r="T215" s="58">
        <f t="shared" ca="1" si="346"/>
        <v>674.70393827867372</v>
      </c>
      <c r="U215" s="58">
        <f t="shared" ca="1" si="346"/>
        <v>535.69164971329565</v>
      </c>
      <c r="V215" s="58">
        <f t="shared" ca="1" si="346"/>
        <v>481.3016900741145</v>
      </c>
      <c r="W215" s="58">
        <f t="shared" ca="1" si="346"/>
        <v>109.56684056618269</v>
      </c>
      <c r="X215" s="58">
        <f t="shared" ca="1" si="346"/>
        <v>1397.2151750073253</v>
      </c>
      <c r="Y215" s="58">
        <f t="shared" ca="1" si="346"/>
        <v>295.4736592697177</v>
      </c>
      <c r="Z215" s="58">
        <f t="shared" ca="1" si="346"/>
        <v>184.55656015573504</v>
      </c>
      <c r="AA215" s="58">
        <f t="shared" ca="1" si="346"/>
        <v>141.81024867382621</v>
      </c>
      <c r="AB215" s="58">
        <f t="shared" ca="1" si="346"/>
        <v>299.75767980985529</v>
      </c>
      <c r="AC215" s="58">
        <f t="shared" ca="1" si="346"/>
        <v>284.99152880250995</v>
      </c>
      <c r="AD215" s="58">
        <f t="shared" ca="1" si="346"/>
        <v>261.07451088010839</v>
      </c>
      <c r="AE215" s="58">
        <f t="shared" ca="1" si="346"/>
        <v>86.917032616999677</v>
      </c>
      <c r="AF215" s="58">
        <f t="shared" ca="1" si="346"/>
        <v>-390.92007229961746</v>
      </c>
      <c r="AG215" s="58">
        <f t="shared" ca="1" si="346"/>
        <v>52.397252994997416</v>
      </c>
      <c r="AH215" s="58">
        <f t="shared" ca="1" si="346"/>
        <v>-152.26613741455958</v>
      </c>
      <c r="AI215" s="58">
        <f t="shared" ca="1" si="346"/>
        <v>153.40569792679253</v>
      </c>
      <c r="AJ215" s="58">
        <f t="shared" ca="1" si="346"/>
        <v>-934.26681350723175</v>
      </c>
      <c r="AK215" s="58">
        <f t="shared" ca="1" si="346"/>
        <v>924.14189706625257</v>
      </c>
      <c r="AL215" s="58">
        <f t="shared" ca="1" si="346"/>
        <v>-286.79063344002134</v>
      </c>
      <c r="AM215" s="58">
        <f t="shared" ca="1" si="346"/>
        <v>-315.46960304612912</v>
      </c>
      <c r="AN215" s="58">
        <f t="shared" ref="AN215" ca="1" si="347">+AN216-(AN211-AN212-AN213+AN214)</f>
        <v>93.303086844885911</v>
      </c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8"/>
      <c r="BB215"/>
      <c r="BC215"/>
      <c r="BD215"/>
      <c r="BE215"/>
      <c r="BF215"/>
      <c r="BG215"/>
    </row>
    <row r="216" spans="2:59" s="1" customFormat="1">
      <c r="B216" s="1" t="s">
        <v>160</v>
      </c>
      <c r="E216" s="67">
        <v>928.51099999999997</v>
      </c>
      <c r="F216" s="58">
        <f ca="1">F19</f>
        <v>1587.665</v>
      </c>
      <c r="G216" s="58">
        <f ca="1">G19</f>
        <v>3630.3150000000001</v>
      </c>
      <c r="H216" s="58">
        <f ca="1">H19</f>
        <v>3574.3589999999999</v>
      </c>
      <c r="I216" s="58">
        <f ca="1">I19</f>
        <v>3334.6190000000001</v>
      </c>
      <c r="J216" s="58">
        <f ca="1">J19</f>
        <v>3872.2269999999999</v>
      </c>
      <c r="K216" s="58">
        <f ca="1">K211-K212-K213+K214</f>
        <v>5051.2269999999999</v>
      </c>
      <c r="L216" s="58">
        <f ca="1">L211-L212-L213+L214</f>
        <v>6140.0210517818141</v>
      </c>
      <c r="M216" s="58">
        <f ca="1">M211-M212-M213+M214</f>
        <v>5693.5133324218114</v>
      </c>
      <c r="N216" s="58">
        <f ca="1">N211-N212-N213+N214</f>
        <v>3770.7198722158828</v>
      </c>
      <c r="O216" s="58"/>
      <c r="P216" s="58"/>
      <c r="Q216" s="67">
        <v>899.40300000000002</v>
      </c>
      <c r="R216" s="67">
        <v>862.62400000000002</v>
      </c>
      <c r="S216" s="67">
        <v>899.43700000000001</v>
      </c>
      <c r="T216" s="67">
        <f>'BIDU_BS + CFS'!T19</f>
        <v>1587.665</v>
      </c>
      <c r="U216" s="67">
        <f>'BIDU_BS + CFS'!U19</f>
        <v>1974.2360000000001</v>
      </c>
      <c r="V216" s="67">
        <f>'BIDU_BS + CFS'!V19</f>
        <v>2315.4589999999998</v>
      </c>
      <c r="W216" s="67">
        <f>'BIDU_BS + CFS'!W19</f>
        <v>2304.5279999999998</v>
      </c>
      <c r="X216" s="67">
        <f>'BIDU_BS + CFS'!X19</f>
        <v>3630.3150000000001</v>
      </c>
      <c r="Y216" s="67">
        <f>'BIDU_BS + CFS'!Y19</f>
        <v>3625.502</v>
      </c>
      <c r="Z216" s="67">
        <f>'BIDU_BS + CFS'!Z19</f>
        <v>3478.03</v>
      </c>
      <c r="AA216" s="67">
        <f>'BIDU_BS + CFS'!AA19</f>
        <v>3421.817</v>
      </c>
      <c r="AB216" s="67">
        <f>'BIDU_BS + CFS'!AB19</f>
        <v>3574.3589999999999</v>
      </c>
      <c r="AC216" s="67">
        <f>'BIDU_BS + CFS'!AC19</f>
        <v>3547.4259999999999</v>
      </c>
      <c r="AD216" s="67">
        <f>'BIDU_BS + CFS'!AD19</f>
        <v>3633.241</v>
      </c>
      <c r="AE216" s="67">
        <f>'BIDU_BS + CFS'!AE19</f>
        <v>3574.3159999999998</v>
      </c>
      <c r="AF216" s="67">
        <f>'BIDU_BS + CFS'!AF19</f>
        <v>3334.6190000000001</v>
      </c>
      <c r="AG216" s="67">
        <f>'BIDU_BS + CFS'!AG19</f>
        <v>3421.21</v>
      </c>
      <c r="AH216" s="67">
        <f>'BIDU_BS + CFS'!AH19</f>
        <v>3489.6190000000001</v>
      </c>
      <c r="AI216" s="67">
        <f>'BIDU_BS + CFS'!AI19</f>
        <v>4185.2629999999999</v>
      </c>
      <c r="AJ216" s="67">
        <f>'BIDU_BS + CFS'!AJ19</f>
        <v>3872.2269999999999</v>
      </c>
      <c r="AK216" s="67">
        <f>'BIDU_BS + CFS'!AK19</f>
        <v>5025.8069999999998</v>
      </c>
      <c r="AL216" s="67">
        <f>'BIDU_BS + CFS'!AL19</f>
        <v>4900</v>
      </c>
      <c r="AM216" s="67">
        <f>'BIDU_BS + CFS'!AM19</f>
        <v>4895</v>
      </c>
      <c r="AN216" s="67">
        <f>'BIDU_BS + CFS'!AN19</f>
        <v>5467</v>
      </c>
      <c r="AO216" s="58">
        <f t="shared" ref="AO216:AV216" ca="1" si="348">AO211-AO212-AO213+AO214+AO215</f>
        <v>6188.3028812222483</v>
      </c>
      <c r="AP216" s="58">
        <f t="shared" ca="1" si="348"/>
        <v>6308.56736018027</v>
      </c>
      <c r="AQ216" s="58">
        <f t="shared" ca="1" si="348"/>
        <v>6614.54831886586</v>
      </c>
      <c r="AR216" s="58">
        <f t="shared" ca="1" si="348"/>
        <v>6555.7940517818133</v>
      </c>
      <c r="AS216" s="58">
        <f t="shared" ca="1" si="348"/>
        <v>6557.747929964281</v>
      </c>
      <c r="AT216" s="58">
        <f t="shared" ca="1" si="348"/>
        <v>6384.771644123296</v>
      </c>
      <c r="AU216" s="58">
        <f t="shared" ca="1" si="348"/>
        <v>6412.3873261512927</v>
      </c>
      <c r="AV216" s="58">
        <f t="shared" ca="1" si="348"/>
        <v>6109.2863324218133</v>
      </c>
      <c r="AW216" s="58">
        <f t="shared" ref="AW216:AZ216" ca="1" si="349">AW211-AW212-AW213+AW214+AW215</f>
        <v>5621.7459799512299</v>
      </c>
      <c r="AX216" s="58">
        <f t="shared" ca="1" si="349"/>
        <v>4853.9659390356946</v>
      </c>
      <c r="AY216" s="58">
        <f t="shared" ca="1" si="349"/>
        <v>4577.6219108994874</v>
      </c>
      <c r="AZ216" s="58">
        <f t="shared" ca="1" si="349"/>
        <v>4186.4928722158866</v>
      </c>
      <c r="BB216"/>
      <c r="BC216"/>
      <c r="BD216"/>
      <c r="BE216"/>
      <c r="BF216"/>
      <c r="BG216"/>
    </row>
    <row r="217" spans="2:59" s="1" customFormat="1">
      <c r="E217" s="10"/>
      <c r="F217" s="10"/>
      <c r="G217" s="10"/>
      <c r="H217" s="10"/>
      <c r="I217" s="10"/>
      <c r="J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BB217"/>
      <c r="BC217"/>
      <c r="BD217"/>
      <c r="BE217"/>
      <c r="BF217"/>
      <c r="BG217"/>
    </row>
    <row r="218" spans="2:59" s="1" customFormat="1">
      <c r="B218" s="1" t="s">
        <v>159</v>
      </c>
      <c r="E218" s="10"/>
      <c r="F218" s="4">
        <f t="shared" ref="F218:M218" si="350">F213/(F211+F214)</f>
        <v>0.20915094019202479</v>
      </c>
      <c r="G218" s="4">
        <f t="shared" ca="1" si="350"/>
        <v>0.38033829025755772</v>
      </c>
      <c r="H218" s="4">
        <f t="shared" ca="1" si="350"/>
        <v>0.33661271979670626</v>
      </c>
      <c r="I218" s="4">
        <f t="shared" ca="1" si="350"/>
        <v>0.37241969708007666</v>
      </c>
      <c r="J218" s="4">
        <f t="shared" ca="1" si="350"/>
        <v>0.45119363279528329</v>
      </c>
      <c r="K218" s="4">
        <f t="shared" ca="1" si="350"/>
        <v>0.56549450767637044</v>
      </c>
      <c r="L218" s="4">
        <f t="shared" ca="1" si="350"/>
        <v>0.6891989552044957</v>
      </c>
      <c r="M218" s="4">
        <f t="shared" ca="1" si="350"/>
        <v>0.7360386489970896</v>
      </c>
      <c r="N218" s="4">
        <f t="shared" ref="N218" ca="1" si="351">N213/(N211+N214)</f>
        <v>0.82141213085108578</v>
      </c>
      <c r="Q218" s="4">
        <f>F218/4*1.18</f>
        <v>6.1699527356647313E-2</v>
      </c>
      <c r="R218" s="4">
        <f>Q218</f>
        <v>6.1699527356647313E-2</v>
      </c>
      <c r="S218" s="4">
        <f>R218</f>
        <v>6.1699527356647313E-2</v>
      </c>
      <c r="T218" s="4">
        <f>T213/(T211+T214)</f>
        <v>6.2454717137062896E-2</v>
      </c>
      <c r="U218" s="4">
        <f ca="1">G218/4*1.1</f>
        <v>0.10459302982082838</v>
      </c>
      <c r="V218" s="4">
        <f ca="1">U218</f>
        <v>0.10459302982082838</v>
      </c>
      <c r="W218" s="4">
        <f ca="1">V218</f>
        <v>0.10459302982082838</v>
      </c>
      <c r="X218" s="4">
        <f ca="1">X213/(X211+X214)</f>
        <v>0.10540323884446431</v>
      </c>
      <c r="Y218" s="4">
        <f ca="1">H218/4*1.324</f>
        <v>0.11141881025270978</v>
      </c>
      <c r="Z218" s="4">
        <f ca="1">Y218</f>
        <v>0.11141881025270978</v>
      </c>
      <c r="AA218" s="4">
        <f ca="1">Z218</f>
        <v>0.11141881025270978</v>
      </c>
      <c r="AB218" s="4">
        <f ca="1">AB213/(AB211+AB214)</f>
        <v>0.11144416841233611</v>
      </c>
      <c r="AC218" s="4">
        <f ca="1">J218/4*1.192</f>
        <v>0.13445570257299441</v>
      </c>
      <c r="AD218" s="4">
        <f ca="1">AC218</f>
        <v>0.13445570257299441</v>
      </c>
      <c r="AE218" s="4">
        <f ca="1">AD218</f>
        <v>0.13445570257299441</v>
      </c>
      <c r="AF218" s="4">
        <f ca="1">AF213/(AF211+AF214)</f>
        <v>0.13394608017773416</v>
      </c>
      <c r="AG218" s="4">
        <f ca="1">J218/4*1.8575</f>
        <v>0.20952304322930967</v>
      </c>
      <c r="AH218" s="4">
        <f ca="1">AG218</f>
        <v>0.20952304322930967</v>
      </c>
      <c r="AI218" s="4">
        <f ca="1">AH218</f>
        <v>0.20952304322930967</v>
      </c>
      <c r="AJ218" s="4">
        <f ca="1">AJ213/(AJ211+AJ214)</f>
        <v>0.2098724534794085</v>
      </c>
      <c r="AK218" s="4">
        <f ca="1">AJ218*1.259</f>
        <v>0.26422941893057528</v>
      </c>
      <c r="AL218" s="4">
        <f ca="1">AK218</f>
        <v>0.26422941893057528</v>
      </c>
      <c r="AM218" s="4">
        <f ca="1">AL218</f>
        <v>0.26422941893057528</v>
      </c>
      <c r="AN218" s="4">
        <f ca="1">AN213/(AN211+AN214)</f>
        <v>0.26402250374239478</v>
      </c>
      <c r="AO218" s="4">
        <f t="shared" ref="AO218:AZ218" ca="1" si="352">AO213/(AO211+AO214)</f>
        <v>0.2930947072540549</v>
      </c>
      <c r="AP218" s="4">
        <f t="shared" ca="1" si="352"/>
        <v>0.37640315328798568</v>
      </c>
      <c r="AQ218" s="4">
        <f t="shared" ca="1" si="352"/>
        <v>0.38484914499747191</v>
      </c>
      <c r="AR218" s="4">
        <f t="shared" ca="1" si="352"/>
        <v>0.39919816705738531</v>
      </c>
      <c r="AS218" s="4">
        <f t="shared" ca="1" si="352"/>
        <v>0.3772342948774331</v>
      </c>
      <c r="AT218" s="4">
        <f t="shared" ca="1" si="352"/>
        <v>0.41209089337215327</v>
      </c>
      <c r="AU218" s="4">
        <f t="shared" ca="1" si="352"/>
        <v>0.41433783479328123</v>
      </c>
      <c r="AV218" s="4">
        <f t="shared" ca="1" si="352"/>
        <v>0.42882121032854059</v>
      </c>
      <c r="AW218" s="4">
        <f t="shared" ca="1" si="352"/>
        <v>0.4506145783303192</v>
      </c>
      <c r="AX218" s="4">
        <f t="shared" ca="1" si="352"/>
        <v>0.51873839036617864</v>
      </c>
      <c r="AY218" s="4">
        <f t="shared" ca="1" si="352"/>
        <v>0.52070574593546792</v>
      </c>
      <c r="AZ218" s="4">
        <f t="shared" ca="1" si="352"/>
        <v>0.5385663596900887</v>
      </c>
      <c r="BB218"/>
      <c r="BC218"/>
      <c r="BD218"/>
      <c r="BE218"/>
      <c r="BF218"/>
      <c r="BG218"/>
    </row>
    <row r="219" spans="2:59" s="1" customFormat="1">
      <c r="B219" s="11" t="s">
        <v>158</v>
      </c>
      <c r="E219" s="10"/>
      <c r="F219" s="4">
        <f t="shared" ref="F219:M219" ca="1" si="353">F212/F211</f>
        <v>0.19670526251169809</v>
      </c>
      <c r="G219" s="4">
        <f t="shared" ca="1" si="353"/>
        <v>0.25821568151971935</v>
      </c>
      <c r="H219" s="4">
        <f t="shared" ca="1" si="353"/>
        <v>0.21062607514774825</v>
      </c>
      <c r="I219" s="4">
        <f t="shared" ca="1" si="353"/>
        <v>0.20006608177857904</v>
      </c>
      <c r="J219" s="4">
        <f t="shared" ca="1" si="353"/>
        <v>0.15940351806308306</v>
      </c>
      <c r="K219" s="4">
        <f t="shared" ca="1" si="353"/>
        <v>0.15361599410365148</v>
      </c>
      <c r="L219" s="4">
        <f t="shared" ca="1" si="353"/>
        <v>0.15173480567677694</v>
      </c>
      <c r="M219" s="4">
        <f t="shared" ca="1" si="353"/>
        <v>0.13159441711265721</v>
      </c>
      <c r="N219" s="4">
        <f t="shared" ref="N219" ca="1" si="354">N212/N211</f>
        <v>0.11590902644495267</v>
      </c>
      <c r="Q219" s="4">
        <f t="shared" ref="Q219:AM219" ca="1" si="355">Q212/Q211</f>
        <v>4.5895070649373357E-2</v>
      </c>
      <c r="R219" s="4">
        <f t="shared" ca="1" si="355"/>
        <v>8.2390731893884669E-2</v>
      </c>
      <c r="S219" s="4">
        <f t="shared" ca="1" si="355"/>
        <v>4.1529927499224087E-2</v>
      </c>
      <c r="T219" s="4">
        <f t="shared" ca="1" si="355"/>
        <v>3.3467311706804094E-2</v>
      </c>
      <c r="U219" s="4">
        <f t="shared" ca="1" si="355"/>
        <v>4.6498845972374303E-2</v>
      </c>
      <c r="V219" s="4">
        <f t="shared" ca="1" si="355"/>
        <v>3.8663652396560978E-2</v>
      </c>
      <c r="W219" s="4">
        <f t="shared" ca="1" si="355"/>
        <v>3.8383638507589656E-2</v>
      </c>
      <c r="X219" s="4">
        <f t="shared" ca="1" si="355"/>
        <v>7.4170716963019578E-2</v>
      </c>
      <c r="Y219" s="4">
        <f t="shared" ca="1" si="355"/>
        <v>5.1785973589870873E-2</v>
      </c>
      <c r="Z219" s="4">
        <f t="shared" ca="1" si="355"/>
        <v>5.2702156622343684E-2</v>
      </c>
      <c r="AA219" s="4">
        <f t="shared" ca="1" si="355"/>
        <v>5.182786616218258E-2</v>
      </c>
      <c r="AB219" s="4">
        <f t="shared" ca="1" si="355"/>
        <v>5.9999981208933573E-2</v>
      </c>
      <c r="AC219" s="4">
        <f t="shared" si="355"/>
        <v>5.0880731342319005E-2</v>
      </c>
      <c r="AD219" s="4">
        <f t="shared" si="355"/>
        <v>5.1409951891878788E-2</v>
      </c>
      <c r="AE219" s="4">
        <f t="shared" si="355"/>
        <v>5.0708719845449279E-2</v>
      </c>
      <c r="AF219" s="4">
        <f t="shared" si="355"/>
        <v>4.6619269253194179E-2</v>
      </c>
      <c r="AG219" s="4">
        <f t="shared" si="355"/>
        <v>4.2546089973097376E-2</v>
      </c>
      <c r="AH219" s="4">
        <f t="shared" si="355"/>
        <v>4.0203319878054845E-2</v>
      </c>
      <c r="AI219" s="4">
        <f t="shared" si="355"/>
        <v>3.6060956797862455E-2</v>
      </c>
      <c r="AJ219" s="4">
        <f t="shared" si="355"/>
        <v>3.0175403552895004E-2</v>
      </c>
      <c r="AK219" s="4">
        <f t="shared" si="355"/>
        <v>1.7518601053089087E-2</v>
      </c>
      <c r="AL219" s="4">
        <f t="shared" si="355"/>
        <v>1.392811144558476E-2</v>
      </c>
      <c r="AM219" s="4">
        <f t="shared" si="355"/>
        <v>7.0816326530612247E-2</v>
      </c>
      <c r="AN219" s="4">
        <f t="shared" ref="AN219" si="356">AN212/AN211</f>
        <v>2.247191011235955E-2</v>
      </c>
      <c r="AO219" s="66">
        <f>+AVERAGE(AK219:AN219)</f>
        <v>3.1183737285411413E-2</v>
      </c>
      <c r="AP219" s="66">
        <f t="shared" ref="AP219:AR219" si="357">AO219</f>
        <v>3.1183737285411413E-2</v>
      </c>
      <c r="AQ219" s="66">
        <f t="shared" si="357"/>
        <v>3.1183737285411413E-2</v>
      </c>
      <c r="AR219" s="66">
        <f t="shared" si="357"/>
        <v>3.1183737285411413E-2</v>
      </c>
      <c r="AS219" s="66">
        <f>AR219</f>
        <v>3.1183737285411413E-2</v>
      </c>
      <c r="AT219" s="66">
        <f t="shared" ref="AT219:AV219" si="358">AS219</f>
        <v>3.1183737285411413E-2</v>
      </c>
      <c r="AU219" s="66">
        <f t="shared" si="358"/>
        <v>3.1183737285411413E-2</v>
      </c>
      <c r="AV219" s="66">
        <f t="shared" si="358"/>
        <v>3.1183737285411413E-2</v>
      </c>
      <c r="AW219" s="66">
        <f t="shared" ref="AW219" si="359">AV219</f>
        <v>3.1183737285411413E-2</v>
      </c>
      <c r="AX219" s="66">
        <f t="shared" ref="AX219" si="360">AW219</f>
        <v>3.1183737285411413E-2</v>
      </c>
      <c r="AY219" s="66">
        <f t="shared" ref="AY219" si="361">AX219</f>
        <v>3.1183737285411413E-2</v>
      </c>
      <c r="AZ219" s="66">
        <f t="shared" ref="AZ219" si="362">AY219</f>
        <v>3.1183737285411413E-2</v>
      </c>
      <c r="BB219"/>
      <c r="BC219"/>
      <c r="BD219"/>
      <c r="BE219"/>
      <c r="BF219"/>
      <c r="BG219"/>
    </row>
    <row r="220" spans="2:59" s="1" customFormat="1">
      <c r="B220" s="1" t="s">
        <v>157</v>
      </c>
      <c r="E220" s="10"/>
      <c r="F220" s="4">
        <f>F214/BIDU_IS!F82</f>
        <v>8.5314614086794294E-3</v>
      </c>
      <c r="G220" s="4">
        <f>G214/BIDU_IS!G82</f>
        <v>2.8478561368978961E-2</v>
      </c>
      <c r="H220" s="4">
        <f>H214/BIDU_IS!H82</f>
        <v>3.1879145854024682E-2</v>
      </c>
      <c r="I220" s="4">
        <f>I214/BIDU_IS!I82</f>
        <v>3.7553330374989174E-2</v>
      </c>
      <c r="J220" s="4">
        <f>J214/BIDU_IS!J82</f>
        <v>8.9220832664062E-2</v>
      </c>
      <c r="K220" s="4">
        <f ca="1">K214/BIDU_IS!K82</f>
        <v>0.10755878753348611</v>
      </c>
      <c r="L220" s="4">
        <f ca="1">L214/BIDU_IS!L82</f>
        <v>0.16307467778047383</v>
      </c>
      <c r="M220" s="4">
        <f ca="1">M214/BIDU_IS!M82</f>
        <v>0.14378426538478134</v>
      </c>
      <c r="N220" s="4">
        <f ca="1">N214/BIDU_IS!N82</f>
        <v>0.12354135586323235</v>
      </c>
      <c r="Q220" s="4">
        <f>Q214/BIDU_IS!Q82</f>
        <v>6.0843872943660048E-3</v>
      </c>
      <c r="R220" s="4">
        <f>R214/BIDU_IS!R82</f>
        <v>5.3763370560111923E-3</v>
      </c>
      <c r="S220" s="4">
        <f>S214/BIDU_IS!S82</f>
        <v>4.5719891150284263E-3</v>
      </c>
      <c r="T220" s="4">
        <f>T214/BIDU_IS!T82</f>
        <v>1.6802250031122241E-2</v>
      </c>
      <c r="U220" s="4">
        <f>U214/BIDU_IS!U82</f>
        <v>1.6983165954965535E-2</v>
      </c>
      <c r="V220" s="4">
        <f>V214/BIDU_IS!V82</f>
        <v>2.1084737544669628E-2</v>
      </c>
      <c r="W220" s="4">
        <f>W214/BIDU_IS!W82</f>
        <v>2.6446616652988746E-2</v>
      </c>
      <c r="X220" s="4">
        <f>X214/BIDU_IS!X82</f>
        <v>4.0192313301852821E-2</v>
      </c>
      <c r="Y220" s="4">
        <f>Y214/BIDU_IS!Y82</f>
        <v>3.4626958358599448E-2</v>
      </c>
      <c r="Z220" s="4">
        <f>Z214/BIDU_IS!Z82</f>
        <v>2.4693326493160264E-2</v>
      </c>
      <c r="AA220" s="4">
        <f>AA214/BIDU_IS!AA82</f>
        <v>3.077842762846596E-2</v>
      </c>
      <c r="AB220" s="4">
        <f>AB214/BIDU_IS!AB82</f>
        <v>3.519867766099951E-2</v>
      </c>
      <c r="AC220" s="4">
        <f>AC214/BIDU_IS!AC82</f>
        <v>3.1827072004904401E-2</v>
      </c>
      <c r="AD220" s="4">
        <f>AD214/BIDU_IS!AD82</f>
        <v>3.3742144632173773E-2</v>
      </c>
      <c r="AE220" s="4">
        <f>AE214/BIDU_IS!AE82</f>
        <v>3.3114993108795017E-2</v>
      </c>
      <c r="AF220" s="4">
        <f>AF214/BIDU_IS!AF82</f>
        <v>4.919183835016943E-2</v>
      </c>
      <c r="AG220" s="4">
        <f>AG214/BIDU_IS!AG82</f>
        <v>6.9947419209034523E-2</v>
      </c>
      <c r="AH220" s="4">
        <f>AH214/BIDU_IS!AH82</f>
        <v>7.4464362231779074E-2</v>
      </c>
      <c r="AI220" s="4">
        <f>AI214/BIDU_IS!AI82</f>
        <v>9.6977787682731395E-2</v>
      </c>
      <c r="AJ220" s="4">
        <f>AJ214/BIDU_IS!AJ82</f>
        <v>0.11298694437425487</v>
      </c>
      <c r="AK220" s="4">
        <f>AK214/BIDU_IS!AK82</f>
        <v>0.10624861051642119</v>
      </c>
      <c r="AL220" s="4">
        <f>AL214/BIDU_IS!AL82</f>
        <v>0.10150419788544102</v>
      </c>
      <c r="AM220" s="4">
        <f>AM214/BIDU_IS!AM82</f>
        <v>0.1129577341964358</v>
      </c>
      <c r="AN220" s="4">
        <f>AN214/BIDU_IS!AN82</f>
        <v>0.10850326755784624</v>
      </c>
      <c r="AO220" s="4">
        <f ca="1">AO214/BIDU_IS!AO82</f>
        <v>0.16114278179342442</v>
      </c>
      <c r="AP220" s="4">
        <f ca="1">AP214/BIDU_IS!AP82</f>
        <v>0.16167196642925807</v>
      </c>
      <c r="AQ220" s="4">
        <f ca="1">AQ214/BIDU_IS!AQ82</f>
        <v>0.16642570474154952</v>
      </c>
      <c r="AR220" s="4">
        <f ca="1">AR214/BIDU_IS!AR82</f>
        <v>0.16248440217058854</v>
      </c>
      <c r="AS220" s="4">
        <f ca="1">AS214/BIDU_IS!AS82</f>
        <v>0.15510736262740718</v>
      </c>
      <c r="AT220" s="4">
        <f ca="1">AT214/BIDU_IS!AT82</f>
        <v>0.14536520865384503</v>
      </c>
      <c r="AU220" s="4">
        <f ca="1">AU214/BIDU_IS!AU82</f>
        <v>0.14005496720965721</v>
      </c>
      <c r="AV220" s="4">
        <f ca="1">AV214/BIDU_IS!AV82</f>
        <v>0.13686990039877625</v>
      </c>
      <c r="AW220" s="4">
        <f ca="1">AW214/BIDU_IS!AW82</f>
        <v>0.13271688262460649</v>
      </c>
      <c r="AX220" s="4">
        <f ca="1">AX214/BIDU_IS!AX82</f>
        <v>0.12640235449505996</v>
      </c>
      <c r="AY220" s="4">
        <f ca="1">AY214/BIDU_IS!AY82</f>
        <v>0.12062585439584621</v>
      </c>
      <c r="AZ220" s="4">
        <f ca="1">AZ214/BIDU_IS!AZ82</f>
        <v>0.1163446876080874</v>
      </c>
      <c r="BB220"/>
      <c r="BC220"/>
      <c r="BD220"/>
      <c r="BE220"/>
      <c r="BF220"/>
      <c r="BG220"/>
    </row>
    <row r="221" spans="2:59" s="1" customFormat="1">
      <c r="B221" s="1" t="s">
        <v>156</v>
      </c>
      <c r="E221" s="10"/>
      <c r="F221" s="4">
        <f>F214/BIDU_IS!F105</f>
        <v>0.88458302538429712</v>
      </c>
      <c r="G221" s="4">
        <f>G214/BIDU_IS!G105</f>
        <v>1.0581857519236473</v>
      </c>
      <c r="H221" s="4">
        <f>H214/BIDU_IS!H105</f>
        <v>0.83537634902607294</v>
      </c>
      <c r="I221" s="4">
        <f>I214/BIDU_IS!I105</f>
        <v>0.66563766751053322</v>
      </c>
      <c r="J221" s="4">
        <f>J214/BIDU_IS!J105</f>
        <v>0.80045844230080809</v>
      </c>
      <c r="K221" s="4">
        <f>K214/BIDU_IS!K105</f>
        <v>0.68084788774443949</v>
      </c>
      <c r="L221" s="4">
        <f ca="1">L214/BIDU_IS!L105</f>
        <v>0.7424802483616445</v>
      </c>
      <c r="M221" s="4">
        <f ca="1">M214/BIDU_IS!M105</f>
        <v>0.6697792079326288</v>
      </c>
      <c r="N221" s="4">
        <f ca="1">N214/BIDU_IS!N105</f>
        <v>0.60986061115455015</v>
      </c>
      <c r="Q221" s="4">
        <f>F221</f>
        <v>0.88458302538429712</v>
      </c>
      <c r="R221" s="4">
        <f>Q221</f>
        <v>0.88458302538429712</v>
      </c>
      <c r="S221" s="4">
        <f>R221</f>
        <v>0.88458302538429712</v>
      </c>
      <c r="T221" s="4">
        <f>S221</f>
        <v>0.88458302538429712</v>
      </c>
      <c r="U221" s="4">
        <f>G221</f>
        <v>1.0581857519236473</v>
      </c>
      <c r="V221" s="4">
        <f>U221</f>
        <v>1.0581857519236473</v>
      </c>
      <c r="W221" s="4">
        <f>V221</f>
        <v>1.0581857519236473</v>
      </c>
      <c r="X221" s="4">
        <f>W221</f>
        <v>1.0581857519236473</v>
      </c>
      <c r="Y221" s="4">
        <f>H221</f>
        <v>0.83537634902607294</v>
      </c>
      <c r="Z221" s="4">
        <f>Y221</f>
        <v>0.83537634902607294</v>
      </c>
      <c r="AA221" s="4">
        <f>Z221</f>
        <v>0.83537634902607294</v>
      </c>
      <c r="AB221" s="4">
        <f>AA221</f>
        <v>0.83537634902607294</v>
      </c>
      <c r="AC221" s="4">
        <f>I221</f>
        <v>0.66563766751053322</v>
      </c>
      <c r="AD221" s="4">
        <f>AC221</f>
        <v>0.66563766751053322</v>
      </c>
      <c r="AE221" s="4">
        <f>AD221</f>
        <v>0.66563766751053322</v>
      </c>
      <c r="AF221" s="4">
        <f>AE221</f>
        <v>0.66563766751053322</v>
      </c>
      <c r="AG221" s="4">
        <f>J221</f>
        <v>0.80045844230080809</v>
      </c>
      <c r="AH221" s="4">
        <f t="shared" ref="AH221:AN221" si="363">AG221</f>
        <v>0.80045844230080809</v>
      </c>
      <c r="AI221" s="4">
        <f t="shared" si="363"/>
        <v>0.80045844230080809</v>
      </c>
      <c r="AJ221" s="4">
        <f t="shared" si="363"/>
        <v>0.80045844230080809</v>
      </c>
      <c r="AK221" s="4">
        <f>K221</f>
        <v>0.68084788774443949</v>
      </c>
      <c r="AL221" s="4">
        <f t="shared" si="363"/>
        <v>0.68084788774443949</v>
      </c>
      <c r="AM221" s="4">
        <f t="shared" si="363"/>
        <v>0.68084788774443949</v>
      </c>
      <c r="AN221" s="4">
        <f t="shared" si="363"/>
        <v>0.68084788774443949</v>
      </c>
      <c r="AO221" s="4">
        <f ca="1">AO214/BIDU_IS!AO105</f>
        <v>0.81337633390510589</v>
      </c>
      <c r="AP221" s="4">
        <f ca="1">AP214/BIDU_IS!AP105</f>
        <v>0.71483975508887254</v>
      </c>
      <c r="AQ221" s="4">
        <f ca="1">AQ214/BIDU_IS!AQ105</f>
        <v>0.75975859280998981</v>
      </c>
      <c r="AR221" s="4">
        <f ca="1">AR214/BIDU_IS!AR105</f>
        <v>0.70423426930361255</v>
      </c>
      <c r="AS221" s="4">
        <f ca="1">AS214/BIDU_IS!AS105</f>
        <v>0.68295303103906801</v>
      </c>
      <c r="AT221" s="4">
        <f ca="1">AT214/BIDU_IS!AT105</f>
        <v>0.6608762110721963</v>
      </c>
      <c r="AU221" s="4">
        <f ca="1">AU214/BIDU_IS!AU105</f>
        <v>0.69002564714619041</v>
      </c>
      <c r="AV221" s="4">
        <f ca="1">AV214/BIDU_IS!AV105</f>
        <v>0.64685098822209586</v>
      </c>
      <c r="AW221" s="4">
        <f ca="1">AW214/BIDU_IS!AW105</f>
        <v>0.60919650639724143</v>
      </c>
      <c r="AX221" s="4">
        <f ca="1">AX214/BIDU_IS!AX105</f>
        <v>0.58826774091405443</v>
      </c>
      <c r="AY221" s="4">
        <f ca="1">AY214/BIDU_IS!AY105</f>
        <v>0.63138795231161315</v>
      </c>
      <c r="AZ221" s="4">
        <f ca="1">AZ214/BIDU_IS!AZ105</f>
        <v>0.6112855180909178</v>
      </c>
      <c r="BB221"/>
      <c r="BC221"/>
      <c r="BD221"/>
      <c r="BE221"/>
      <c r="BF221"/>
      <c r="BG221"/>
    </row>
    <row r="222" spans="2:59" s="1" customFormat="1">
      <c r="I222" s="10"/>
      <c r="BB222"/>
      <c r="BC222"/>
      <c r="BD222"/>
      <c r="BE222"/>
      <c r="BF222"/>
      <c r="BG222"/>
    </row>
    <row r="223" spans="2:59" s="1" customFormat="1">
      <c r="B223" s="8" t="s">
        <v>155</v>
      </c>
      <c r="I223" s="10"/>
      <c r="BB223"/>
      <c r="BC223"/>
      <c r="BD223"/>
      <c r="BE223"/>
      <c r="BF223"/>
      <c r="BG223"/>
    </row>
    <row r="224" spans="2:59" s="1" customFormat="1">
      <c r="B224" s="3" t="str">
        <f>B199</f>
        <v>Depreciation recognized in COGS</v>
      </c>
      <c r="F224" s="58">
        <f t="shared" ref="F224:K225" ca="1" si="364">F199</f>
        <v>1071.722</v>
      </c>
      <c r="G224" s="58">
        <f t="shared" ca="1" si="364"/>
        <v>1469.6469999999999</v>
      </c>
      <c r="H224" s="58">
        <f t="shared" ca="1" si="364"/>
        <v>1958.7539999999999</v>
      </c>
      <c r="I224" s="58">
        <f t="shared" ca="1" si="364"/>
        <v>2547.88</v>
      </c>
      <c r="J224" s="58">
        <f t="shared" ca="1" si="364"/>
        <v>3074.893</v>
      </c>
      <c r="K224" s="58">
        <f t="shared" ca="1" si="364"/>
        <v>3388.01</v>
      </c>
      <c r="L224" s="58">
        <f t="shared" ref="L224:M227" ca="1" si="365">SUM(OFFSET($P224,0,L$1,1,4))</f>
        <v>3819.0107201926417</v>
      </c>
      <c r="M224" s="58">
        <f t="shared" ca="1" si="365"/>
        <v>4410.0050997604467</v>
      </c>
      <c r="N224" s="58">
        <f ca="1">SUM(OFFSET($P224,0,N$1,1,4))</f>
        <v>5179.8625297606613</v>
      </c>
      <c r="O224" s="58"/>
      <c r="P224" s="58"/>
      <c r="Q224" s="58">
        <f t="shared" ref="Q224:AV224" si="366">Q199</f>
        <v>228.43600000000001</v>
      </c>
      <c r="R224" s="58">
        <f t="shared" si="366"/>
        <v>245.92500000000001</v>
      </c>
      <c r="S224" s="58">
        <f t="shared" si="366"/>
        <v>279.87299999999999</v>
      </c>
      <c r="T224" s="58">
        <f t="shared" si="366"/>
        <v>317.488</v>
      </c>
      <c r="U224" s="58">
        <f t="shared" si="366"/>
        <v>333.101</v>
      </c>
      <c r="V224" s="58">
        <f t="shared" si="366"/>
        <v>356.97899999999998</v>
      </c>
      <c r="W224" s="58">
        <f t="shared" si="366"/>
        <v>369.40300000000002</v>
      </c>
      <c r="X224" s="58">
        <f t="shared" si="366"/>
        <v>410.16399999999999</v>
      </c>
      <c r="Y224" s="58">
        <f t="shared" si="366"/>
        <v>430.49700000000001</v>
      </c>
      <c r="Z224" s="58">
        <f t="shared" si="366"/>
        <v>461.92700000000002</v>
      </c>
      <c r="AA224" s="58">
        <f t="shared" si="366"/>
        <v>512.75800000000004</v>
      </c>
      <c r="AB224" s="58">
        <f t="shared" si="366"/>
        <v>553.572</v>
      </c>
      <c r="AC224" s="58">
        <f t="shared" si="366"/>
        <v>582.43700000000001</v>
      </c>
      <c r="AD224" s="58">
        <f t="shared" si="366"/>
        <v>616.072</v>
      </c>
      <c r="AE224" s="58">
        <f t="shared" si="366"/>
        <v>657.32500000000005</v>
      </c>
      <c r="AF224" s="58">
        <f t="shared" si="366"/>
        <v>692.04600000000005</v>
      </c>
      <c r="AG224" s="58">
        <f t="shared" si="366"/>
        <v>707.33199999999999</v>
      </c>
      <c r="AH224" s="58">
        <f t="shared" si="366"/>
        <v>753.77499999999998</v>
      </c>
      <c r="AI224" s="58">
        <f t="shared" si="366"/>
        <v>802.25699999999995</v>
      </c>
      <c r="AJ224" s="58">
        <f t="shared" si="366"/>
        <v>811.529</v>
      </c>
      <c r="AK224" s="58">
        <f t="shared" si="366"/>
        <v>823.01</v>
      </c>
      <c r="AL224" s="58">
        <f t="shared" si="366"/>
        <v>828</v>
      </c>
      <c r="AM224" s="58">
        <f t="shared" si="366"/>
        <v>852</v>
      </c>
      <c r="AN224" s="58">
        <f t="shared" si="366"/>
        <v>885</v>
      </c>
      <c r="AO224" s="58">
        <f t="shared" si="366"/>
        <v>915.60582186100521</v>
      </c>
      <c r="AP224" s="58">
        <f t="shared" ca="1" si="366"/>
        <v>932.09393749294713</v>
      </c>
      <c r="AQ224" s="58">
        <f t="shared" ca="1" si="366"/>
        <v>965.3368290169708</v>
      </c>
      <c r="AR224" s="58">
        <f t="shared" ca="1" si="366"/>
        <v>1005.9741318217189</v>
      </c>
      <c r="AS224" s="58">
        <f t="shared" ca="1" si="366"/>
        <v>1042.990417298038</v>
      </c>
      <c r="AT224" s="58">
        <f t="shared" ca="1" si="366"/>
        <v>1073.5136262370975</v>
      </c>
      <c r="AU224" s="58">
        <f t="shared" ca="1" si="366"/>
        <v>1119.3637736413798</v>
      </c>
      <c r="AV224" s="58">
        <f t="shared" ca="1" si="366"/>
        <v>1174.137282583931</v>
      </c>
      <c r="AW224" s="58">
        <f t="shared" ref="AW224:AZ224" ca="1" si="367">AW199</f>
        <v>1219.5251120331689</v>
      </c>
      <c r="AX224" s="58">
        <f t="shared" ca="1" si="367"/>
        <v>1260.4556124038602</v>
      </c>
      <c r="AY224" s="58">
        <f t="shared" ca="1" si="367"/>
        <v>1316.9690322300742</v>
      </c>
      <c r="AZ224" s="58">
        <f t="shared" ca="1" si="367"/>
        <v>1382.9127730935581</v>
      </c>
      <c r="BB224"/>
      <c r="BC224"/>
      <c r="BD224"/>
      <c r="BE224"/>
      <c r="BF224"/>
      <c r="BG224"/>
    </row>
    <row r="225" spans="2:59" s="1" customFormat="1">
      <c r="B225" s="3" t="str">
        <f>B200</f>
        <v>Depreciation recognized in G&amp;A</v>
      </c>
      <c r="F225" s="58">
        <f t="shared" ca="1" si="364"/>
        <v>209.61400000000003</v>
      </c>
      <c r="G225" s="58">
        <f t="shared" ca="1" si="364"/>
        <v>232.49300000000062</v>
      </c>
      <c r="H225" s="58">
        <f t="shared" ca="1" si="364"/>
        <v>265.15300000000025</v>
      </c>
      <c r="I225" s="58">
        <f t="shared" ca="1" si="364"/>
        <v>338.37399999999991</v>
      </c>
      <c r="J225" s="58">
        <f t="shared" ca="1" si="364"/>
        <v>376.52900000000011</v>
      </c>
      <c r="K225" s="58">
        <f t="shared" ref="K225" ca="1" si="368">K200</f>
        <v>416.04600000000005</v>
      </c>
      <c r="L225" s="58">
        <f t="shared" ca="1" si="365"/>
        <v>466.04876585401729</v>
      </c>
      <c r="M225" s="58">
        <f t="shared" ca="1" si="365"/>
        <v>538.17011386907132</v>
      </c>
      <c r="N225" s="58">
        <f ca="1">SUM(OFFSET($P225,0,N$1,1,4))</f>
        <v>632.11881719113148</v>
      </c>
      <c r="O225" s="58"/>
      <c r="P225" s="58"/>
      <c r="Q225" s="58">
        <f t="shared" ref="Q225:AV225" ca="1" si="369">Q200</f>
        <v>44.678922056279504</v>
      </c>
      <c r="R225" s="58">
        <f t="shared" ca="1" si="369"/>
        <v>48.099528562444391</v>
      </c>
      <c r="S225" s="58">
        <f t="shared" ca="1" si="369"/>
        <v>54.739287820908771</v>
      </c>
      <c r="T225" s="58">
        <f t="shared" ca="1" si="369"/>
        <v>62.096261560367395</v>
      </c>
      <c r="U225" s="58">
        <f t="shared" ca="1" si="369"/>
        <v>52.69540970927045</v>
      </c>
      <c r="V225" s="58">
        <f t="shared" ca="1" si="369"/>
        <v>56.472825547223408</v>
      </c>
      <c r="W225" s="58">
        <f t="shared" ca="1" si="369"/>
        <v>58.438258764860052</v>
      </c>
      <c r="X225" s="58">
        <f t="shared" ca="1" si="369"/>
        <v>64.88650597864671</v>
      </c>
      <c r="Y225" s="58">
        <f t="shared" ca="1" si="369"/>
        <v>58.275603287089666</v>
      </c>
      <c r="Z225" s="58">
        <f t="shared" ca="1" si="369"/>
        <v>62.530225761376983</v>
      </c>
      <c r="AA225" s="58">
        <f t="shared" ca="1" si="369"/>
        <v>69.41112665194305</v>
      </c>
      <c r="AB225" s="58">
        <f t="shared" ca="1" si="369"/>
        <v>74.936044299590549</v>
      </c>
      <c r="AC225" s="58">
        <f t="shared" si="369"/>
        <v>85.532000000000039</v>
      </c>
      <c r="AD225" s="58">
        <f t="shared" si="369"/>
        <v>83.65300000000002</v>
      </c>
      <c r="AE225" s="58">
        <f t="shared" si="369"/>
        <v>88.550999999999931</v>
      </c>
      <c r="AF225" s="58">
        <f t="shared" si="369"/>
        <v>80.63799999999992</v>
      </c>
      <c r="AG225" s="58">
        <f t="shared" si="369"/>
        <v>88.257000000000062</v>
      </c>
      <c r="AH225" s="58">
        <f t="shared" si="369"/>
        <v>91.590000000000032</v>
      </c>
      <c r="AI225" s="58">
        <f t="shared" si="369"/>
        <v>96.633000000000038</v>
      </c>
      <c r="AJ225" s="58">
        <f t="shared" si="369"/>
        <v>100.04899999999998</v>
      </c>
      <c r="AK225" s="58">
        <f t="shared" si="369"/>
        <v>99.046000000000049</v>
      </c>
      <c r="AL225" s="58">
        <f t="shared" si="369"/>
        <v>104</v>
      </c>
      <c r="AM225" s="58">
        <f t="shared" si="369"/>
        <v>105</v>
      </c>
      <c r="AN225" s="58">
        <f t="shared" si="369"/>
        <v>108</v>
      </c>
      <c r="AO225" s="58">
        <f t="shared" si="369"/>
        <v>111.73494775252945</v>
      </c>
      <c r="AP225" s="58">
        <f t="shared" ca="1" si="369"/>
        <v>113.74705677880033</v>
      </c>
      <c r="AQ225" s="58">
        <f t="shared" ca="1" si="369"/>
        <v>117.80381642240999</v>
      </c>
      <c r="AR225" s="58">
        <f t="shared" ca="1" si="369"/>
        <v>122.76294490027755</v>
      </c>
      <c r="AS225" s="58">
        <f t="shared" ca="1" si="369"/>
        <v>127.28018651772665</v>
      </c>
      <c r="AT225" s="58">
        <f t="shared" ca="1" si="369"/>
        <v>131.0050526933407</v>
      </c>
      <c r="AU225" s="58">
        <f t="shared" ca="1" si="369"/>
        <v>136.60032491894805</v>
      </c>
      <c r="AV225" s="58">
        <f t="shared" ca="1" si="369"/>
        <v>143.28454973905596</v>
      </c>
      <c r="AW225" s="58">
        <f t="shared" ref="AW225:AZ225" ca="1" si="370">AW200</f>
        <v>148.82340350235282</v>
      </c>
      <c r="AX225" s="58">
        <f t="shared" ca="1" si="370"/>
        <v>153.81831202216597</v>
      </c>
      <c r="AY225" s="58">
        <f t="shared" ca="1" si="370"/>
        <v>160.71486495011075</v>
      </c>
      <c r="AZ225" s="58">
        <f t="shared" ca="1" si="370"/>
        <v>168.762236716502</v>
      </c>
      <c r="BB225"/>
      <c r="BC225"/>
      <c r="BD225"/>
      <c r="BE225"/>
      <c r="BF225"/>
      <c r="BG225"/>
    </row>
    <row r="226" spans="2:59" s="1" customFormat="1">
      <c r="B226" s="3" t="str">
        <f>B212</f>
        <v>Amortization of Intangible Assets</v>
      </c>
      <c r="F226" s="58">
        <f t="shared" ref="F226:K227" ca="1" si="371">SUM(OFFSET($P226,0,F$1,1,4))</f>
        <v>182.64299999999929</v>
      </c>
      <c r="G226" s="58">
        <f t="shared" ca="1" si="371"/>
        <v>409.96000000000521</v>
      </c>
      <c r="H226" s="58">
        <f t="shared" ca="1" si="371"/>
        <v>764.63899999999774</v>
      </c>
      <c r="I226" s="58">
        <f t="shared" ca="1" si="371"/>
        <v>715.10799999999995</v>
      </c>
      <c r="J226" s="58">
        <f t="shared" ca="1" si="371"/>
        <v>531.54999999999995</v>
      </c>
      <c r="K226" s="58">
        <f t="shared" ca="1" si="371"/>
        <v>594.83600000000001</v>
      </c>
      <c r="L226" s="58">
        <f t="shared" ca="1" si="365"/>
        <v>766.44694727428896</v>
      </c>
      <c r="M226" s="58">
        <f t="shared" ca="1" si="365"/>
        <v>807.99249136867229</v>
      </c>
      <c r="N226" s="58">
        <f ca="1">SUM(OFFSET($P226,0,N$1,1,4))</f>
        <v>659.92958741237032</v>
      </c>
      <c r="O226" s="58"/>
      <c r="P226" s="58"/>
      <c r="Q226" s="58">
        <f t="shared" ref="Q226:AB226" ca="1" si="372">Q227-SUM(Q224:Q225)</f>
        <v>42.614077943720304</v>
      </c>
      <c r="R226" s="58">
        <f t="shared" ca="1" si="372"/>
        <v>74.10247143755555</v>
      </c>
      <c r="S226" s="58">
        <f t="shared" ca="1" si="372"/>
        <v>35.824712179090682</v>
      </c>
      <c r="T226" s="58">
        <f t="shared" ca="1" si="372"/>
        <v>30.101738439632754</v>
      </c>
      <c r="U226" s="58">
        <f t="shared" ca="1" si="372"/>
        <v>73.824590290729645</v>
      </c>
      <c r="V226" s="58">
        <f t="shared" ca="1" si="372"/>
        <v>76.331174452776963</v>
      </c>
      <c r="W226" s="58">
        <f t="shared" ca="1" si="372"/>
        <v>88.875741235145028</v>
      </c>
      <c r="X226" s="58">
        <f t="shared" ca="1" si="372"/>
        <v>170.92849402135357</v>
      </c>
      <c r="Y226" s="58">
        <f t="shared" ca="1" si="372"/>
        <v>187.99939671291207</v>
      </c>
      <c r="Z226" s="58">
        <f t="shared" ca="1" si="372"/>
        <v>191.07177423862026</v>
      </c>
      <c r="AA226" s="58">
        <f t="shared" ca="1" si="372"/>
        <v>180.25887334805589</v>
      </c>
      <c r="AB226" s="58">
        <f t="shared" ca="1" si="372"/>
        <v>205.30895570040946</v>
      </c>
      <c r="AC226" s="58">
        <f t="shared" ref="AC226:AV226" si="373">AC212</f>
        <v>181.86600000000001</v>
      </c>
      <c r="AD226" s="58">
        <f t="shared" si="373"/>
        <v>182.37299999999999</v>
      </c>
      <c r="AE226" s="58">
        <f t="shared" si="373"/>
        <v>184.23699999999999</v>
      </c>
      <c r="AF226" s="58">
        <f t="shared" si="373"/>
        <v>166.63200000000001</v>
      </c>
      <c r="AG226" s="58">
        <f t="shared" si="373"/>
        <v>141.875</v>
      </c>
      <c r="AH226" s="58">
        <f t="shared" si="373"/>
        <v>137.54400000000001</v>
      </c>
      <c r="AI226" s="58">
        <f t="shared" si="373"/>
        <v>125.839</v>
      </c>
      <c r="AJ226" s="58">
        <f t="shared" si="373"/>
        <v>126.292</v>
      </c>
      <c r="AK226" s="58">
        <f t="shared" si="373"/>
        <v>67.835999999999999</v>
      </c>
      <c r="AL226" s="58">
        <f t="shared" si="373"/>
        <v>70</v>
      </c>
      <c r="AM226" s="58">
        <f t="shared" si="373"/>
        <v>347</v>
      </c>
      <c r="AN226" s="58">
        <f t="shared" si="373"/>
        <v>110</v>
      </c>
      <c r="AO226" s="58">
        <f t="shared" si="373"/>
        <v>170.48149173934419</v>
      </c>
      <c r="AP226" s="58">
        <f t="shared" ca="1" si="373"/>
        <v>192.9744112905891</v>
      </c>
      <c r="AQ226" s="58">
        <f t="shared" ca="1" si="373"/>
        <v>196.72470720718295</v>
      </c>
      <c r="AR226" s="58">
        <f t="shared" ca="1" si="373"/>
        <v>206.26633703717269</v>
      </c>
      <c r="AS226" s="58">
        <f t="shared" ca="1" si="373"/>
        <v>204.43415940802689</v>
      </c>
      <c r="AT226" s="58">
        <f t="shared" ca="1" si="373"/>
        <v>204.49508863195666</v>
      </c>
      <c r="AU226" s="58">
        <f t="shared" ca="1" si="373"/>
        <v>199.10104157768515</v>
      </c>
      <c r="AV226" s="58">
        <f t="shared" ca="1" si="373"/>
        <v>199.96220175100365</v>
      </c>
      <c r="AW226" s="58">
        <f t="shared" ref="AW226:AZ226" ca="1" si="374">AW212</f>
        <v>190.51037999159644</v>
      </c>
      <c r="AX226" s="58">
        <f t="shared" ca="1" si="374"/>
        <v>175.30704972411689</v>
      </c>
      <c r="AY226" s="58">
        <f t="shared" ca="1" si="374"/>
        <v>151.36479863522442</v>
      </c>
      <c r="AZ226" s="58">
        <f t="shared" ca="1" si="374"/>
        <v>142.74735906143258</v>
      </c>
      <c r="BB226"/>
      <c r="BC226"/>
      <c r="BD226"/>
      <c r="BE226"/>
      <c r="BF226"/>
      <c r="BG226"/>
    </row>
    <row r="227" spans="2:59" s="1" customFormat="1">
      <c r="B227" s="3" t="s">
        <v>87</v>
      </c>
      <c r="F227" s="58">
        <f t="shared" ca="1" si="371"/>
        <v>1463.9789999999994</v>
      </c>
      <c r="G227" s="58">
        <f t="shared" ca="1" si="371"/>
        <v>2112.1000000000058</v>
      </c>
      <c r="H227" s="58">
        <f t="shared" ca="1" si="371"/>
        <v>2988.545999999998</v>
      </c>
      <c r="I227" s="58">
        <f t="shared" ca="1" si="371"/>
        <v>3601.3620000000001</v>
      </c>
      <c r="J227" s="58">
        <f t="shared" ca="1" si="371"/>
        <v>3982.9719999999998</v>
      </c>
      <c r="K227" s="58">
        <f t="shared" ca="1" si="371"/>
        <v>4398.8919999999998</v>
      </c>
      <c r="L227" s="58">
        <f t="shared" ca="1" si="365"/>
        <v>5051.5064333209475</v>
      </c>
      <c r="M227" s="58">
        <f t="shared" ca="1" si="365"/>
        <v>5756.1677049981899</v>
      </c>
      <c r="N227" s="58">
        <f ca="1">SUM(OFFSET($P227,0,N$1,1,4))</f>
        <v>6471.9109343641639</v>
      </c>
      <c r="O227" s="58"/>
      <c r="P227" s="58"/>
      <c r="Q227" s="67">
        <v>315.72899999999981</v>
      </c>
      <c r="R227" s="67">
        <v>368.12699999999995</v>
      </c>
      <c r="S227" s="67">
        <v>370.43699999999944</v>
      </c>
      <c r="T227" s="67">
        <v>409.68600000000015</v>
      </c>
      <c r="U227" s="67">
        <v>459.62100000000009</v>
      </c>
      <c r="V227" s="67">
        <v>489.78300000000036</v>
      </c>
      <c r="W227" s="67">
        <v>516.7170000000051</v>
      </c>
      <c r="X227" s="67">
        <v>645.97900000000027</v>
      </c>
      <c r="Y227" s="67">
        <v>676.77200000000175</v>
      </c>
      <c r="Z227" s="67">
        <v>715.52899999999727</v>
      </c>
      <c r="AA227" s="67">
        <v>762.42799999999897</v>
      </c>
      <c r="AB227" s="67">
        <v>833.81700000000001</v>
      </c>
      <c r="AC227" s="58">
        <f t="shared" ref="AC227:AV227" si="375">SUM(AC224:AC226)</f>
        <v>849.83500000000004</v>
      </c>
      <c r="AD227" s="58">
        <f t="shared" si="375"/>
        <v>882.09799999999996</v>
      </c>
      <c r="AE227" s="58">
        <f t="shared" si="375"/>
        <v>930.11299999999994</v>
      </c>
      <c r="AF227" s="58">
        <f t="shared" si="375"/>
        <v>939.31600000000003</v>
      </c>
      <c r="AG227" s="58">
        <f t="shared" si="375"/>
        <v>937.46400000000006</v>
      </c>
      <c r="AH227" s="58">
        <f t="shared" si="375"/>
        <v>982.90899999999999</v>
      </c>
      <c r="AI227" s="58">
        <f t="shared" si="375"/>
        <v>1024.729</v>
      </c>
      <c r="AJ227" s="58">
        <f t="shared" si="375"/>
        <v>1037.8699999999999</v>
      </c>
      <c r="AK227" s="58">
        <f t="shared" si="375"/>
        <v>989.89200000000005</v>
      </c>
      <c r="AL227" s="58">
        <f t="shared" si="375"/>
        <v>1002</v>
      </c>
      <c r="AM227" s="58">
        <f t="shared" si="375"/>
        <v>1304</v>
      </c>
      <c r="AN227" s="58">
        <f t="shared" si="375"/>
        <v>1103</v>
      </c>
      <c r="AO227" s="58">
        <f t="shared" si="375"/>
        <v>1197.8222613528787</v>
      </c>
      <c r="AP227" s="58">
        <f t="shared" ca="1" si="375"/>
        <v>1238.8154055623365</v>
      </c>
      <c r="AQ227" s="58">
        <f t="shared" ca="1" si="375"/>
        <v>1279.8653526465637</v>
      </c>
      <c r="AR227" s="58">
        <f t="shared" ca="1" si="375"/>
        <v>1335.003413759169</v>
      </c>
      <c r="AS227" s="58">
        <f t="shared" ca="1" si="375"/>
        <v>1374.7047632237916</v>
      </c>
      <c r="AT227" s="58">
        <f t="shared" ca="1" si="375"/>
        <v>1409.0137675623948</v>
      </c>
      <c r="AU227" s="58">
        <f t="shared" ca="1" si="375"/>
        <v>1455.065140138013</v>
      </c>
      <c r="AV227" s="58">
        <f t="shared" ca="1" si="375"/>
        <v>1517.3840340739907</v>
      </c>
      <c r="AW227" s="58">
        <f t="shared" ref="AW227:AZ227" ca="1" si="376">SUM(AW224:AW226)</f>
        <v>1558.8588955271182</v>
      </c>
      <c r="AX227" s="58">
        <f t="shared" ca="1" si="376"/>
        <v>1589.580974150143</v>
      </c>
      <c r="AY227" s="58">
        <f t="shared" ca="1" si="376"/>
        <v>1629.0486958154092</v>
      </c>
      <c r="AZ227" s="58">
        <f t="shared" ca="1" si="376"/>
        <v>1694.4223688714928</v>
      </c>
      <c r="BB227"/>
      <c r="BC227"/>
      <c r="BD227"/>
      <c r="BE227"/>
      <c r="BF227"/>
      <c r="BG227"/>
    </row>
    <row r="229" spans="2:59">
      <c r="B229" s="6" t="s">
        <v>154</v>
      </c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</row>
    <row r="230" spans="2:59">
      <c r="B230" s="11"/>
      <c r="E230" s="2"/>
      <c r="F230" s="109"/>
      <c r="G230" s="109"/>
      <c r="H230" s="109"/>
      <c r="I230" s="109"/>
      <c r="J230" s="109"/>
      <c r="K230" s="109"/>
      <c r="L230" s="109"/>
      <c r="M230" s="109"/>
      <c r="N230" s="109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M230" s="70"/>
      <c r="AN230" s="70"/>
      <c r="AO230" s="70"/>
      <c r="AP230" s="70"/>
    </row>
    <row r="231" spans="2:59">
      <c r="B231" s="108" t="s">
        <v>153</v>
      </c>
      <c r="E231" s="2"/>
      <c r="F231" s="109"/>
      <c r="G231" s="109"/>
      <c r="H231" s="109"/>
      <c r="I231" s="109"/>
      <c r="J231" s="109"/>
      <c r="K231" s="109"/>
      <c r="L231" s="109"/>
      <c r="M231" s="109"/>
      <c r="N231" s="109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M231" s="70"/>
      <c r="AN231" s="70"/>
      <c r="AO231" s="70"/>
      <c r="AP231" s="70"/>
    </row>
    <row r="232" spans="2:59">
      <c r="B232" s="3" t="str">
        <f>B10</f>
        <v>Accounts receivable, net</v>
      </c>
      <c r="E232" s="59">
        <v>599.55799999999999</v>
      </c>
      <c r="F232" s="109">
        <f t="shared" ref="F232:N232" ca="1" si="377">F10</f>
        <v>1253.4829999999999</v>
      </c>
      <c r="G232" s="109">
        <f t="shared" ca="1" si="377"/>
        <v>2220.846</v>
      </c>
      <c r="H232" s="109">
        <f t="shared" ca="1" si="377"/>
        <v>3664.4470000000001</v>
      </c>
      <c r="I232" s="109">
        <f t="shared" ca="1" si="377"/>
        <v>3926.9859999999999</v>
      </c>
      <c r="J232" s="109">
        <f t="shared" ca="1" si="377"/>
        <v>4109.3239999999996</v>
      </c>
      <c r="K232" s="109">
        <f t="shared" ca="1" si="377"/>
        <v>4571</v>
      </c>
      <c r="L232" s="109">
        <f t="shared" ca="1" si="377"/>
        <v>4401.4019201052906</v>
      </c>
      <c r="M232" s="109">
        <f t="shared" ca="1" si="377"/>
        <v>2850.9905027801906</v>
      </c>
      <c r="N232" s="109">
        <f t="shared" ca="1" si="377"/>
        <v>2095.4970147857857</v>
      </c>
      <c r="O232" s="2"/>
      <c r="P232" s="2"/>
      <c r="Q232" s="2"/>
      <c r="R232" s="2"/>
      <c r="S232" s="2"/>
      <c r="T232" s="109">
        <f t="shared" ref="T232:AN232" si="378">T10</f>
        <v>1253.4829999999999</v>
      </c>
      <c r="U232" s="109">
        <f t="shared" si="378"/>
        <v>1428.0709999999999</v>
      </c>
      <c r="V232" s="109">
        <f t="shared" si="378"/>
        <v>1786.6379999999999</v>
      </c>
      <c r="W232" s="109">
        <f t="shared" si="378"/>
        <v>2182.0300000000002</v>
      </c>
      <c r="X232" s="109">
        <f t="shared" si="378"/>
        <v>2220.846</v>
      </c>
      <c r="Y232" s="109">
        <f t="shared" si="378"/>
        <v>2356.721</v>
      </c>
      <c r="Z232" s="109">
        <f t="shared" si="378"/>
        <v>2906.7649999999999</v>
      </c>
      <c r="AA232" s="109">
        <f t="shared" si="378"/>
        <v>3559.9259999999999</v>
      </c>
      <c r="AB232" s="109">
        <f t="shared" si="378"/>
        <v>3664.4470000000001</v>
      </c>
      <c r="AC232" s="109">
        <f t="shared" si="378"/>
        <v>3534.5770000000002</v>
      </c>
      <c r="AD232" s="109">
        <f t="shared" si="378"/>
        <v>3804.1669999999999</v>
      </c>
      <c r="AE232" s="109">
        <f t="shared" si="378"/>
        <v>4177.3620000000001</v>
      </c>
      <c r="AF232" s="109">
        <f t="shared" si="378"/>
        <v>3926.9859999999999</v>
      </c>
      <c r="AG232" s="109">
        <f t="shared" si="378"/>
        <v>3539.6990000000001</v>
      </c>
      <c r="AH232" s="109">
        <f t="shared" si="378"/>
        <v>4083.3240000000001</v>
      </c>
      <c r="AI232" s="109">
        <f t="shared" si="378"/>
        <v>4263.8329999999996</v>
      </c>
      <c r="AJ232" s="109">
        <f t="shared" si="378"/>
        <v>4109.3239999999996</v>
      </c>
      <c r="AK232" s="109">
        <f t="shared" si="378"/>
        <v>3494.5770000000002</v>
      </c>
      <c r="AL232" s="109">
        <f t="shared" si="378"/>
        <v>4097</v>
      </c>
      <c r="AM232" s="109">
        <f t="shared" si="378"/>
        <v>4728</v>
      </c>
      <c r="AN232" s="109">
        <f t="shared" si="378"/>
        <v>4571</v>
      </c>
      <c r="AO232" s="109">
        <f ca="1">AO254*BIDU_IS!AO$82*2-AN232</f>
        <v>4510.2555047143414</v>
      </c>
      <c r="AP232" s="109">
        <f ca="1">AP254*BIDU_IS!AP$82*2-AO232</f>
        <v>4139.3471409555823</v>
      </c>
      <c r="AQ232" s="109">
        <f ca="1">AQ254*BIDU_IS!AQ$82*2-AP232</f>
        <v>6165.6994204970142</v>
      </c>
      <c r="AR232" s="109">
        <f ca="1">AR254*BIDU_IS!AR$82*2-AQ232</f>
        <v>4401.4019201052906</v>
      </c>
      <c r="AS232" s="109">
        <f ca="1">AS254*BIDU_IS!AS$82*2-AR232</f>
        <v>6694.175437106358</v>
      </c>
      <c r="AT232" s="109">
        <f ca="1">AT254*BIDU_IS!AT$82*2-AS232</f>
        <v>3222.6979471764153</v>
      </c>
      <c r="AU232" s="109">
        <f ca="1">AU254*BIDU_IS!AU$82*2-AT232</f>
        <v>7982.3652775417486</v>
      </c>
      <c r="AV232" s="109">
        <f ca="1">AV254*BIDU_IS!AV$82*2-AU232</f>
        <v>2850.9905027801906</v>
      </c>
      <c r="AW232" s="109">
        <f ca="1">AW254*BIDU_IS!AW$82*2-AV232</f>
        <v>8937.9843573834369</v>
      </c>
      <c r="AX232" s="109">
        <f ca="1">AX254*BIDU_IS!AX$82*2-AW232</f>
        <v>1757.726251621687</v>
      </c>
      <c r="AY232" s="109">
        <f ca="1">AY254*BIDU_IS!AY$82*2-AX232</f>
        <v>10293.197718942396</v>
      </c>
      <c r="AZ232" s="109">
        <f ca="1">AZ254*BIDU_IS!AZ$82*2-AY232</f>
        <v>2095.4970147857857</v>
      </c>
    </row>
    <row r="233" spans="2:59">
      <c r="B233" s="3" t="str">
        <f>B11</f>
        <v>Due from related parties, current</v>
      </c>
      <c r="E233" s="59">
        <v>599.55799999999999</v>
      </c>
      <c r="F233" s="109">
        <f t="shared" ref="F233:N233" ca="1" si="379">F11</f>
        <v>0</v>
      </c>
      <c r="G233" s="109">
        <f t="shared" ca="1" si="379"/>
        <v>0</v>
      </c>
      <c r="H233" s="109">
        <f t="shared" ca="1" si="379"/>
        <v>0.05</v>
      </c>
      <c r="I233" s="109">
        <f t="shared" ca="1" si="379"/>
        <v>1940.559</v>
      </c>
      <c r="J233" s="109">
        <f t="shared" ca="1" si="379"/>
        <v>345.59399999999999</v>
      </c>
      <c r="K233" s="109">
        <f t="shared" ca="1" si="379"/>
        <v>168</v>
      </c>
      <c r="L233" s="109">
        <f t="shared" ca="1" si="379"/>
        <v>168</v>
      </c>
      <c r="M233" s="109">
        <f t="shared" ca="1" si="379"/>
        <v>168</v>
      </c>
      <c r="N233" s="109">
        <f t="shared" ca="1" si="379"/>
        <v>168</v>
      </c>
      <c r="O233" s="2"/>
      <c r="P233" s="2"/>
      <c r="Q233" s="2"/>
      <c r="R233" s="2"/>
      <c r="S233" s="2"/>
      <c r="T233" s="109">
        <f t="shared" ref="T233:AN233" si="380">T11</f>
        <v>0</v>
      </c>
      <c r="U233" s="109">
        <f t="shared" si="380"/>
        <v>0</v>
      </c>
      <c r="V233" s="109">
        <f t="shared" si="380"/>
        <v>0</v>
      </c>
      <c r="W233" s="109">
        <f t="shared" si="380"/>
        <v>0</v>
      </c>
      <c r="X233" s="109">
        <f t="shared" si="380"/>
        <v>0</v>
      </c>
      <c r="Y233" s="109">
        <f t="shared" si="380"/>
        <v>0</v>
      </c>
      <c r="Z233" s="109">
        <f t="shared" si="380"/>
        <v>0</v>
      </c>
      <c r="AA233" s="109">
        <f t="shared" si="380"/>
        <v>0</v>
      </c>
      <c r="AB233" s="109">
        <f t="shared" si="380"/>
        <v>0.05</v>
      </c>
      <c r="AC233" s="109">
        <f t="shared" si="380"/>
        <v>0</v>
      </c>
      <c r="AD233" s="109">
        <f t="shared" si="380"/>
        <v>0</v>
      </c>
      <c r="AE233" s="109">
        <f t="shared" si="380"/>
        <v>0</v>
      </c>
      <c r="AF233" s="109">
        <f t="shared" si="380"/>
        <v>1940.559</v>
      </c>
      <c r="AG233" s="109">
        <f t="shared" si="380"/>
        <v>66.105000000000004</v>
      </c>
      <c r="AH233" s="109">
        <f t="shared" si="380"/>
        <v>146.07499999999999</v>
      </c>
      <c r="AI233" s="109">
        <f t="shared" si="380"/>
        <v>268.40499999999997</v>
      </c>
      <c r="AJ233" s="109">
        <f t="shared" si="380"/>
        <v>345.59399999999999</v>
      </c>
      <c r="AK233" s="109">
        <f t="shared" si="380"/>
        <v>318.46100000000001</v>
      </c>
      <c r="AL233" s="109">
        <f t="shared" si="380"/>
        <v>845</v>
      </c>
      <c r="AM233" s="109">
        <f t="shared" si="380"/>
        <v>993</v>
      </c>
      <c r="AN233" s="109">
        <f t="shared" si="380"/>
        <v>168</v>
      </c>
      <c r="AO233" s="109">
        <f t="shared" ref="AO233:AZ233" si="381">AO11</f>
        <v>168</v>
      </c>
      <c r="AP233" s="109">
        <f t="shared" si="381"/>
        <v>168</v>
      </c>
      <c r="AQ233" s="109">
        <f t="shared" si="381"/>
        <v>168</v>
      </c>
      <c r="AR233" s="109">
        <f t="shared" si="381"/>
        <v>168</v>
      </c>
      <c r="AS233" s="109">
        <f t="shared" si="381"/>
        <v>168</v>
      </c>
      <c r="AT233" s="109">
        <f t="shared" si="381"/>
        <v>168</v>
      </c>
      <c r="AU233" s="109">
        <f t="shared" si="381"/>
        <v>168</v>
      </c>
      <c r="AV233" s="109">
        <f t="shared" si="381"/>
        <v>168</v>
      </c>
      <c r="AW233" s="109">
        <f t="shared" si="381"/>
        <v>168</v>
      </c>
      <c r="AX233" s="109">
        <f t="shared" si="381"/>
        <v>168</v>
      </c>
      <c r="AY233" s="109">
        <f t="shared" si="381"/>
        <v>168</v>
      </c>
      <c r="AZ233" s="109">
        <f t="shared" si="381"/>
        <v>168</v>
      </c>
    </row>
    <row r="234" spans="2:59">
      <c r="B234" s="3" t="str">
        <f>B12</f>
        <v>Prepaid expenses and other current assets</v>
      </c>
      <c r="E234" s="59">
        <v>315.012</v>
      </c>
      <c r="F234" s="109">
        <f t="shared" ref="F234:N234" ca="1" si="382">F12</f>
        <v>380.40699999999998</v>
      </c>
      <c r="G234" s="109">
        <f t="shared" ca="1" si="382"/>
        <v>1835.2650000000001</v>
      </c>
      <c r="H234" s="109">
        <f t="shared" ca="1" si="382"/>
        <v>3407.4270000000001</v>
      </c>
      <c r="I234" s="109">
        <f t="shared" ca="1" si="382"/>
        <v>4113.84</v>
      </c>
      <c r="J234" s="109">
        <f t="shared" ca="1" si="382"/>
        <v>3344.5160000000001</v>
      </c>
      <c r="K234" s="109">
        <f t="shared" ca="1" si="382"/>
        <v>3425</v>
      </c>
      <c r="L234" s="109">
        <f t="shared" ca="1" si="382"/>
        <v>3887.8580866554112</v>
      </c>
      <c r="M234" s="109">
        <f t="shared" ca="1" si="382"/>
        <v>3341.039134312301</v>
      </c>
      <c r="N234" s="109">
        <f t="shared" ca="1" si="382"/>
        <v>1945.8331751560545</v>
      </c>
      <c r="O234" s="2"/>
      <c r="P234" s="2"/>
      <c r="Q234" s="2"/>
      <c r="R234" s="2"/>
      <c r="S234" s="2"/>
      <c r="T234" s="109">
        <f t="shared" ref="T234:AN234" si="383">T12</f>
        <v>380.40699999999998</v>
      </c>
      <c r="U234" s="109">
        <f t="shared" si="383"/>
        <v>337.29500000000002</v>
      </c>
      <c r="V234" s="109">
        <f t="shared" si="383"/>
        <v>996.24400000000003</v>
      </c>
      <c r="W234" s="109">
        <f t="shared" si="383"/>
        <v>1379.48</v>
      </c>
      <c r="X234" s="109">
        <f t="shared" si="383"/>
        <v>1835.2650000000001</v>
      </c>
      <c r="Y234" s="109">
        <f t="shared" si="383"/>
        <v>1724.62</v>
      </c>
      <c r="Z234" s="109">
        <f t="shared" si="383"/>
        <v>2120.614</v>
      </c>
      <c r="AA234" s="109">
        <f t="shared" si="383"/>
        <v>2775.241</v>
      </c>
      <c r="AB234" s="109">
        <f t="shared" si="383"/>
        <v>3407.4270000000001</v>
      </c>
      <c r="AC234" s="109">
        <f t="shared" si="383"/>
        <v>3554.5749999999998</v>
      </c>
      <c r="AD234" s="109">
        <f t="shared" si="383"/>
        <v>4053.9120000000003</v>
      </c>
      <c r="AE234" s="109">
        <f t="shared" si="383"/>
        <v>5649.9360000000006</v>
      </c>
      <c r="AF234" s="109">
        <f t="shared" si="383"/>
        <v>4113.84</v>
      </c>
      <c r="AG234" s="109">
        <f t="shared" si="383"/>
        <v>4416.2349999999997</v>
      </c>
      <c r="AH234" s="109">
        <f t="shared" si="383"/>
        <v>4792.4369999999999</v>
      </c>
      <c r="AI234" s="109">
        <f t="shared" si="383"/>
        <v>5605.3490000000002</v>
      </c>
      <c r="AJ234" s="109">
        <f t="shared" si="383"/>
        <v>3344.5160000000001</v>
      </c>
      <c r="AK234" s="109">
        <f t="shared" si="383"/>
        <v>3516.989</v>
      </c>
      <c r="AL234" s="109">
        <f t="shared" si="383"/>
        <v>4679</v>
      </c>
      <c r="AM234" s="109">
        <f t="shared" si="383"/>
        <v>5248</v>
      </c>
      <c r="AN234" s="109">
        <f t="shared" si="383"/>
        <v>3425</v>
      </c>
      <c r="AO234" s="109">
        <f ca="1">AO255*((BIDU_IS!AO120-BIDU_IS!AO119-BIDU_IS!AO274-BIDU_IS!AO275))*2-AN234</f>
        <v>3981.5136546774465</v>
      </c>
      <c r="AP234" s="109">
        <f ca="1">AP255*((BIDU_IS!AP120-BIDU_IS!AP119-BIDU_IS!AP274-BIDU_IS!AP275))*2-AO234</f>
        <v>3103.2749717726847</v>
      </c>
      <c r="AQ234" s="109">
        <f ca="1">AQ255*((BIDU_IS!AQ120-BIDU_IS!AQ119-BIDU_IS!AQ274-BIDU_IS!AQ275))*2-AP234</f>
        <v>4735.4052072705326</v>
      </c>
      <c r="AR234" s="109">
        <f ca="1">AR255*((BIDU_IS!AR120-BIDU_IS!AR119-BIDU_IS!AR274-BIDU_IS!AR275))*2-AQ234</f>
        <v>3887.8580866554112</v>
      </c>
      <c r="AS234" s="109">
        <f ca="1">AS255*((BIDU_IS!AS120-BIDU_IS!AS119-BIDU_IS!AS274-BIDU_IS!AS275))*2-AR234</f>
        <v>4999.8374624867574</v>
      </c>
      <c r="AT234" s="109">
        <f ca="1">AT255*((BIDU_IS!AT120-BIDU_IS!AT119-BIDU_IS!AT274-BIDU_IS!AT275))*2-AS234</f>
        <v>3940.1460875525681</v>
      </c>
      <c r="AU234" s="109">
        <f ca="1">AU255*((BIDU_IS!AU120-BIDU_IS!AU119-BIDU_IS!AU274-BIDU_IS!AU275))*2-AT234</f>
        <v>6087.9867426698456</v>
      </c>
      <c r="AV234" s="109">
        <f ca="1">AV255*((BIDU_IS!AV120-BIDU_IS!AV119-BIDU_IS!AV274-BIDU_IS!AV275))*2-AU234</f>
        <v>3341.039134312301</v>
      </c>
      <c r="AW234" s="109">
        <f ca="1">AW255*((BIDU_IS!AW120-BIDU_IS!AW119-BIDU_IS!AW274-BIDU_IS!AW275))*2-AV234</f>
        <v>7501.8068918222998</v>
      </c>
      <c r="AX234" s="109">
        <f ca="1">AX255*((BIDU_IS!AX120-BIDU_IS!AX119-BIDU_IS!AX274-BIDU_IS!AX275))*2-AW234</f>
        <v>2636.6713599131963</v>
      </c>
      <c r="AY234" s="109">
        <f ca="1">AY255*((BIDU_IS!AY120-BIDU_IS!AY119-BIDU_IS!AY274-BIDU_IS!AY275))*2-AX234</f>
        <v>8982.014701168604</v>
      </c>
      <c r="AZ234" s="109">
        <f ca="1">AZ255*((BIDU_IS!AZ120-BIDU_IS!AZ119-BIDU_IS!AZ274-BIDU_IS!AZ275))*2-AY234</f>
        <v>1945.8331751560545</v>
      </c>
    </row>
    <row r="235" spans="2:59">
      <c r="B235" s="3" t="s">
        <v>152</v>
      </c>
      <c r="E235" s="59"/>
      <c r="F235" s="109">
        <f t="shared" ref="F235:N235" ca="1" si="384">F13</f>
        <v>0</v>
      </c>
      <c r="G235" s="109">
        <f t="shared" ca="1" si="384"/>
        <v>0</v>
      </c>
      <c r="H235" s="109">
        <f t="shared" ca="1" si="384"/>
        <v>0</v>
      </c>
      <c r="I235" s="109">
        <f t="shared" ca="1" si="384"/>
        <v>227.107</v>
      </c>
      <c r="J235" s="109">
        <f t="shared" ca="1" si="384"/>
        <v>1800.3969999999999</v>
      </c>
      <c r="K235" s="109">
        <f t="shared" ca="1" si="384"/>
        <v>23938</v>
      </c>
      <c r="L235" s="109">
        <f t="shared" ca="1" si="384"/>
        <v>31730.833238549822</v>
      </c>
      <c r="M235" s="109">
        <f t="shared" ca="1" si="384"/>
        <v>29966.342657155754</v>
      </c>
      <c r="N235" s="109">
        <f t="shared" ca="1" si="384"/>
        <v>29422.459596914745</v>
      </c>
      <c r="O235" s="2"/>
      <c r="P235" s="2"/>
      <c r="Q235" s="109"/>
      <c r="R235" s="109"/>
      <c r="S235" s="109"/>
      <c r="T235" s="109">
        <f t="shared" ref="T235:AN235" si="385">T13</f>
        <v>0</v>
      </c>
      <c r="U235" s="109">
        <f t="shared" si="385"/>
        <v>0</v>
      </c>
      <c r="V235" s="109">
        <f t="shared" si="385"/>
        <v>0</v>
      </c>
      <c r="W235" s="109">
        <f t="shared" si="385"/>
        <v>0</v>
      </c>
      <c r="X235" s="109">
        <f t="shared" si="385"/>
        <v>0</v>
      </c>
      <c r="Y235" s="109">
        <f t="shared" si="385"/>
        <v>0</v>
      </c>
      <c r="Z235" s="109">
        <f t="shared" si="385"/>
        <v>0</v>
      </c>
      <c r="AA235" s="109">
        <f t="shared" si="385"/>
        <v>0</v>
      </c>
      <c r="AB235" s="109">
        <f t="shared" si="385"/>
        <v>0</v>
      </c>
      <c r="AC235" s="109">
        <f t="shared" si="385"/>
        <v>0</v>
      </c>
      <c r="AD235" s="109">
        <f t="shared" si="385"/>
        <v>0</v>
      </c>
      <c r="AE235" s="109">
        <f t="shared" si="385"/>
        <v>0</v>
      </c>
      <c r="AF235" s="109">
        <f t="shared" si="385"/>
        <v>227.107</v>
      </c>
      <c r="AG235" s="109">
        <f t="shared" si="385"/>
        <v>0</v>
      </c>
      <c r="AH235" s="109">
        <f t="shared" si="385"/>
        <v>0</v>
      </c>
      <c r="AI235" s="109">
        <f t="shared" si="385"/>
        <v>0</v>
      </c>
      <c r="AJ235" s="109">
        <f t="shared" si="385"/>
        <v>1800.3969999999999</v>
      </c>
      <c r="AK235" s="109">
        <f t="shared" si="385"/>
        <v>5243.7719999999999</v>
      </c>
      <c r="AL235" s="109">
        <f t="shared" si="385"/>
        <v>9190</v>
      </c>
      <c r="AM235" s="109">
        <f t="shared" si="385"/>
        <v>14070</v>
      </c>
      <c r="AN235" s="109">
        <f t="shared" si="385"/>
        <v>23938</v>
      </c>
      <c r="AO235" s="109">
        <f ca="1">(BIDU_IS!AO$81-BIDU_IS!AO$354-Operating_Model!AH102)*AO256</f>
        <v>29593.052641124348</v>
      </c>
      <c r="AP235" s="109">
        <f ca="1">(BIDU_IS!AP$81-BIDU_IS!AP$354-Operating_Model!AI102)*AP256</f>
        <v>30076.197221524919</v>
      </c>
      <c r="AQ235" s="109">
        <f ca="1">(BIDU_IS!AQ$81-BIDU_IS!AQ$354-Operating_Model!AJ102)*AQ256</f>
        <v>30095.098514559733</v>
      </c>
      <c r="AR235" s="109">
        <f ca="1">(BIDU_IS!AR$81-BIDU_IS!AR$354-Operating_Model!AK102)*AR256</f>
        <v>31730.833238549822</v>
      </c>
      <c r="AS235" s="109">
        <f ca="1">(BIDU_IS!AS$81-BIDU_IS!AS$354-Operating_Model!AL102)*AS256</f>
        <v>30207.498509011857</v>
      </c>
      <c r="AT235" s="109">
        <f ca="1">(BIDU_IS!AT$81-BIDU_IS!AT$354-Operating_Model!AM102)*AT256</f>
        <v>32179.765694331985</v>
      </c>
      <c r="AU235" s="109">
        <f ca="1">(BIDU_IS!AU$81-BIDU_IS!AU$354-Operating_Model!AN102)*AU256</f>
        <v>30988.099656322262</v>
      </c>
      <c r="AV235" s="109">
        <f ca="1">(BIDU_IS!AV$81-BIDU_IS!AV$354-Operating_Model!AO102)*AV256</f>
        <v>29966.342657155754</v>
      </c>
      <c r="AW235" s="109">
        <f ca="1">(BIDU_IS!AW$81-BIDU_IS!AW$354-Operating_Model!AP102)*AW256</f>
        <v>27766.654896092947</v>
      </c>
      <c r="AX235" s="109">
        <f ca="1">(BIDU_IS!AX$81-BIDU_IS!AX$354-Operating_Model!AQ102)*AX256</f>
        <v>29724.462584904792</v>
      </c>
      <c r="AY235" s="109">
        <f ca="1">(BIDU_IS!AY$81-BIDU_IS!AY$354-Operating_Model!AR102)*AY256</f>
        <v>30955.175771926984</v>
      </c>
      <c r="AZ235" s="109">
        <f ca="1">(BIDU_IS!AZ$81-BIDU_IS!AZ$354-Operating_Model!AS102)*AZ256</f>
        <v>29422.459596914745</v>
      </c>
    </row>
    <row r="236" spans="2:59">
      <c r="B236" s="3" t="str">
        <f>B14</f>
        <v>Deferred tax asset</v>
      </c>
      <c r="E236" s="59"/>
      <c r="F236" s="109">
        <f t="shared" ref="F236:N236" ca="1" si="386">F14</f>
        <v>160.315</v>
      </c>
      <c r="G236" s="109">
        <f t="shared" ca="1" si="386"/>
        <v>286.84399999999999</v>
      </c>
      <c r="H236" s="109">
        <f t="shared" ca="1" si="386"/>
        <v>0</v>
      </c>
      <c r="I236" s="109">
        <f t="shared" ca="1" si="386"/>
        <v>0</v>
      </c>
      <c r="J236" s="109">
        <f t="shared" ca="1" si="386"/>
        <v>0</v>
      </c>
      <c r="K236" s="109">
        <f t="shared" ca="1" si="386"/>
        <v>0</v>
      </c>
      <c r="L236" s="109">
        <f t="shared" ca="1" si="386"/>
        <v>0</v>
      </c>
      <c r="M236" s="109">
        <f t="shared" ca="1" si="386"/>
        <v>0</v>
      </c>
      <c r="N236" s="109">
        <f t="shared" ca="1" si="386"/>
        <v>0</v>
      </c>
      <c r="O236" s="2"/>
      <c r="P236" s="2"/>
      <c r="Q236" s="109"/>
      <c r="R236" s="109"/>
      <c r="S236" s="109"/>
      <c r="T236" s="109">
        <f t="shared" ref="T236:AN236" si="387">T14</f>
        <v>160.315</v>
      </c>
      <c r="U236" s="109">
        <f t="shared" si="387"/>
        <v>196.49600000000001</v>
      </c>
      <c r="V236" s="109">
        <f t="shared" si="387"/>
        <v>243.482</v>
      </c>
      <c r="W236" s="109">
        <f t="shared" si="387"/>
        <v>297.24</v>
      </c>
      <c r="X236" s="109">
        <f t="shared" si="387"/>
        <v>286.84399999999999</v>
      </c>
      <c r="Y236" s="109">
        <f t="shared" si="387"/>
        <v>406.24</v>
      </c>
      <c r="Z236" s="109">
        <f t="shared" si="387"/>
        <v>520.82500000000005</v>
      </c>
      <c r="AA236" s="109">
        <f t="shared" si="387"/>
        <v>652.36400000000003</v>
      </c>
      <c r="AB236" s="109">
        <f t="shared" si="387"/>
        <v>0</v>
      </c>
      <c r="AC236" s="109">
        <f t="shared" si="387"/>
        <v>826.49400000000003</v>
      </c>
      <c r="AD236" s="109">
        <f t="shared" si="387"/>
        <v>985.12599999999998</v>
      </c>
      <c r="AE236" s="109">
        <f t="shared" si="387"/>
        <v>1279.9090000000001</v>
      </c>
      <c r="AF236" s="109">
        <f t="shared" si="387"/>
        <v>0</v>
      </c>
      <c r="AG236" s="109">
        <f t="shared" si="387"/>
        <v>0</v>
      </c>
      <c r="AH236" s="109">
        <f t="shared" si="387"/>
        <v>0</v>
      </c>
      <c r="AI236" s="109">
        <f t="shared" si="387"/>
        <v>0</v>
      </c>
      <c r="AJ236" s="109">
        <f t="shared" si="387"/>
        <v>0</v>
      </c>
      <c r="AK236" s="109">
        <f t="shared" si="387"/>
        <v>0</v>
      </c>
      <c r="AL236" s="109">
        <f t="shared" si="387"/>
        <v>0</v>
      </c>
      <c r="AM236" s="109">
        <f t="shared" si="387"/>
        <v>0</v>
      </c>
      <c r="AN236" s="109">
        <f t="shared" si="387"/>
        <v>0</v>
      </c>
      <c r="AO236" s="109">
        <f t="shared" ref="AO236:AZ236" si="388">AO14</f>
        <v>0</v>
      </c>
      <c r="AP236" s="109">
        <f t="shared" si="388"/>
        <v>0</v>
      </c>
      <c r="AQ236" s="109">
        <f t="shared" si="388"/>
        <v>0</v>
      </c>
      <c r="AR236" s="109">
        <f t="shared" si="388"/>
        <v>0</v>
      </c>
      <c r="AS236" s="109">
        <f t="shared" si="388"/>
        <v>0</v>
      </c>
      <c r="AT236" s="109">
        <f t="shared" si="388"/>
        <v>0</v>
      </c>
      <c r="AU236" s="109">
        <f t="shared" si="388"/>
        <v>0</v>
      </c>
      <c r="AV236" s="109">
        <f t="shared" si="388"/>
        <v>0</v>
      </c>
      <c r="AW236" s="109">
        <f t="shared" si="388"/>
        <v>0</v>
      </c>
      <c r="AX236" s="109">
        <f t="shared" si="388"/>
        <v>0</v>
      </c>
      <c r="AY236" s="109">
        <f t="shared" si="388"/>
        <v>0</v>
      </c>
      <c r="AZ236" s="109">
        <f t="shared" si="388"/>
        <v>0</v>
      </c>
    </row>
    <row r="237" spans="2:59">
      <c r="B237" s="3" t="s">
        <v>151</v>
      </c>
      <c r="E237" s="59"/>
      <c r="F237" s="109">
        <f t="shared" ref="F237:N237" ca="1" si="389">F25</f>
        <v>0</v>
      </c>
      <c r="G237" s="109">
        <f t="shared" ca="1" si="389"/>
        <v>0</v>
      </c>
      <c r="H237" s="109">
        <f t="shared" ca="1" si="389"/>
        <v>0</v>
      </c>
      <c r="I237" s="109">
        <f t="shared" ca="1" si="389"/>
        <v>0</v>
      </c>
      <c r="J237" s="109">
        <f t="shared" ca="1" si="389"/>
        <v>2708.817</v>
      </c>
      <c r="K237" s="109">
        <f t="shared" ca="1" si="389"/>
        <v>3467</v>
      </c>
      <c r="L237" s="109">
        <f t="shared" ca="1" si="389"/>
        <v>4351.6896776156145</v>
      </c>
      <c r="M237" s="109">
        <f t="shared" ca="1" si="389"/>
        <v>5518.7332971041778</v>
      </c>
      <c r="N237" s="109">
        <f t="shared" ca="1" si="389"/>
        <v>7191.5966010943557</v>
      </c>
      <c r="O237" s="2"/>
      <c r="P237" s="2"/>
      <c r="Q237" s="109"/>
      <c r="R237" s="109"/>
      <c r="S237" s="109"/>
      <c r="T237" s="109">
        <f t="shared" ref="T237:AN237" si="390">T25</f>
        <v>0</v>
      </c>
      <c r="U237" s="109">
        <f t="shared" si="390"/>
        <v>0</v>
      </c>
      <c r="V237" s="109">
        <f t="shared" si="390"/>
        <v>0</v>
      </c>
      <c r="W237" s="109">
        <f t="shared" si="390"/>
        <v>0</v>
      </c>
      <c r="X237" s="109">
        <f t="shared" si="390"/>
        <v>0</v>
      </c>
      <c r="Y237" s="109">
        <f t="shared" si="390"/>
        <v>0</v>
      </c>
      <c r="Z237" s="109">
        <f t="shared" si="390"/>
        <v>0</v>
      </c>
      <c r="AA237" s="109">
        <f t="shared" si="390"/>
        <v>0</v>
      </c>
      <c r="AB237" s="109">
        <f t="shared" si="390"/>
        <v>0</v>
      </c>
      <c r="AC237" s="109">
        <f t="shared" si="390"/>
        <v>0</v>
      </c>
      <c r="AD237" s="109">
        <f t="shared" si="390"/>
        <v>0</v>
      </c>
      <c r="AE237" s="109">
        <f t="shared" si="390"/>
        <v>0</v>
      </c>
      <c r="AF237" s="109">
        <f t="shared" si="390"/>
        <v>0</v>
      </c>
      <c r="AG237" s="109">
        <f t="shared" si="390"/>
        <v>0</v>
      </c>
      <c r="AH237" s="109">
        <f t="shared" si="390"/>
        <v>0</v>
      </c>
      <c r="AI237" s="109">
        <f t="shared" si="390"/>
        <v>0</v>
      </c>
      <c r="AJ237" s="109">
        <f t="shared" si="390"/>
        <v>2708.817</v>
      </c>
      <c r="AK237" s="109">
        <f t="shared" si="390"/>
        <v>3229.63</v>
      </c>
      <c r="AL237" s="109">
        <f t="shared" si="390"/>
        <v>3648</v>
      </c>
      <c r="AM237" s="109">
        <f t="shared" si="390"/>
        <v>3699</v>
      </c>
      <c r="AN237" s="109">
        <f t="shared" si="390"/>
        <v>3467</v>
      </c>
      <c r="AO237" s="109">
        <f ca="1">(BIDU_IS!AO$81-BIDU_IS!AO$354-Operating_Model!AH102)*AO257</f>
        <v>4286.0353206942154</v>
      </c>
      <c r="AP237" s="109">
        <f ca="1">(BIDU_IS!AP$81-BIDU_IS!AP$354-Operating_Model!AI102)*AP257</f>
        <v>4101.9226236914992</v>
      </c>
      <c r="AQ237" s="109">
        <f ca="1">(BIDU_IS!AQ$81-BIDU_IS!AQ$354-Operating_Model!AJ102)*AQ257</f>
        <v>4300.4856064444657</v>
      </c>
      <c r="AR237" s="109">
        <f ca="1">(BIDU_IS!AR$81-BIDU_IS!AR$354-Operating_Model!AK102)*AR257</f>
        <v>4351.6896776156145</v>
      </c>
      <c r="AS237" s="109">
        <f ca="1">(BIDU_IS!AS$81-BIDU_IS!AS$354-Operating_Model!AL102)*AS257</f>
        <v>4784.3860944239823</v>
      </c>
      <c r="AT237" s="109">
        <f ca="1">(BIDU_IS!AT$81-BIDU_IS!AT$354-Operating_Model!AM102)*AT257</f>
        <v>4846.8015054338348</v>
      </c>
      <c r="AU237" s="109">
        <f ca="1">(BIDU_IS!AU$81-BIDU_IS!AU$354-Operating_Model!AN102)*AU257</f>
        <v>4821.3867787494237</v>
      </c>
      <c r="AV237" s="109">
        <f ca="1">(BIDU_IS!AV$81-BIDU_IS!AV$354-Operating_Model!AO102)*AV257</f>
        <v>5518.7332971041778</v>
      </c>
      <c r="AW237" s="109">
        <f ca="1">(BIDU_IS!AW$81-BIDU_IS!AW$354-Operating_Model!AP102)*AW257</f>
        <v>7226.0667293899105</v>
      </c>
      <c r="AX237" s="109">
        <f ca="1">(BIDU_IS!AX$81-BIDU_IS!AX$354-Operating_Model!AQ102)*AX257</f>
        <v>7410.919599211511</v>
      </c>
      <c r="AY237" s="109">
        <f ca="1">(BIDU_IS!AY$81-BIDU_IS!AY$354-Operating_Model!AR102)*AY257</f>
        <v>7241.0260235337018</v>
      </c>
      <c r="AZ237" s="109">
        <f ca="1">(BIDU_IS!AZ$81-BIDU_IS!AZ$354-Operating_Model!AS102)*AZ257</f>
        <v>7191.5966010943557</v>
      </c>
    </row>
    <row r="238" spans="2:59">
      <c r="B238" s="3" t="str">
        <f>B22</f>
        <v>Deferred tax assets</v>
      </c>
      <c r="E238" s="59"/>
      <c r="F238" s="109">
        <f t="shared" ref="F238:N238" ca="1" si="391">F22</f>
        <v>53.302999999999997</v>
      </c>
      <c r="G238" s="109">
        <f t="shared" ca="1" si="391"/>
        <v>97.94</v>
      </c>
      <c r="H238" s="109">
        <f t="shared" ca="1" si="391"/>
        <v>944.07899999999995</v>
      </c>
      <c r="I238" s="109">
        <f t="shared" ca="1" si="391"/>
        <v>1008.174</v>
      </c>
      <c r="J238" s="109">
        <f t="shared" ca="1" si="391"/>
        <v>1100.23</v>
      </c>
      <c r="K238" s="109">
        <f t="shared" ca="1" si="391"/>
        <v>1532</v>
      </c>
      <c r="L238" s="109">
        <f t="shared" ca="1" si="391"/>
        <v>1532</v>
      </c>
      <c r="M238" s="109">
        <f t="shared" ca="1" si="391"/>
        <v>1532</v>
      </c>
      <c r="N238" s="109">
        <f t="shared" ca="1" si="391"/>
        <v>1532</v>
      </c>
      <c r="O238" s="2"/>
      <c r="P238" s="2"/>
      <c r="Q238" s="109"/>
      <c r="R238" s="109"/>
      <c r="S238" s="109"/>
      <c r="T238" s="109">
        <f t="shared" ref="T238:AZ238" si="392">T22</f>
        <v>53.302999999999997</v>
      </c>
      <c r="U238" s="109">
        <f t="shared" si="392"/>
        <v>53.625</v>
      </c>
      <c r="V238" s="109">
        <f t="shared" si="392"/>
        <v>48.575000000000003</v>
      </c>
      <c r="W238" s="109">
        <f t="shared" si="392"/>
        <v>48.573999999999998</v>
      </c>
      <c r="X238" s="109">
        <f t="shared" si="392"/>
        <v>97.94</v>
      </c>
      <c r="Y238" s="109">
        <f t="shared" si="392"/>
        <v>96.436000000000007</v>
      </c>
      <c r="Z238" s="109">
        <f t="shared" si="392"/>
        <v>96.528999999999996</v>
      </c>
      <c r="AA238" s="109">
        <f t="shared" si="392"/>
        <v>100.01900000000001</v>
      </c>
      <c r="AB238" s="109">
        <f t="shared" si="392"/>
        <v>944.07899999999995</v>
      </c>
      <c r="AC238" s="109">
        <f t="shared" si="392"/>
        <v>257.928</v>
      </c>
      <c r="AD238" s="109">
        <f t="shared" si="392"/>
        <v>258.01100000000002</v>
      </c>
      <c r="AE238" s="109">
        <f t="shared" si="392"/>
        <v>258.649</v>
      </c>
      <c r="AF238" s="109">
        <f t="shared" si="392"/>
        <v>1008.174</v>
      </c>
      <c r="AG238" s="109">
        <f t="shared" si="392"/>
        <v>1269.0360000000001</v>
      </c>
      <c r="AH238" s="109">
        <f t="shared" si="392"/>
        <v>1131.4359999999999</v>
      </c>
      <c r="AI238" s="109">
        <f t="shared" si="392"/>
        <v>930.11699999999996</v>
      </c>
      <c r="AJ238" s="109">
        <f t="shared" si="392"/>
        <v>1100.23</v>
      </c>
      <c r="AK238" s="109">
        <f t="shared" si="392"/>
        <v>1413.415</v>
      </c>
      <c r="AL238" s="109">
        <f t="shared" si="392"/>
        <v>1494</v>
      </c>
      <c r="AM238" s="109">
        <f t="shared" si="392"/>
        <v>1532</v>
      </c>
      <c r="AN238" s="109">
        <f t="shared" si="392"/>
        <v>1532</v>
      </c>
      <c r="AO238" s="109">
        <f t="shared" si="392"/>
        <v>1532</v>
      </c>
      <c r="AP238" s="109">
        <f t="shared" si="392"/>
        <v>1532</v>
      </c>
      <c r="AQ238" s="109">
        <f t="shared" si="392"/>
        <v>1532</v>
      </c>
      <c r="AR238" s="109">
        <f t="shared" si="392"/>
        <v>1532</v>
      </c>
      <c r="AS238" s="109">
        <f t="shared" si="392"/>
        <v>1532</v>
      </c>
      <c r="AT238" s="109">
        <f t="shared" si="392"/>
        <v>1532</v>
      </c>
      <c r="AU238" s="109">
        <f t="shared" si="392"/>
        <v>1532</v>
      </c>
      <c r="AV238" s="109">
        <f t="shared" si="392"/>
        <v>1532</v>
      </c>
      <c r="AW238" s="109">
        <f t="shared" si="392"/>
        <v>1532</v>
      </c>
      <c r="AX238" s="109">
        <f t="shared" si="392"/>
        <v>1532</v>
      </c>
      <c r="AY238" s="109">
        <f t="shared" si="392"/>
        <v>1532</v>
      </c>
      <c r="AZ238" s="109">
        <f t="shared" si="392"/>
        <v>1532</v>
      </c>
    </row>
    <row r="239" spans="2:59">
      <c r="B239" s="3" t="str">
        <f>B23</f>
        <v>Due from related parties, non-current</v>
      </c>
      <c r="E239" s="59"/>
      <c r="F239" s="109">
        <f t="shared" ref="F239:N239" ca="1" si="393">F23</f>
        <v>0</v>
      </c>
      <c r="G239" s="109">
        <f t="shared" ca="1" si="393"/>
        <v>370.916</v>
      </c>
      <c r="H239" s="109">
        <f t="shared" ca="1" si="393"/>
        <v>0</v>
      </c>
      <c r="I239" s="109">
        <f t="shared" ca="1" si="393"/>
        <v>9.7249999999999996</v>
      </c>
      <c r="J239" s="109">
        <f t="shared" ca="1" si="393"/>
        <v>11.153</v>
      </c>
      <c r="K239" s="109">
        <f t="shared" ca="1" si="393"/>
        <v>9</v>
      </c>
      <c r="L239" s="109">
        <f t="shared" ca="1" si="393"/>
        <v>9</v>
      </c>
      <c r="M239" s="109">
        <f t="shared" ca="1" si="393"/>
        <v>9</v>
      </c>
      <c r="N239" s="109">
        <f t="shared" ca="1" si="393"/>
        <v>9</v>
      </c>
      <c r="O239" s="2"/>
      <c r="P239" s="2"/>
      <c r="Q239" s="109"/>
      <c r="R239" s="109"/>
      <c r="S239" s="109"/>
      <c r="T239" s="109">
        <f t="shared" ref="T239:AZ239" si="394">T23</f>
        <v>0</v>
      </c>
      <c r="U239" s="109">
        <f t="shared" si="394"/>
        <v>0</v>
      </c>
      <c r="V239" s="109">
        <f t="shared" si="394"/>
        <v>0</v>
      </c>
      <c r="W239" s="109">
        <f t="shared" si="394"/>
        <v>0</v>
      </c>
      <c r="X239" s="109">
        <f t="shared" si="394"/>
        <v>370.916</v>
      </c>
      <c r="Y239" s="109">
        <f t="shared" si="394"/>
        <v>0</v>
      </c>
      <c r="Z239" s="109">
        <f t="shared" si="394"/>
        <v>0</v>
      </c>
      <c r="AA239" s="109">
        <f t="shared" si="394"/>
        <v>0</v>
      </c>
      <c r="AB239" s="109">
        <f t="shared" si="394"/>
        <v>0</v>
      </c>
      <c r="AC239" s="109">
        <f t="shared" si="394"/>
        <v>0</v>
      </c>
      <c r="AD239" s="109">
        <f t="shared" si="394"/>
        <v>0</v>
      </c>
      <c r="AE239" s="109">
        <f t="shared" si="394"/>
        <v>0</v>
      </c>
      <c r="AF239" s="109">
        <f t="shared" si="394"/>
        <v>9.7249999999999996</v>
      </c>
      <c r="AG239" s="109">
        <f t="shared" si="394"/>
        <v>9.7449999999999992</v>
      </c>
      <c r="AH239" s="109">
        <f t="shared" si="394"/>
        <v>9.4909999999999997</v>
      </c>
      <c r="AI239" s="109">
        <f t="shared" si="394"/>
        <v>9.4909999999999997</v>
      </c>
      <c r="AJ239" s="109">
        <f t="shared" si="394"/>
        <v>11.153</v>
      </c>
      <c r="AK239" s="109">
        <f t="shared" si="394"/>
        <v>10.622999999999999</v>
      </c>
      <c r="AL239" s="109">
        <f t="shared" si="394"/>
        <v>11</v>
      </c>
      <c r="AM239" s="109">
        <f t="shared" si="394"/>
        <v>10</v>
      </c>
      <c r="AN239" s="109">
        <f t="shared" si="394"/>
        <v>9</v>
      </c>
      <c r="AO239" s="109">
        <f t="shared" si="394"/>
        <v>9</v>
      </c>
      <c r="AP239" s="109">
        <f t="shared" si="394"/>
        <v>9</v>
      </c>
      <c r="AQ239" s="109">
        <f t="shared" si="394"/>
        <v>9</v>
      </c>
      <c r="AR239" s="109">
        <f t="shared" si="394"/>
        <v>9</v>
      </c>
      <c r="AS239" s="109">
        <f t="shared" si="394"/>
        <v>9</v>
      </c>
      <c r="AT239" s="109">
        <f t="shared" si="394"/>
        <v>9</v>
      </c>
      <c r="AU239" s="109">
        <f t="shared" si="394"/>
        <v>9</v>
      </c>
      <c r="AV239" s="109">
        <f t="shared" si="394"/>
        <v>9</v>
      </c>
      <c r="AW239" s="109">
        <f t="shared" si="394"/>
        <v>9</v>
      </c>
      <c r="AX239" s="109">
        <f t="shared" si="394"/>
        <v>9</v>
      </c>
      <c r="AY239" s="109">
        <f t="shared" si="394"/>
        <v>9</v>
      </c>
      <c r="AZ239" s="109">
        <f t="shared" si="394"/>
        <v>9</v>
      </c>
    </row>
    <row r="240" spans="2:59">
      <c r="B240" s="3" t="str">
        <f>B24</f>
        <v>Other assets</v>
      </c>
      <c r="E240" s="59"/>
      <c r="F240" s="109">
        <f t="shared" ref="F240:N240" ca="1" si="395">F24</f>
        <v>784.89300000000003</v>
      </c>
      <c r="G240" s="109">
        <f t="shared" ca="1" si="395"/>
        <v>988.072</v>
      </c>
      <c r="H240" s="109">
        <f t="shared" ca="1" si="395"/>
        <v>893.952</v>
      </c>
      <c r="I240" s="109">
        <f t="shared" ca="1" si="395"/>
        <v>1285.836</v>
      </c>
      <c r="J240" s="109">
        <f t="shared" ca="1" si="395"/>
        <v>2219.277</v>
      </c>
      <c r="K240" s="109">
        <f t="shared" ca="1" si="395"/>
        <v>5520</v>
      </c>
      <c r="L240" s="109">
        <f t="shared" ca="1" si="395"/>
        <v>5873.5620745673177</v>
      </c>
      <c r="M240" s="109">
        <f t="shared" ca="1" si="395"/>
        <v>6454.6100444619578</v>
      </c>
      <c r="N240" s="109">
        <f t="shared" ca="1" si="395"/>
        <v>7253.9464599415778</v>
      </c>
      <c r="O240" s="2"/>
      <c r="P240" s="2"/>
      <c r="Q240" s="109"/>
      <c r="R240" s="109"/>
      <c r="S240" s="109"/>
      <c r="T240" s="109">
        <f t="shared" ref="T240:AN240" si="396">T24</f>
        <v>784.89300000000003</v>
      </c>
      <c r="U240" s="109">
        <f t="shared" si="396"/>
        <v>850.298</v>
      </c>
      <c r="V240" s="109">
        <f t="shared" si="396"/>
        <v>791.82600000000002</v>
      </c>
      <c r="W240" s="109">
        <f t="shared" si="396"/>
        <v>1028.683</v>
      </c>
      <c r="X240" s="109">
        <f t="shared" si="396"/>
        <v>988.072</v>
      </c>
      <c r="Y240" s="109">
        <f t="shared" si="396"/>
        <v>856.10599999999999</v>
      </c>
      <c r="Z240" s="109">
        <f t="shared" si="396"/>
        <v>1035.4259999999999</v>
      </c>
      <c r="AA240" s="109">
        <f t="shared" si="396"/>
        <v>1075.3969999999999</v>
      </c>
      <c r="AB240" s="109">
        <f t="shared" si="396"/>
        <v>893.952</v>
      </c>
      <c r="AC240" s="109">
        <f t="shared" si="396"/>
        <v>1149.242</v>
      </c>
      <c r="AD240" s="109">
        <f t="shared" si="396"/>
        <v>1197.2919999999999</v>
      </c>
      <c r="AE240" s="109">
        <f t="shared" si="396"/>
        <v>1129.98</v>
      </c>
      <c r="AF240" s="109">
        <f t="shared" si="396"/>
        <v>1285.836</v>
      </c>
      <c r="AG240" s="109">
        <f t="shared" si="396"/>
        <v>1669.0319999999999</v>
      </c>
      <c r="AH240" s="109">
        <f t="shared" si="396"/>
        <v>2474.7869999999998</v>
      </c>
      <c r="AI240" s="109">
        <f t="shared" si="396"/>
        <v>3494.28</v>
      </c>
      <c r="AJ240" s="109">
        <f t="shared" si="396"/>
        <v>2219.277</v>
      </c>
      <c r="AK240" s="109">
        <f t="shared" si="396"/>
        <v>3369.7950000000001</v>
      </c>
      <c r="AL240" s="109">
        <f t="shared" si="396"/>
        <v>3528</v>
      </c>
      <c r="AM240" s="109">
        <f t="shared" si="396"/>
        <v>4169</v>
      </c>
      <c r="AN240" s="109">
        <f t="shared" si="396"/>
        <v>5520</v>
      </c>
      <c r="AO240" s="109">
        <f ca="1">BIDU_IS!AO$89*AO258</f>
        <v>4502.9275272554096</v>
      </c>
      <c r="AP240" s="109">
        <f ca="1">BIDU_IS!AP$89*AP258</f>
        <v>5390.5072138794912</v>
      </c>
      <c r="AQ240" s="109">
        <f ca="1">BIDU_IS!AQ$89*AQ258</f>
        <v>5887.0113378706419</v>
      </c>
      <c r="AR240" s="109">
        <f ca="1">BIDU_IS!AR$89*AR258</f>
        <v>5873.5620745673177</v>
      </c>
      <c r="AS240" s="109">
        <f ca="1">BIDU_IS!AS$89*AS258</f>
        <v>5288.6751999081625</v>
      </c>
      <c r="AT240" s="109">
        <f ca="1">BIDU_IS!AT$89*AT258</f>
        <v>6099.1604178040288</v>
      </c>
      <c r="AU240" s="109">
        <f ca="1">BIDU_IS!AU$89*AU258</f>
        <v>6676.0766567335859</v>
      </c>
      <c r="AV240" s="109">
        <f ca="1">BIDU_IS!AV$89*AV258</f>
        <v>6454.6100444619578</v>
      </c>
      <c r="AW240" s="109">
        <f ca="1">BIDU_IS!AW$89*AW258</f>
        <v>5916.6795182158339</v>
      </c>
      <c r="AX240" s="109">
        <f ca="1">BIDU_IS!AX$89*AX258</f>
        <v>6709.9867295189542</v>
      </c>
      <c r="AY240" s="109">
        <f ca="1">BIDU_IS!AY$89*AY258</f>
        <v>7299.4879734688684</v>
      </c>
      <c r="AZ240" s="109">
        <f ca="1">BIDU_IS!AZ$89*AZ258</f>
        <v>7253.9464599415778</v>
      </c>
    </row>
    <row r="241" spans="2:52">
      <c r="B241" s="3" t="str">
        <f>B15</f>
        <v>Other invested securities</v>
      </c>
      <c r="E241" s="59">
        <v>121.411</v>
      </c>
      <c r="F241" s="109">
        <f t="shared" ref="F241:N241" ca="1" si="397">F15</f>
        <v>0</v>
      </c>
      <c r="G241" s="109">
        <f t="shared" ca="1" si="397"/>
        <v>0</v>
      </c>
      <c r="H241" s="109">
        <f t="shared" ca="1" si="397"/>
        <v>0</v>
      </c>
      <c r="I241" s="109">
        <f t="shared" ca="1" si="397"/>
        <v>0</v>
      </c>
      <c r="J241" s="109">
        <f t="shared" ca="1" si="397"/>
        <v>7747.4359999999997</v>
      </c>
      <c r="K241" s="109">
        <f t="shared" ca="1" si="397"/>
        <v>18350</v>
      </c>
      <c r="L241" s="109">
        <f t="shared" ca="1" si="397"/>
        <v>18350</v>
      </c>
      <c r="M241" s="109">
        <f t="shared" ca="1" si="397"/>
        <v>18350</v>
      </c>
      <c r="N241" s="109">
        <f t="shared" ca="1" si="397"/>
        <v>18350</v>
      </c>
      <c r="O241" s="2"/>
      <c r="P241" s="2"/>
      <c r="Q241" s="2"/>
      <c r="R241" s="2"/>
      <c r="S241" s="2"/>
      <c r="T241" s="109">
        <f t="shared" ref="T241:AZ241" si="398">T15</f>
        <v>0</v>
      </c>
      <c r="U241" s="109">
        <f t="shared" si="398"/>
        <v>0</v>
      </c>
      <c r="V241" s="109">
        <f t="shared" si="398"/>
        <v>0</v>
      </c>
      <c r="W241" s="109">
        <f t="shared" si="398"/>
        <v>0</v>
      </c>
      <c r="X241" s="109">
        <f t="shared" si="398"/>
        <v>0</v>
      </c>
      <c r="Y241" s="109">
        <f t="shared" si="398"/>
        <v>0</v>
      </c>
      <c r="Z241" s="109">
        <f t="shared" si="398"/>
        <v>0</v>
      </c>
      <c r="AA241" s="109">
        <f t="shared" si="398"/>
        <v>0</v>
      </c>
      <c r="AB241" s="109">
        <f t="shared" si="398"/>
        <v>0</v>
      </c>
      <c r="AC241" s="109">
        <f t="shared" si="398"/>
        <v>0</v>
      </c>
      <c r="AD241" s="109">
        <f t="shared" si="398"/>
        <v>0</v>
      </c>
      <c r="AE241" s="109">
        <f t="shared" si="398"/>
        <v>0</v>
      </c>
      <c r="AF241" s="109">
        <f t="shared" si="398"/>
        <v>0</v>
      </c>
      <c r="AG241" s="109">
        <f t="shared" si="398"/>
        <v>0</v>
      </c>
      <c r="AH241" s="109">
        <f t="shared" si="398"/>
        <v>0</v>
      </c>
      <c r="AI241" s="109">
        <f t="shared" si="398"/>
        <v>0</v>
      </c>
      <c r="AJ241" s="109">
        <f t="shared" si="398"/>
        <v>7747.4359999999997</v>
      </c>
      <c r="AK241" s="109">
        <f t="shared" si="398"/>
        <v>16066.794</v>
      </c>
      <c r="AL241" s="109">
        <f t="shared" si="398"/>
        <v>24998</v>
      </c>
      <c r="AM241" s="109">
        <f t="shared" si="398"/>
        <v>21496</v>
      </c>
      <c r="AN241" s="109">
        <f t="shared" si="398"/>
        <v>18350</v>
      </c>
      <c r="AO241" s="109">
        <f t="shared" si="398"/>
        <v>18350</v>
      </c>
      <c r="AP241" s="109">
        <f t="shared" si="398"/>
        <v>18350</v>
      </c>
      <c r="AQ241" s="109">
        <f t="shared" si="398"/>
        <v>18350</v>
      </c>
      <c r="AR241" s="109">
        <f t="shared" si="398"/>
        <v>18350</v>
      </c>
      <c r="AS241" s="109">
        <f t="shared" si="398"/>
        <v>18350</v>
      </c>
      <c r="AT241" s="109">
        <f t="shared" si="398"/>
        <v>18350</v>
      </c>
      <c r="AU241" s="109">
        <f t="shared" si="398"/>
        <v>18350</v>
      </c>
      <c r="AV241" s="109">
        <f t="shared" si="398"/>
        <v>18350</v>
      </c>
      <c r="AW241" s="109">
        <f t="shared" si="398"/>
        <v>18350</v>
      </c>
      <c r="AX241" s="109">
        <f t="shared" si="398"/>
        <v>18350</v>
      </c>
      <c r="AY241" s="109">
        <f t="shared" si="398"/>
        <v>18350</v>
      </c>
      <c r="AZ241" s="109">
        <f t="shared" si="398"/>
        <v>18350</v>
      </c>
    </row>
    <row r="242" spans="2:52">
      <c r="B242" s="108" t="s">
        <v>150</v>
      </c>
      <c r="E242" s="59"/>
      <c r="F242" s="58"/>
      <c r="G242" s="58"/>
      <c r="H242" s="58"/>
      <c r="I242" s="58"/>
      <c r="J242" s="58"/>
      <c r="K242" s="58"/>
      <c r="L242" s="58"/>
      <c r="M242" s="58"/>
      <c r="N242" s="58"/>
      <c r="O242" s="2"/>
      <c r="P242" s="2"/>
      <c r="Q242" s="2"/>
      <c r="R242" s="2"/>
      <c r="S242" s="2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58"/>
      <c r="AN242" s="58"/>
      <c r="AO242" s="70"/>
      <c r="AP242" s="70"/>
    </row>
    <row r="243" spans="2:52">
      <c r="B243" s="3" t="str">
        <f>B35</f>
        <v>Accounts payable and accrued liabilities</v>
      </c>
      <c r="E243" s="59">
        <v>2545.4450000000002</v>
      </c>
      <c r="F243" s="58">
        <f t="shared" ref="F243:N243" ca="1" si="399">F35</f>
        <v>3806.8359999999998</v>
      </c>
      <c r="G243" s="58">
        <f t="shared" ca="1" si="399"/>
        <v>7362.1379999999999</v>
      </c>
      <c r="H243" s="58">
        <f t="shared" ca="1" si="399"/>
        <v>12964.893</v>
      </c>
      <c r="I243" s="58">
        <f t="shared" ca="1" si="399"/>
        <v>17636.216</v>
      </c>
      <c r="J243" s="58">
        <f t="shared" ca="1" si="399"/>
        <v>28654.085999999999</v>
      </c>
      <c r="K243" s="58">
        <f t="shared" ca="1" si="399"/>
        <v>66009</v>
      </c>
      <c r="L243" s="58">
        <f t="shared" ca="1" si="399"/>
        <v>60823.114826379053</v>
      </c>
      <c r="M243" s="58">
        <f t="shared" ca="1" si="399"/>
        <v>40798.996507648437</v>
      </c>
      <c r="N243" s="58">
        <f t="shared" ca="1" si="399"/>
        <v>23612.161878364219</v>
      </c>
      <c r="O243" s="2"/>
      <c r="P243" s="2"/>
      <c r="Q243" s="2"/>
      <c r="R243" s="2"/>
      <c r="S243" s="2"/>
      <c r="T243" s="58">
        <f t="shared" ref="T243:AN243" si="400">T35</f>
        <v>3806.8359999999998</v>
      </c>
      <c r="U243" s="58">
        <f t="shared" si="400"/>
        <v>3686.1210000000001</v>
      </c>
      <c r="V243" s="58">
        <f t="shared" si="400"/>
        <v>4675.5159999999996</v>
      </c>
      <c r="W243" s="58">
        <f t="shared" si="400"/>
        <v>5765.0720000000001</v>
      </c>
      <c r="X243" s="58">
        <f t="shared" si="400"/>
        <v>7362.1379999999999</v>
      </c>
      <c r="Y243" s="58">
        <f t="shared" si="400"/>
        <v>8078.76</v>
      </c>
      <c r="Z243" s="58">
        <f t="shared" si="400"/>
        <v>9665.0779999999995</v>
      </c>
      <c r="AA243" s="58">
        <f t="shared" si="400"/>
        <v>11272.808000000001</v>
      </c>
      <c r="AB243" s="58">
        <f t="shared" si="400"/>
        <v>12964.893</v>
      </c>
      <c r="AC243" s="58">
        <f t="shared" si="400"/>
        <v>13460.619000000001</v>
      </c>
      <c r="AD243" s="58">
        <f t="shared" si="400"/>
        <v>16057.111999999999</v>
      </c>
      <c r="AE243" s="58">
        <f t="shared" si="400"/>
        <v>19858.18</v>
      </c>
      <c r="AF243" s="58">
        <f t="shared" si="400"/>
        <v>17636.216</v>
      </c>
      <c r="AG243" s="58">
        <f t="shared" si="400"/>
        <v>18815.172999999999</v>
      </c>
      <c r="AH243" s="58">
        <f t="shared" si="400"/>
        <v>19312.633000000002</v>
      </c>
      <c r="AI243" s="58">
        <f t="shared" si="400"/>
        <v>20951.215</v>
      </c>
      <c r="AJ243" s="58">
        <f t="shared" si="400"/>
        <v>28654.085999999999</v>
      </c>
      <c r="AK243" s="58">
        <f t="shared" si="400"/>
        <v>42095.642</v>
      </c>
      <c r="AL243" s="58">
        <f t="shared" si="400"/>
        <v>54186</v>
      </c>
      <c r="AM243" s="58">
        <f t="shared" si="400"/>
        <v>60395</v>
      </c>
      <c r="AN243" s="58">
        <f t="shared" si="400"/>
        <v>66009</v>
      </c>
      <c r="AO243" s="58">
        <f ca="1">BIDU_IS!AO$89*AO259*2-AN243</f>
        <v>68998.703544393764</v>
      </c>
      <c r="AP243" s="58">
        <f ca="1">BIDU_IS!AP$89*AP259*2-AO243</f>
        <v>61167.49703175755</v>
      </c>
      <c r="AQ243" s="58">
        <f ca="1">BIDU_IS!AQ$89*AQ259*2-AP243</f>
        <v>89575.476906670054</v>
      </c>
      <c r="AR243" s="58">
        <f ca="1">BIDU_IS!AR$89*AR259*2-AQ243</f>
        <v>60823.114826379053</v>
      </c>
      <c r="AS243" s="58">
        <f ca="1">BIDU_IS!AS$89*AS259*2-AR243</f>
        <v>96348.687084909412</v>
      </c>
      <c r="AT243" s="58">
        <f ca="1">BIDU_IS!AT$89*AT259*2-AS243</f>
        <v>49720.661415403883</v>
      </c>
      <c r="AU243" s="58">
        <f ca="1">BIDU_IS!AU$89*AU259*2-AT243</f>
        <v>117168.47116552005</v>
      </c>
      <c r="AV243" s="58">
        <f ca="1">BIDU_IS!AV$89*AV259*2-AU243</f>
        <v>40798.996507648437</v>
      </c>
      <c r="AW243" s="58">
        <f ca="1">BIDU_IS!AW$89*AW259*2-AV243</f>
        <v>126473.29584149132</v>
      </c>
      <c r="AX243" s="58">
        <f ca="1">BIDU_IS!AX$89*AX259*2-AW243</f>
        <v>28847.762333441613</v>
      </c>
      <c r="AY243" s="58">
        <f ca="1">BIDU_IS!AY$89*AY259*2-AX243</f>
        <v>148429.90204659983</v>
      </c>
      <c r="AZ243" s="58">
        <f ca="1">BIDU_IS!AZ$89*AZ259*2-AY243</f>
        <v>23612.161878364219</v>
      </c>
    </row>
    <row r="244" spans="2:52">
      <c r="B244" s="3" t="str">
        <f>B36</f>
        <v>Due to related parties</v>
      </c>
      <c r="E244" s="59"/>
      <c r="F244" s="58">
        <f t="shared" ref="F244:N244" ca="1" si="401">F36</f>
        <v>0</v>
      </c>
      <c r="G244" s="58">
        <f t="shared" ca="1" si="401"/>
        <v>0.39800000000000002</v>
      </c>
      <c r="H244" s="58">
        <f t="shared" ca="1" si="401"/>
        <v>8.3849999999999998</v>
      </c>
      <c r="I244" s="58">
        <f t="shared" ca="1" si="401"/>
        <v>989.92100000000005</v>
      </c>
      <c r="J244" s="58">
        <f t="shared" ca="1" si="401"/>
        <v>458.68700000000001</v>
      </c>
      <c r="K244" s="58">
        <f t="shared" ca="1" si="401"/>
        <v>153</v>
      </c>
      <c r="L244" s="58">
        <f t="shared" ca="1" si="401"/>
        <v>153</v>
      </c>
      <c r="M244" s="58">
        <f t="shared" ca="1" si="401"/>
        <v>153</v>
      </c>
      <c r="N244" s="58">
        <f t="shared" ca="1" si="401"/>
        <v>153</v>
      </c>
      <c r="O244" s="2"/>
      <c r="P244" s="2"/>
      <c r="Q244" s="2"/>
      <c r="R244" s="2"/>
      <c r="S244" s="2"/>
      <c r="T244" s="58">
        <f t="shared" ref="T244:AN244" si="402">T36</f>
        <v>0</v>
      </c>
      <c r="U244" s="58">
        <f t="shared" si="402"/>
        <v>0</v>
      </c>
      <c r="V244" s="58">
        <f t="shared" si="402"/>
        <v>0</v>
      </c>
      <c r="W244" s="58">
        <f t="shared" si="402"/>
        <v>0</v>
      </c>
      <c r="X244" s="58">
        <f t="shared" si="402"/>
        <v>0.39800000000000002</v>
      </c>
      <c r="Y244" s="58">
        <f t="shared" si="402"/>
        <v>0.39800000000000002</v>
      </c>
      <c r="Z244" s="58">
        <f t="shared" si="402"/>
        <v>0.39800000000000002</v>
      </c>
      <c r="AA244" s="58">
        <f t="shared" si="402"/>
        <v>0.39800000000000002</v>
      </c>
      <c r="AB244" s="58">
        <f t="shared" si="402"/>
        <v>8.3849999999999998</v>
      </c>
      <c r="AC244" s="58">
        <f t="shared" si="402"/>
        <v>4.0289999999999999</v>
      </c>
      <c r="AD244" s="58">
        <f t="shared" si="402"/>
        <v>1.5209999999999999</v>
      </c>
      <c r="AE244" s="58">
        <f t="shared" si="402"/>
        <v>1.6020000000000001</v>
      </c>
      <c r="AF244" s="58">
        <f t="shared" si="402"/>
        <v>989.92100000000005</v>
      </c>
      <c r="AG244" s="58">
        <f t="shared" si="402"/>
        <v>137.761</v>
      </c>
      <c r="AH244" s="58">
        <f t="shared" si="402"/>
        <v>498.50400000000002</v>
      </c>
      <c r="AI244" s="58">
        <f t="shared" si="402"/>
        <v>350.71300000000002</v>
      </c>
      <c r="AJ244" s="58">
        <f t="shared" si="402"/>
        <v>458.68700000000001</v>
      </c>
      <c r="AK244" s="58">
        <f t="shared" si="402"/>
        <v>391.99200000000002</v>
      </c>
      <c r="AL244" s="58">
        <f t="shared" si="402"/>
        <v>248</v>
      </c>
      <c r="AM244" s="58">
        <f t="shared" si="402"/>
        <v>337</v>
      </c>
      <c r="AN244" s="58">
        <f t="shared" si="402"/>
        <v>153</v>
      </c>
      <c r="AO244" s="58">
        <f t="shared" ref="AO244:AZ244" si="403">AO36</f>
        <v>153</v>
      </c>
      <c r="AP244" s="58">
        <f t="shared" si="403"/>
        <v>153</v>
      </c>
      <c r="AQ244" s="58">
        <f t="shared" si="403"/>
        <v>153</v>
      </c>
      <c r="AR244" s="58">
        <f t="shared" si="403"/>
        <v>153</v>
      </c>
      <c r="AS244" s="58">
        <f t="shared" si="403"/>
        <v>153</v>
      </c>
      <c r="AT244" s="58">
        <f t="shared" si="403"/>
        <v>153</v>
      </c>
      <c r="AU244" s="58">
        <f t="shared" si="403"/>
        <v>153</v>
      </c>
      <c r="AV244" s="58">
        <f t="shared" si="403"/>
        <v>153</v>
      </c>
      <c r="AW244" s="58">
        <f t="shared" si="403"/>
        <v>153</v>
      </c>
      <c r="AX244" s="58">
        <f t="shared" si="403"/>
        <v>153</v>
      </c>
      <c r="AY244" s="58">
        <f t="shared" si="403"/>
        <v>153</v>
      </c>
      <c r="AZ244" s="58">
        <f t="shared" si="403"/>
        <v>153</v>
      </c>
    </row>
    <row r="245" spans="2:52">
      <c r="B245" s="3" t="str">
        <f>B37</f>
        <v>Customers' deposits</v>
      </c>
      <c r="E245" s="59">
        <v>1573.9670000000001</v>
      </c>
      <c r="F245" s="58">
        <f t="shared" ref="F245:N245" ca="1" si="404">F37</f>
        <v>2067.5859999999998</v>
      </c>
      <c r="G245" s="58">
        <f t="shared" ca="1" si="404"/>
        <v>2977.8719999999998</v>
      </c>
      <c r="H245" s="58">
        <f t="shared" ca="1" si="404"/>
        <v>4296.4399999999996</v>
      </c>
      <c r="I245" s="58">
        <f t="shared" ca="1" si="404"/>
        <v>5420.23</v>
      </c>
      <c r="J245" s="58">
        <f t="shared" ca="1" si="404"/>
        <v>6031.6809999999996</v>
      </c>
      <c r="K245" s="58">
        <f t="shared" ca="1" si="404"/>
        <v>6785</v>
      </c>
      <c r="L245" s="58">
        <f t="shared" ca="1" si="404"/>
        <v>6185.4843886427461</v>
      </c>
      <c r="M245" s="58">
        <f t="shared" ca="1" si="404"/>
        <v>3874.7760813307468</v>
      </c>
      <c r="N245" s="58">
        <f t="shared" ca="1" si="404"/>
        <v>873.28493001366405</v>
      </c>
      <c r="O245" s="2"/>
      <c r="P245" s="2"/>
      <c r="Q245" s="2"/>
      <c r="R245" s="2"/>
      <c r="S245" s="2"/>
      <c r="T245" s="58">
        <f t="shared" ref="T245:AN245" si="405">T37</f>
        <v>2067.5859999999998</v>
      </c>
      <c r="U245" s="58">
        <f t="shared" si="405"/>
        <v>1950.181</v>
      </c>
      <c r="V245" s="58">
        <f t="shared" si="405"/>
        <v>1990.2339999999999</v>
      </c>
      <c r="W245" s="58">
        <f t="shared" si="405"/>
        <v>2542.9110000000001</v>
      </c>
      <c r="X245" s="58">
        <f t="shared" si="405"/>
        <v>2977.8719999999998</v>
      </c>
      <c r="Y245" s="58">
        <f t="shared" si="405"/>
        <v>3092.0410000000002</v>
      </c>
      <c r="Z245" s="58">
        <f t="shared" si="405"/>
        <v>3236.645</v>
      </c>
      <c r="AA245" s="58">
        <f t="shared" si="405"/>
        <v>3837.4960000000001</v>
      </c>
      <c r="AB245" s="58">
        <f t="shared" si="405"/>
        <v>4296.4399999999996</v>
      </c>
      <c r="AC245" s="58">
        <f t="shared" si="405"/>
        <v>4139.866</v>
      </c>
      <c r="AD245" s="58">
        <f t="shared" si="405"/>
        <v>4691.7569999999996</v>
      </c>
      <c r="AE245" s="58">
        <f t="shared" si="405"/>
        <v>5557.2349999999997</v>
      </c>
      <c r="AF245" s="58">
        <f t="shared" si="405"/>
        <v>5420.23</v>
      </c>
      <c r="AG245" s="58">
        <f t="shared" si="405"/>
        <v>5148.4089999999997</v>
      </c>
      <c r="AH245" s="58">
        <f t="shared" si="405"/>
        <v>5618.5190000000002</v>
      </c>
      <c r="AI245" s="58">
        <f t="shared" si="405"/>
        <v>5913.3469999999998</v>
      </c>
      <c r="AJ245" s="58">
        <f t="shared" si="405"/>
        <v>6031.6809999999996</v>
      </c>
      <c r="AK245" s="58">
        <f t="shared" si="405"/>
        <v>5646.8410000000003</v>
      </c>
      <c r="AL245" s="58">
        <f t="shared" si="405"/>
        <v>6269</v>
      </c>
      <c r="AM245" s="58">
        <f t="shared" si="405"/>
        <v>6920</v>
      </c>
      <c r="AN245" s="58">
        <f t="shared" si="405"/>
        <v>6785</v>
      </c>
      <c r="AO245" s="58">
        <f ca="1">AO260*BIDU_IS!AO$89*2-AN245</f>
        <v>7915.6931314155136</v>
      </c>
      <c r="AP245" s="58">
        <f ca="1">AP260*BIDU_IS!AP$89*2-AO245</f>
        <v>6784.5968890427357</v>
      </c>
      <c r="AQ245" s="58">
        <f ca="1">AQ260*BIDU_IS!AQ$89*2-AP245</f>
        <v>9288.3236623026114</v>
      </c>
      <c r="AR245" s="58">
        <f ca="1">AR260*BIDU_IS!AR$89*2-AQ245</f>
        <v>6185.4843886427461</v>
      </c>
      <c r="AS245" s="58">
        <f ca="1">AS260*BIDU_IS!AS$89*2-AR245</f>
        <v>9664.9309233031563</v>
      </c>
      <c r="AT245" s="58">
        <f ca="1">AT260*BIDU_IS!AT$89*2-AS245</f>
        <v>5077.495495680545</v>
      </c>
      <c r="AU245" s="58">
        <f ca="1">AU260*BIDU_IS!AU$89*2-AT245</f>
        <v>11082.19705485739</v>
      </c>
      <c r="AV245" s="58">
        <f ca="1">AV260*BIDU_IS!AV$89*2-AU245</f>
        <v>3874.7760813307468</v>
      </c>
      <c r="AW245" s="58">
        <f ca="1">AW260*BIDU_IS!AW$89*2-AV245</f>
        <v>12003.754053890238</v>
      </c>
      <c r="AX245" s="58">
        <f ca="1">AX260*BIDU_IS!AX$89*2-AW245</f>
        <v>1780.1931182445969</v>
      </c>
      <c r="AY245" s="58">
        <f ca="1">AY260*BIDU_IS!AY$89*2-AX245</f>
        <v>13241.776904238966</v>
      </c>
      <c r="AZ245" s="58">
        <f ca="1">AZ260*BIDU_IS!AZ$89*2-AY245</f>
        <v>873.28493001366405</v>
      </c>
    </row>
    <row r="246" spans="2:52">
      <c r="B246" s="3" t="str">
        <f>B38</f>
        <v>Deferred revenue and income</v>
      </c>
      <c r="E246" s="59">
        <v>97.484000000000009</v>
      </c>
      <c r="F246" s="58">
        <f t="shared" ref="F246:N246" ca="1" si="406">F38</f>
        <v>158.62700000000001</v>
      </c>
      <c r="G246" s="58">
        <f t="shared" ca="1" si="406"/>
        <v>303.88599999999997</v>
      </c>
      <c r="H246" s="58">
        <f t="shared" ca="1" si="406"/>
        <v>683.35199999999998</v>
      </c>
      <c r="I246" s="58">
        <f t="shared" ca="1" si="406"/>
        <v>935.52700000000004</v>
      </c>
      <c r="J246" s="58">
        <f t="shared" ca="1" si="406"/>
        <v>1162.5640000000001</v>
      </c>
      <c r="K246" s="58">
        <f t="shared" ca="1" si="406"/>
        <v>1356</v>
      </c>
      <c r="L246" s="58">
        <f t="shared" ca="1" si="406"/>
        <v>923.00914323344932</v>
      </c>
      <c r="M246" s="58">
        <f t="shared" ca="1" si="406"/>
        <v>856.57061362694867</v>
      </c>
      <c r="N246" s="58">
        <f t="shared" ca="1" si="406"/>
        <v>520.87589722948906</v>
      </c>
      <c r="O246" s="2"/>
      <c r="P246" s="2"/>
      <c r="Q246" s="2"/>
      <c r="R246" s="2"/>
      <c r="S246" s="2"/>
      <c r="T246" s="58">
        <f t="shared" ref="T246:AN246" si="407">T38</f>
        <v>158.62700000000001</v>
      </c>
      <c r="U246" s="58">
        <f t="shared" si="407"/>
        <v>120.429</v>
      </c>
      <c r="V246" s="58">
        <f t="shared" si="407"/>
        <v>183.02100000000002</v>
      </c>
      <c r="W246" s="58">
        <f t="shared" si="407"/>
        <v>192.202</v>
      </c>
      <c r="X246" s="58">
        <f t="shared" si="407"/>
        <v>303.88599999999997</v>
      </c>
      <c r="Y246" s="58">
        <f t="shared" si="407"/>
        <v>321.48500000000001</v>
      </c>
      <c r="Z246" s="58">
        <f t="shared" si="407"/>
        <v>387.42200000000003</v>
      </c>
      <c r="AA246" s="58">
        <f t="shared" si="407"/>
        <v>335.94</v>
      </c>
      <c r="AB246" s="58">
        <f t="shared" si="407"/>
        <v>683.35199999999998</v>
      </c>
      <c r="AC246" s="58">
        <f t="shared" si="407"/>
        <v>685.274</v>
      </c>
      <c r="AD246" s="58">
        <f t="shared" si="407"/>
        <v>836.06700000000001</v>
      </c>
      <c r="AE246" s="58">
        <f t="shared" si="407"/>
        <v>767.14700000000005</v>
      </c>
      <c r="AF246" s="58">
        <f t="shared" si="407"/>
        <v>935.52700000000004</v>
      </c>
      <c r="AG246" s="58">
        <f t="shared" si="407"/>
        <v>1197.7489999999998</v>
      </c>
      <c r="AH246" s="58">
        <f t="shared" si="407"/>
        <v>1079.184</v>
      </c>
      <c r="AI246" s="58">
        <f t="shared" si="407"/>
        <v>1083.511</v>
      </c>
      <c r="AJ246" s="58">
        <f t="shared" si="407"/>
        <v>1162.5640000000001</v>
      </c>
      <c r="AK246" s="58">
        <f t="shared" si="407"/>
        <v>1190.866</v>
      </c>
      <c r="AL246" s="58">
        <f t="shared" si="407"/>
        <v>1264</v>
      </c>
      <c r="AM246" s="58">
        <f t="shared" si="407"/>
        <v>1087</v>
      </c>
      <c r="AN246" s="58">
        <f t="shared" si="407"/>
        <v>1356</v>
      </c>
      <c r="AO246" s="58">
        <f ca="1">AO261*BIDU_IS!AO$89*2-AN246</f>
        <v>1694.6964311620709</v>
      </c>
      <c r="AP246" s="58">
        <f ca="1">AP261*BIDU_IS!AP$89*2-AO246</f>
        <v>1387.8123950078116</v>
      </c>
      <c r="AQ246" s="58">
        <f ca="1">AQ261*BIDU_IS!AQ$89*2-AP246</f>
        <v>2047.2031254763874</v>
      </c>
      <c r="AR246" s="58">
        <f ca="1">AR261*BIDU_IS!AR$89*2-AQ246</f>
        <v>923.00914323344932</v>
      </c>
      <c r="AS246" s="58">
        <f ca="1">AS261*BIDU_IS!AS$89*2-AR246</f>
        <v>1906.3630828555206</v>
      </c>
      <c r="AT246" s="58">
        <f ca="1">AT261*BIDU_IS!AT$89*2-AS246</f>
        <v>972.72919000076854</v>
      </c>
      <c r="AU246" s="58">
        <f ca="1">AU261*BIDU_IS!AU$89*2-AT246</f>
        <v>2528.8530677236577</v>
      </c>
      <c r="AV246" s="58">
        <f ca="1">AV261*BIDU_IS!AV$89*2-AU246</f>
        <v>856.57061362694867</v>
      </c>
      <c r="AW246" s="58">
        <f ca="1">AW261*BIDU_IS!AW$89*2-AV246</f>
        <v>2511.7079178483737</v>
      </c>
      <c r="AX246" s="58">
        <f ca="1">AX261*BIDU_IS!AX$89*2-AW246</f>
        <v>544.20939901023303</v>
      </c>
      <c r="AY246" s="58">
        <f ca="1">AY261*BIDU_IS!AY$89*2-AX246</f>
        <v>3195.7325228889654</v>
      </c>
      <c r="AZ246" s="58">
        <f ca="1">AZ261*BIDU_IS!AZ$89*2-AY246</f>
        <v>520.87589722948906</v>
      </c>
    </row>
    <row r="247" spans="2:52">
      <c r="B247" s="3" t="str">
        <f>B44</f>
        <v>Deferred income</v>
      </c>
      <c r="E247" s="59"/>
      <c r="F247" s="58">
        <f t="shared" ref="F247:N247" ca="1" si="408">F44</f>
        <v>190</v>
      </c>
      <c r="G247" s="58">
        <f t="shared" ca="1" si="408"/>
        <v>376.49099999999999</v>
      </c>
      <c r="H247" s="58">
        <f t="shared" ca="1" si="408"/>
        <v>39.625999999999998</v>
      </c>
      <c r="I247" s="58">
        <f t="shared" ca="1" si="408"/>
        <v>17.413</v>
      </c>
      <c r="J247" s="58">
        <f t="shared" ca="1" si="408"/>
        <v>27.827999999999999</v>
      </c>
      <c r="K247" s="58">
        <f t="shared" ca="1" si="408"/>
        <v>73</v>
      </c>
      <c r="L247" s="58">
        <f t="shared" ca="1" si="408"/>
        <v>73</v>
      </c>
      <c r="M247" s="58">
        <f t="shared" ca="1" si="408"/>
        <v>73</v>
      </c>
      <c r="N247" s="58">
        <f t="shared" ca="1" si="408"/>
        <v>73</v>
      </c>
      <c r="O247" s="2"/>
      <c r="P247" s="2"/>
      <c r="Q247" s="2"/>
      <c r="R247" s="2"/>
      <c r="S247" s="2"/>
      <c r="T247" s="58">
        <f t="shared" ref="T247:AZ247" si="409">T44</f>
        <v>190</v>
      </c>
      <c r="U247" s="58">
        <f t="shared" si="409"/>
        <v>340</v>
      </c>
      <c r="V247" s="58">
        <f t="shared" si="409"/>
        <v>340.8</v>
      </c>
      <c r="W247" s="58">
        <f t="shared" si="409"/>
        <v>370.89100000000002</v>
      </c>
      <c r="X247" s="58">
        <f t="shared" si="409"/>
        <v>376.49099999999999</v>
      </c>
      <c r="Y247" s="58">
        <f t="shared" si="409"/>
        <v>454.291</v>
      </c>
      <c r="Z247" s="58">
        <f t="shared" si="409"/>
        <v>454.95600000000002</v>
      </c>
      <c r="AA247" s="58">
        <f t="shared" si="409"/>
        <v>455.536</v>
      </c>
      <c r="AB247" s="58">
        <f t="shared" si="409"/>
        <v>39.625999999999998</v>
      </c>
      <c r="AC247" s="58">
        <f t="shared" si="409"/>
        <v>37.994</v>
      </c>
      <c r="AD247" s="58">
        <f t="shared" si="409"/>
        <v>42.412999999999997</v>
      </c>
      <c r="AE247" s="58">
        <f t="shared" si="409"/>
        <v>45.878999999999998</v>
      </c>
      <c r="AF247" s="58">
        <f t="shared" si="409"/>
        <v>17.413</v>
      </c>
      <c r="AG247" s="58">
        <f t="shared" si="409"/>
        <v>17.969000000000001</v>
      </c>
      <c r="AH247" s="58">
        <f t="shared" si="409"/>
        <v>19.597000000000001</v>
      </c>
      <c r="AI247" s="58">
        <f t="shared" si="409"/>
        <v>20.324000000000002</v>
      </c>
      <c r="AJ247" s="58">
        <f t="shared" si="409"/>
        <v>27.827999999999999</v>
      </c>
      <c r="AK247" s="58">
        <f t="shared" si="409"/>
        <v>27.978000000000002</v>
      </c>
      <c r="AL247" s="58">
        <f t="shared" si="409"/>
        <v>69</v>
      </c>
      <c r="AM247" s="58">
        <f t="shared" si="409"/>
        <v>73</v>
      </c>
      <c r="AN247" s="58">
        <f t="shared" si="409"/>
        <v>73</v>
      </c>
      <c r="AO247" s="58">
        <f t="shared" si="409"/>
        <v>73</v>
      </c>
      <c r="AP247" s="58">
        <f t="shared" si="409"/>
        <v>73</v>
      </c>
      <c r="AQ247" s="58">
        <f t="shared" si="409"/>
        <v>73</v>
      </c>
      <c r="AR247" s="58">
        <f t="shared" si="409"/>
        <v>73</v>
      </c>
      <c r="AS247" s="58">
        <f t="shared" si="409"/>
        <v>73</v>
      </c>
      <c r="AT247" s="58">
        <f t="shared" si="409"/>
        <v>73</v>
      </c>
      <c r="AU247" s="58">
        <f t="shared" si="409"/>
        <v>73</v>
      </c>
      <c r="AV247" s="58">
        <f t="shared" si="409"/>
        <v>73</v>
      </c>
      <c r="AW247" s="58">
        <f t="shared" si="409"/>
        <v>73</v>
      </c>
      <c r="AX247" s="58">
        <f t="shared" si="409"/>
        <v>73</v>
      </c>
      <c r="AY247" s="58">
        <f t="shared" si="409"/>
        <v>73</v>
      </c>
      <c r="AZ247" s="58">
        <f t="shared" si="409"/>
        <v>73</v>
      </c>
    </row>
    <row r="248" spans="2:52">
      <c r="B248" s="3" t="str">
        <f>B45</f>
        <v>Due to related parties, non-current</v>
      </c>
      <c r="E248" s="59"/>
      <c r="F248" s="58">
        <f t="shared" ref="F248:N248" ca="1" si="410">F45</f>
        <v>0</v>
      </c>
      <c r="G248" s="58">
        <f t="shared" ca="1" si="410"/>
        <v>373.22699999999998</v>
      </c>
      <c r="H248" s="58">
        <f t="shared" ca="1" si="410"/>
        <v>8.0000000000000002E-3</v>
      </c>
      <c r="I248" s="58">
        <f t="shared" ca="1" si="410"/>
        <v>0</v>
      </c>
      <c r="J248" s="58">
        <f t="shared" ca="1" si="410"/>
        <v>0</v>
      </c>
      <c r="K248" s="58">
        <f t="shared" ca="1" si="410"/>
        <v>0</v>
      </c>
      <c r="L248" s="58">
        <f t="shared" ca="1" si="410"/>
        <v>0</v>
      </c>
      <c r="M248" s="58">
        <f t="shared" ca="1" si="410"/>
        <v>0</v>
      </c>
      <c r="N248" s="58">
        <f t="shared" ca="1" si="410"/>
        <v>0</v>
      </c>
      <c r="O248" s="2"/>
      <c r="P248" s="2"/>
      <c r="Q248" s="2"/>
      <c r="R248" s="2"/>
      <c r="S248" s="2"/>
      <c r="T248" s="58">
        <f t="shared" ref="T248:AZ248" si="411">T45</f>
        <v>0</v>
      </c>
      <c r="U248" s="58">
        <f t="shared" si="411"/>
        <v>0</v>
      </c>
      <c r="V248" s="58">
        <f t="shared" si="411"/>
        <v>0</v>
      </c>
      <c r="W248" s="58">
        <f t="shared" si="411"/>
        <v>0</v>
      </c>
      <c r="X248" s="58">
        <f t="shared" si="411"/>
        <v>373.22699999999998</v>
      </c>
      <c r="Y248" s="58">
        <f t="shared" si="411"/>
        <v>0</v>
      </c>
      <c r="Z248" s="58">
        <f t="shared" si="411"/>
        <v>0</v>
      </c>
      <c r="AA248" s="58">
        <f t="shared" si="411"/>
        <v>0</v>
      </c>
      <c r="AB248" s="58">
        <f t="shared" si="411"/>
        <v>8.0000000000000002E-3</v>
      </c>
      <c r="AC248" s="58">
        <f t="shared" si="411"/>
        <v>0</v>
      </c>
      <c r="AD248" s="58">
        <f t="shared" si="411"/>
        <v>0</v>
      </c>
      <c r="AE248" s="58">
        <f t="shared" si="411"/>
        <v>0</v>
      </c>
      <c r="AF248" s="58">
        <f t="shared" si="411"/>
        <v>0</v>
      </c>
      <c r="AG248" s="58">
        <f t="shared" si="411"/>
        <v>0</v>
      </c>
      <c r="AH248" s="58">
        <f t="shared" si="411"/>
        <v>0</v>
      </c>
      <c r="AI248" s="58">
        <f t="shared" si="411"/>
        <v>0</v>
      </c>
      <c r="AJ248" s="58">
        <f t="shared" si="411"/>
        <v>0</v>
      </c>
      <c r="AK248" s="58">
        <f t="shared" si="411"/>
        <v>0</v>
      </c>
      <c r="AL248" s="58">
        <f t="shared" si="411"/>
        <v>0</v>
      </c>
      <c r="AM248" s="58">
        <f t="shared" si="411"/>
        <v>0</v>
      </c>
      <c r="AN248" s="58">
        <f t="shared" si="411"/>
        <v>0</v>
      </c>
      <c r="AO248" s="58">
        <f t="shared" si="411"/>
        <v>0</v>
      </c>
      <c r="AP248" s="58">
        <f t="shared" si="411"/>
        <v>0</v>
      </c>
      <c r="AQ248" s="58">
        <f t="shared" si="411"/>
        <v>0</v>
      </c>
      <c r="AR248" s="58">
        <f t="shared" si="411"/>
        <v>0</v>
      </c>
      <c r="AS248" s="58">
        <f t="shared" si="411"/>
        <v>0</v>
      </c>
      <c r="AT248" s="58">
        <f t="shared" si="411"/>
        <v>0</v>
      </c>
      <c r="AU248" s="58">
        <f t="shared" si="411"/>
        <v>0</v>
      </c>
      <c r="AV248" s="58">
        <f t="shared" si="411"/>
        <v>0</v>
      </c>
      <c r="AW248" s="58">
        <f t="shared" si="411"/>
        <v>0</v>
      </c>
      <c r="AX248" s="58">
        <f t="shared" si="411"/>
        <v>0</v>
      </c>
      <c r="AY248" s="58">
        <f t="shared" si="411"/>
        <v>0</v>
      </c>
      <c r="AZ248" s="58">
        <f t="shared" si="411"/>
        <v>0</v>
      </c>
    </row>
    <row r="249" spans="2:52">
      <c r="B249" s="3" t="str">
        <f>B46</f>
        <v>Deferred tax liability, non-current</v>
      </c>
      <c r="E249" s="59"/>
      <c r="F249" s="58">
        <f t="shared" ref="F249:N249" ca="1" si="412">F46</f>
        <v>289.48200000000003</v>
      </c>
      <c r="G249" s="58">
        <f t="shared" ca="1" si="412"/>
        <v>1200.27</v>
      </c>
      <c r="H249" s="58">
        <f t="shared" ca="1" si="412"/>
        <v>1143.8209999999999</v>
      </c>
      <c r="I249" s="58">
        <f t="shared" ca="1" si="412"/>
        <v>3441.29</v>
      </c>
      <c r="J249" s="58">
        <f t="shared" ca="1" si="412"/>
        <v>3589.2350000000001</v>
      </c>
      <c r="K249" s="58">
        <f t="shared" ca="1" si="412"/>
        <v>3375</v>
      </c>
      <c r="L249" s="58">
        <f t="shared" ca="1" si="412"/>
        <v>3375</v>
      </c>
      <c r="M249" s="58">
        <f t="shared" ca="1" si="412"/>
        <v>3375</v>
      </c>
      <c r="N249" s="58">
        <f t="shared" ca="1" si="412"/>
        <v>3375</v>
      </c>
      <c r="O249" s="2"/>
      <c r="P249" s="2"/>
      <c r="Q249" s="2"/>
      <c r="R249" s="2"/>
      <c r="S249" s="2"/>
      <c r="T249" s="58">
        <f t="shared" ref="T249:AZ249" si="413">T46</f>
        <v>289.48200000000003</v>
      </c>
      <c r="U249" s="58">
        <f t="shared" si="413"/>
        <v>308.78500000000003</v>
      </c>
      <c r="V249" s="58">
        <f t="shared" si="413"/>
        <v>885.52499999999998</v>
      </c>
      <c r="W249" s="58">
        <f t="shared" si="413"/>
        <v>885.18299999999999</v>
      </c>
      <c r="X249" s="58">
        <f t="shared" si="413"/>
        <v>1200.27</v>
      </c>
      <c r="Y249" s="58">
        <f t="shared" si="413"/>
        <v>1193.9079999999999</v>
      </c>
      <c r="Z249" s="58">
        <f t="shared" si="413"/>
        <v>1164.346</v>
      </c>
      <c r="AA249" s="58">
        <f t="shared" si="413"/>
        <v>1134.713</v>
      </c>
      <c r="AB249" s="58">
        <f t="shared" si="413"/>
        <v>1143.8209999999999</v>
      </c>
      <c r="AC249" s="58">
        <f t="shared" si="413"/>
        <v>1111.038</v>
      </c>
      <c r="AD249" s="58">
        <f t="shared" si="413"/>
        <v>1107.326</v>
      </c>
      <c r="AE249" s="58">
        <f t="shared" si="413"/>
        <v>1078.163</v>
      </c>
      <c r="AF249" s="58">
        <f t="shared" si="413"/>
        <v>3441.29</v>
      </c>
      <c r="AG249" s="58">
        <f t="shared" si="413"/>
        <v>3409.5479999999998</v>
      </c>
      <c r="AH249" s="58">
        <f t="shared" si="413"/>
        <v>3474.4639999999999</v>
      </c>
      <c r="AI249" s="58">
        <f t="shared" si="413"/>
        <v>3452.308</v>
      </c>
      <c r="AJ249" s="58">
        <f t="shared" si="413"/>
        <v>3589.2350000000001</v>
      </c>
      <c r="AK249" s="58">
        <f t="shared" si="413"/>
        <v>3601.15</v>
      </c>
      <c r="AL249" s="58">
        <f t="shared" si="413"/>
        <v>3580</v>
      </c>
      <c r="AM249" s="58">
        <f t="shared" si="413"/>
        <v>3472</v>
      </c>
      <c r="AN249" s="58">
        <f t="shared" si="413"/>
        <v>3375</v>
      </c>
      <c r="AO249" s="58">
        <f t="shared" si="413"/>
        <v>3375</v>
      </c>
      <c r="AP249" s="58">
        <f t="shared" si="413"/>
        <v>3375</v>
      </c>
      <c r="AQ249" s="58">
        <f t="shared" si="413"/>
        <v>3375</v>
      </c>
      <c r="AR249" s="58">
        <f t="shared" si="413"/>
        <v>3375</v>
      </c>
      <c r="AS249" s="58">
        <f t="shared" si="413"/>
        <v>3375</v>
      </c>
      <c r="AT249" s="58">
        <f t="shared" si="413"/>
        <v>3375</v>
      </c>
      <c r="AU249" s="58">
        <f t="shared" si="413"/>
        <v>3375</v>
      </c>
      <c r="AV249" s="58">
        <f t="shared" si="413"/>
        <v>3375</v>
      </c>
      <c r="AW249" s="58">
        <f t="shared" si="413"/>
        <v>3375</v>
      </c>
      <c r="AX249" s="58">
        <f t="shared" si="413"/>
        <v>3375</v>
      </c>
      <c r="AY249" s="58">
        <f t="shared" si="413"/>
        <v>3375</v>
      </c>
      <c r="AZ249" s="58">
        <f t="shared" si="413"/>
        <v>3375</v>
      </c>
    </row>
    <row r="250" spans="2:52">
      <c r="B250" s="3" t="str">
        <f>B47</f>
        <v>Other Non Current Liabilities</v>
      </c>
      <c r="E250" s="59"/>
      <c r="F250" s="58">
        <f t="shared" ref="F250:N250" ca="1" si="414">F47</f>
        <v>0</v>
      </c>
      <c r="G250" s="58">
        <f t="shared" ca="1" si="414"/>
        <v>67.376000000000005</v>
      </c>
      <c r="H250" s="58">
        <f t="shared" ca="1" si="414"/>
        <v>144.542</v>
      </c>
      <c r="I250" s="58">
        <f t="shared" ca="1" si="414"/>
        <v>125.86</v>
      </c>
      <c r="J250" s="58">
        <f t="shared" ca="1" si="414"/>
        <v>64.953999999999994</v>
      </c>
      <c r="K250" s="58">
        <f t="shared" ca="1" si="414"/>
        <v>39</v>
      </c>
      <c r="L250" s="58">
        <f t="shared" ca="1" si="414"/>
        <v>39</v>
      </c>
      <c r="M250" s="58">
        <f t="shared" ca="1" si="414"/>
        <v>39</v>
      </c>
      <c r="N250" s="58">
        <f t="shared" ca="1" si="414"/>
        <v>39</v>
      </c>
      <c r="O250" s="2"/>
      <c r="P250" s="2"/>
      <c r="Q250" s="2"/>
      <c r="R250" s="2"/>
      <c r="S250" s="2"/>
      <c r="T250" s="58">
        <f t="shared" ref="T250:AZ250" si="415">T47</f>
        <v>0</v>
      </c>
      <c r="U250" s="58">
        <f t="shared" si="415"/>
        <v>0</v>
      </c>
      <c r="V250" s="58">
        <f t="shared" si="415"/>
        <v>0</v>
      </c>
      <c r="W250" s="58">
        <f t="shared" si="415"/>
        <v>0</v>
      </c>
      <c r="X250" s="58">
        <f t="shared" si="415"/>
        <v>67.376000000000005</v>
      </c>
      <c r="Y250" s="58">
        <f t="shared" si="415"/>
        <v>64.930999999999997</v>
      </c>
      <c r="Z250" s="58">
        <f t="shared" si="415"/>
        <v>77.795000000000002</v>
      </c>
      <c r="AA250" s="58">
        <f t="shared" si="415"/>
        <v>115.253</v>
      </c>
      <c r="AB250" s="58">
        <f t="shared" si="415"/>
        <v>144.542</v>
      </c>
      <c r="AC250" s="58">
        <f t="shared" si="415"/>
        <v>167.69</v>
      </c>
      <c r="AD250" s="58">
        <f t="shared" si="415"/>
        <v>170.33699999999999</v>
      </c>
      <c r="AE250" s="58">
        <f t="shared" si="415"/>
        <v>205.071</v>
      </c>
      <c r="AF250" s="58">
        <f t="shared" si="415"/>
        <v>125.86</v>
      </c>
      <c r="AG250" s="58">
        <f t="shared" si="415"/>
        <v>108.76600000000001</v>
      </c>
      <c r="AH250" s="58">
        <f t="shared" si="415"/>
        <v>124.029</v>
      </c>
      <c r="AI250" s="58">
        <f t="shared" si="415"/>
        <v>112.254</v>
      </c>
      <c r="AJ250" s="58">
        <f t="shared" si="415"/>
        <v>64.953999999999994</v>
      </c>
      <c r="AK250" s="58">
        <f t="shared" si="415"/>
        <v>67.504999999999995</v>
      </c>
      <c r="AL250" s="58">
        <f t="shared" si="415"/>
        <v>67</v>
      </c>
      <c r="AM250" s="58">
        <f t="shared" si="415"/>
        <v>75</v>
      </c>
      <c r="AN250" s="58">
        <f t="shared" si="415"/>
        <v>39</v>
      </c>
      <c r="AO250" s="58">
        <f t="shared" si="415"/>
        <v>39</v>
      </c>
      <c r="AP250" s="58">
        <f t="shared" si="415"/>
        <v>39</v>
      </c>
      <c r="AQ250" s="58">
        <f t="shared" si="415"/>
        <v>39</v>
      </c>
      <c r="AR250" s="58">
        <f t="shared" si="415"/>
        <v>39</v>
      </c>
      <c r="AS250" s="58">
        <f t="shared" si="415"/>
        <v>39</v>
      </c>
      <c r="AT250" s="58">
        <f t="shared" si="415"/>
        <v>39</v>
      </c>
      <c r="AU250" s="58">
        <f t="shared" si="415"/>
        <v>39</v>
      </c>
      <c r="AV250" s="58">
        <f t="shared" si="415"/>
        <v>39</v>
      </c>
      <c r="AW250" s="58">
        <f t="shared" si="415"/>
        <v>39</v>
      </c>
      <c r="AX250" s="58">
        <f t="shared" si="415"/>
        <v>39</v>
      </c>
      <c r="AY250" s="58">
        <f t="shared" si="415"/>
        <v>39</v>
      </c>
      <c r="AZ250" s="58">
        <f t="shared" si="415"/>
        <v>39</v>
      </c>
    </row>
    <row r="251" spans="2:52">
      <c r="B251" s="9" t="s">
        <v>87</v>
      </c>
      <c r="E251" s="82">
        <f t="shared" ref="E251:M251" si="416">SUM(E232:E241)-SUM(E243:E250)</f>
        <v>-2581.3570000000009</v>
      </c>
      <c r="F251" s="82">
        <f t="shared" ca="1" si="416"/>
        <v>-3880.13</v>
      </c>
      <c r="G251" s="82">
        <f t="shared" ca="1" si="416"/>
        <v>-6861.7750000000015</v>
      </c>
      <c r="H251" s="82">
        <f t="shared" ca="1" si="416"/>
        <v>-10371.112000000003</v>
      </c>
      <c r="I251" s="82">
        <f t="shared" ca="1" si="416"/>
        <v>-16054.230000000001</v>
      </c>
      <c r="J251" s="82">
        <f t="shared" ca="1" si="416"/>
        <v>-16602.290999999997</v>
      </c>
      <c r="K251" s="82">
        <f t="shared" ca="1" si="416"/>
        <v>-16810</v>
      </c>
      <c r="L251" s="82">
        <f t="shared" ca="1" si="416"/>
        <v>-1267.26336076179</v>
      </c>
      <c r="M251" s="82">
        <f t="shared" ca="1" si="416"/>
        <v>19020.372433208249</v>
      </c>
      <c r="N251" s="82">
        <f t="shared" ref="N251" ca="1" si="417">SUM(N232:N241)-SUM(N243:N250)</f>
        <v>39322.010142285151</v>
      </c>
      <c r="O251" s="107"/>
      <c r="P251" s="107"/>
      <c r="Q251" s="107"/>
      <c r="R251" s="107"/>
      <c r="S251" s="107"/>
      <c r="T251" s="82">
        <f t="shared" ref="T251:AV251" si="418">SUM(T232:T241)-SUM(T243:T250)</f>
        <v>-3880.13</v>
      </c>
      <c r="U251" s="82">
        <f t="shared" si="418"/>
        <v>-3539.7309999999998</v>
      </c>
      <c r="V251" s="82">
        <f t="shared" si="418"/>
        <v>-4208.3310000000001</v>
      </c>
      <c r="W251" s="82">
        <f t="shared" si="418"/>
        <v>-4820.2519999999986</v>
      </c>
      <c r="X251" s="82">
        <f t="shared" si="418"/>
        <v>-6861.7750000000015</v>
      </c>
      <c r="Y251" s="82">
        <f t="shared" si="418"/>
        <v>-7765.6910000000007</v>
      </c>
      <c r="Z251" s="82">
        <f t="shared" si="418"/>
        <v>-8306.4809999999998</v>
      </c>
      <c r="AA251" s="82">
        <f t="shared" si="418"/>
        <v>-8989.1970000000038</v>
      </c>
      <c r="AB251" s="82">
        <f t="shared" si="418"/>
        <v>-10371.112000000003</v>
      </c>
      <c r="AC251" s="82">
        <f t="shared" si="418"/>
        <v>-10283.694000000003</v>
      </c>
      <c r="AD251" s="82">
        <f t="shared" si="418"/>
        <v>-12608.025</v>
      </c>
      <c r="AE251" s="82">
        <f t="shared" si="418"/>
        <v>-15017.441000000003</v>
      </c>
      <c r="AF251" s="82">
        <f t="shared" si="418"/>
        <v>-16054.230000000001</v>
      </c>
      <c r="AG251" s="82">
        <f t="shared" si="418"/>
        <v>-17865.522999999994</v>
      </c>
      <c r="AH251" s="82">
        <f t="shared" si="418"/>
        <v>-17489.380000000005</v>
      </c>
      <c r="AI251" s="82">
        <f t="shared" si="418"/>
        <v>-17312.197</v>
      </c>
      <c r="AJ251" s="82">
        <f t="shared" si="418"/>
        <v>-16602.290999999997</v>
      </c>
      <c r="AK251" s="82">
        <f t="shared" si="418"/>
        <v>-16357.917999999998</v>
      </c>
      <c r="AL251" s="82">
        <f t="shared" si="418"/>
        <v>-13193</v>
      </c>
      <c r="AM251" s="82">
        <f t="shared" si="418"/>
        <v>-16414</v>
      </c>
      <c r="AN251" s="82">
        <f t="shared" ref="AN251" si="419">SUM(AN232:AN241)-SUM(AN243:AN250)</f>
        <v>-16810</v>
      </c>
      <c r="AO251" s="82">
        <f t="shared" ca="1" si="418"/>
        <v>-15316.308458505591</v>
      </c>
      <c r="AP251" s="82">
        <f t="shared" ca="1" si="418"/>
        <v>-6109.6571439839172</v>
      </c>
      <c r="AQ251" s="82">
        <f t="shared" ca="1" si="418"/>
        <v>-33308.303607806665</v>
      </c>
      <c r="AR251" s="82">
        <f t="shared" ca="1" si="418"/>
        <v>-1267.26336076179</v>
      </c>
      <c r="AS251" s="82">
        <f t="shared" ca="1" si="418"/>
        <v>-39526.408388130963</v>
      </c>
      <c r="AT251" s="82">
        <f t="shared" ca="1" si="418"/>
        <v>10936.685551213624</v>
      </c>
      <c r="AU251" s="82">
        <f t="shared" ca="1" si="418"/>
        <v>-57804.606176084228</v>
      </c>
      <c r="AV251" s="82">
        <f t="shared" ca="1" si="418"/>
        <v>19020.372433208249</v>
      </c>
      <c r="AW251" s="82">
        <f t="shared" ref="AW251:AZ251" ca="1" si="420">SUM(AW232:AW241)-SUM(AW243:AW250)</f>
        <v>-67220.565420325496</v>
      </c>
      <c r="AX251" s="82">
        <f t="shared" ca="1" si="420"/>
        <v>33486.601674473699</v>
      </c>
      <c r="AY251" s="82">
        <f t="shared" ca="1" si="420"/>
        <v>-83677.509284687199</v>
      </c>
      <c r="AZ251" s="82">
        <f t="shared" ca="1" si="420"/>
        <v>39322.010142285151</v>
      </c>
    </row>
    <row r="252" spans="2:52">
      <c r="B252" s="52" t="s">
        <v>149</v>
      </c>
      <c r="E252" s="58"/>
      <c r="F252" s="58">
        <f t="shared" ref="F252:N252" ca="1" si="421">F251-E251</f>
        <v>-1298.7729999999992</v>
      </c>
      <c r="G252" s="58">
        <f t="shared" ca="1" si="421"/>
        <v>-2981.6450000000013</v>
      </c>
      <c r="H252" s="58">
        <f t="shared" ca="1" si="421"/>
        <v>-3509.3370000000014</v>
      </c>
      <c r="I252" s="58">
        <f t="shared" ca="1" si="421"/>
        <v>-5683.1179999999986</v>
      </c>
      <c r="J252" s="58">
        <f t="shared" ca="1" si="421"/>
        <v>-548.06099999999606</v>
      </c>
      <c r="K252" s="58">
        <f t="shared" ca="1" si="421"/>
        <v>-207.70900000000256</v>
      </c>
      <c r="L252" s="58">
        <f t="shared" ca="1" si="421"/>
        <v>15542.73663923821</v>
      </c>
      <c r="M252" s="58">
        <f t="shared" ca="1" si="421"/>
        <v>20287.635793970039</v>
      </c>
      <c r="N252" s="58">
        <f t="shared" ca="1" si="421"/>
        <v>20301.637709076902</v>
      </c>
      <c r="O252" s="2"/>
      <c r="P252" s="2"/>
      <c r="Q252" s="12"/>
      <c r="R252" s="12"/>
      <c r="S252" s="12"/>
      <c r="T252" s="58">
        <f t="shared" ref="T252:AV252" si="422">T251-S251</f>
        <v>-3880.13</v>
      </c>
      <c r="U252" s="58">
        <f t="shared" si="422"/>
        <v>340.39900000000034</v>
      </c>
      <c r="V252" s="58">
        <f t="shared" si="422"/>
        <v>-668.60000000000036</v>
      </c>
      <c r="W252" s="58">
        <f t="shared" si="422"/>
        <v>-611.92099999999846</v>
      </c>
      <c r="X252" s="58">
        <f t="shared" si="422"/>
        <v>-2041.5230000000029</v>
      </c>
      <c r="Y252" s="58">
        <f t="shared" si="422"/>
        <v>-903.91599999999926</v>
      </c>
      <c r="Z252" s="58">
        <f t="shared" si="422"/>
        <v>-540.78999999999905</v>
      </c>
      <c r="AA252" s="58">
        <f t="shared" si="422"/>
        <v>-682.71600000000399</v>
      </c>
      <c r="AB252" s="58">
        <f t="shared" si="422"/>
        <v>-1381.9149999999991</v>
      </c>
      <c r="AC252" s="58">
        <f t="shared" si="422"/>
        <v>87.417999999999665</v>
      </c>
      <c r="AD252" s="58">
        <f t="shared" si="422"/>
        <v>-2324.3309999999965</v>
      </c>
      <c r="AE252" s="58">
        <f t="shared" si="422"/>
        <v>-2409.4160000000029</v>
      </c>
      <c r="AF252" s="58">
        <f t="shared" si="422"/>
        <v>-1036.7889999999989</v>
      </c>
      <c r="AG252" s="58">
        <f t="shared" si="422"/>
        <v>-1811.2929999999924</v>
      </c>
      <c r="AH252" s="58">
        <f t="shared" si="422"/>
        <v>376.14299999998912</v>
      </c>
      <c r="AI252" s="58">
        <f t="shared" si="422"/>
        <v>177.18300000000454</v>
      </c>
      <c r="AJ252" s="58">
        <f t="shared" si="422"/>
        <v>709.90600000000268</v>
      </c>
      <c r="AK252" s="58">
        <f t="shared" si="422"/>
        <v>244.37299999999959</v>
      </c>
      <c r="AL252" s="58">
        <f t="shared" si="422"/>
        <v>3164.9179999999978</v>
      </c>
      <c r="AM252" s="58">
        <f t="shared" si="422"/>
        <v>-3221</v>
      </c>
      <c r="AN252" s="58">
        <f t="shared" si="422"/>
        <v>-396</v>
      </c>
      <c r="AO252" s="58">
        <f t="shared" ca="1" si="422"/>
        <v>1493.6915414944087</v>
      </c>
      <c r="AP252" s="58">
        <f t="shared" ca="1" si="422"/>
        <v>9206.6513145216741</v>
      </c>
      <c r="AQ252" s="58">
        <f t="shared" ca="1" si="422"/>
        <v>-27198.646463822748</v>
      </c>
      <c r="AR252" s="58">
        <f t="shared" ca="1" si="422"/>
        <v>32041.040247044875</v>
      </c>
      <c r="AS252" s="58">
        <f t="shared" ca="1" si="422"/>
        <v>-38259.145027369173</v>
      </c>
      <c r="AT252" s="58">
        <f t="shared" ca="1" si="422"/>
        <v>50463.093939344588</v>
      </c>
      <c r="AU252" s="58">
        <f t="shared" ca="1" si="422"/>
        <v>-68741.291727297852</v>
      </c>
      <c r="AV252" s="58">
        <f t="shared" ca="1" si="422"/>
        <v>76824.978609292477</v>
      </c>
      <c r="AW252" s="58">
        <f t="shared" ref="AW252" ca="1" si="423">AW251-AV251</f>
        <v>-86240.937853533746</v>
      </c>
      <c r="AX252" s="58">
        <f t="shared" ref="AX252" ca="1" si="424">AX251-AW251</f>
        <v>100707.1670947992</v>
      </c>
      <c r="AY252" s="58">
        <f t="shared" ref="AY252" ca="1" si="425">AY251-AX251</f>
        <v>-117164.1109591609</v>
      </c>
      <c r="AZ252" s="58">
        <f t="shared" ref="AZ252" ca="1" si="426">AZ251-AY251</f>
        <v>122999.51942697234</v>
      </c>
    </row>
    <row r="253" spans="2:52">
      <c r="B253" s="11"/>
      <c r="F253" s="10"/>
      <c r="G253" s="10"/>
      <c r="H253" s="10"/>
      <c r="I253" s="10"/>
      <c r="J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70"/>
      <c r="AO253" s="70"/>
      <c r="AP253" s="70"/>
    </row>
    <row r="254" spans="2:52">
      <c r="B254" s="3" t="s">
        <v>148</v>
      </c>
      <c r="F254" s="4">
        <f ca="1">AVERAGE(E232:F232)/BIDU_IS!F82</f>
        <v>4.1536780240460577E-2</v>
      </c>
      <c r="G254" s="4">
        <f ca="1">AVERAGE(F232:G232)/BIDU_IS!G82</f>
        <v>5.438168773504469E-2</v>
      </c>
      <c r="H254" s="4">
        <f ca="1">AVERAGE(G232:H232)/BIDU_IS!H82</f>
        <v>5.9989958068852114E-2</v>
      </c>
      <c r="I254" s="4">
        <f ca="1">AVERAGE(H232:I232)/BIDU_IS!I82</f>
        <v>5.7180139131356458E-2</v>
      </c>
      <c r="J254" s="4">
        <f ca="1">AVERAGE(I232:J232)/BIDU_IS!J82</f>
        <v>5.6955226414231029E-2</v>
      </c>
      <c r="K254" s="4">
        <f ca="1">AVERAGE(J232:K232)/BIDU_IS!K82</f>
        <v>5.1175461786769363E-2</v>
      </c>
      <c r="L254" s="4">
        <f ca="1">AVERAGE(K232:L232)/BIDU_IS!L82</f>
        <v>4.2607675605086819E-2</v>
      </c>
      <c r="M254" s="4">
        <f ca="1">AVERAGE(L232:M232)/BIDU_IS!M82</f>
        <v>2.8197719686175033E-2</v>
      </c>
      <c r="N254" s="4">
        <f ca="1">AVERAGE(M232:N232)/BIDU_IS!N82</f>
        <v>1.5984016141821121E-2</v>
      </c>
      <c r="Q254" s="10"/>
      <c r="R254" s="10"/>
      <c r="S254" s="10"/>
      <c r="T254" s="40"/>
      <c r="U254" s="4">
        <f>AVERAGE(T232:U232)/BIDU_IS!U82</f>
        <v>0.22464077467547328</v>
      </c>
      <c r="V254" s="4">
        <f>AVERAGE(U232:V232)/BIDU_IS!V82</f>
        <v>0.21259011098671241</v>
      </c>
      <c r="W254" s="4">
        <f>AVERAGE(V232:W232)/BIDU_IS!W82</f>
        <v>0.22316805257242239</v>
      </c>
      <c r="X254" s="4">
        <f>AVERAGE(W232:X232)/BIDU_IS!X82</f>
        <v>0.23117275144695751</v>
      </c>
      <c r="Y254" s="4">
        <f>AVERAGE(X232:Y232)/BIDU_IS!Y82</f>
        <v>0.24101205363799411</v>
      </c>
      <c r="Z254" s="4">
        <f>AVERAGE(Y232:Z232)/BIDU_IS!Z82</f>
        <v>0.21957207297779985</v>
      </c>
      <c r="AA254" s="4">
        <f>AVERAGE(Z232:AA232)/BIDU_IS!AA82</f>
        <v>0.23915708981730144</v>
      </c>
      <c r="AB254" s="4">
        <f>AVERAGE(AA232:AB232)/BIDU_IS!AB82</f>
        <v>0.2570909342474062</v>
      </c>
      <c r="AC254" s="4">
        <f>AVERAGE(AB232:AC232)/BIDU_IS!AC82</f>
        <v>0.28287784873036642</v>
      </c>
      <c r="AD254" s="4">
        <f>AVERAGE(AC232:AD232)/BIDU_IS!AD82</f>
        <v>0.22137673075946185</v>
      </c>
      <c r="AE254" s="4">
        <f>AVERAGE(AD232:AE232)/BIDU_IS!AE82</f>
        <v>0.21708899068659931</v>
      </c>
      <c r="AF254" s="4">
        <f>AVERAGE(AE232:AF232)/BIDU_IS!AF82</f>
        <v>0.21670777270448563</v>
      </c>
      <c r="AG254" s="4">
        <f>AVERAGE(AF232:AG232)/BIDU_IS!AG82</f>
        <v>0.23598024774325477</v>
      </c>
      <c r="AH254" s="4">
        <f>AVERAGE(AG232:AH232)/BIDU_IS!AH82</f>
        <v>0.20869387649170637</v>
      </c>
      <c r="AI254" s="4">
        <f>AVERAGE(AH232:AI232)/BIDU_IS!AI82</f>
        <v>0.22865466530292758</v>
      </c>
      <c r="AJ254" s="4">
        <f>AVERAGE(AI232:AJ232)/BIDU_IS!AJ82</f>
        <v>0.22987535679703669</v>
      </c>
      <c r="AK254" s="4">
        <f>AVERAGE(AJ232:AK232)/BIDU_IS!AK82</f>
        <v>0.22509021931189108</v>
      </c>
      <c r="AL254" s="4">
        <f>AVERAGE(AK232:AL232)/BIDU_IS!AL82</f>
        <v>0.18184289067739773</v>
      </c>
      <c r="AM254" s="4">
        <f>AVERAGE(AL232:AM232)/BIDU_IS!AM82</f>
        <v>0.18785388905445102</v>
      </c>
      <c r="AN254" s="4">
        <f>AVERAGE(AM232:AN232)/BIDU_IS!AN82</f>
        <v>0.19738070979792835</v>
      </c>
      <c r="AO254" s="66">
        <f>AN254+0.01</f>
        <v>0.20738070979792836</v>
      </c>
      <c r="AP254" s="66">
        <v>0.16500000000000001</v>
      </c>
      <c r="AQ254" s="66">
        <v>0.18</v>
      </c>
      <c r="AR254" s="66">
        <v>0.185</v>
      </c>
      <c r="AS254" s="66">
        <v>0.2</v>
      </c>
      <c r="AT254" s="66">
        <v>0.155</v>
      </c>
      <c r="AU254" s="66">
        <v>0.16</v>
      </c>
      <c r="AV254" s="66">
        <v>0.16</v>
      </c>
      <c r="AW254" s="66">
        <v>0.17499999999999999</v>
      </c>
      <c r="AX254" s="66">
        <v>0.14000000000000001</v>
      </c>
      <c r="AY254" s="66">
        <v>0.14499999999999999</v>
      </c>
      <c r="AZ254" s="66">
        <v>0.15</v>
      </c>
    </row>
    <row r="255" spans="2:52">
      <c r="B255" s="3" t="s">
        <v>147</v>
      </c>
      <c r="F255" s="4">
        <f ca="1">AVERAGE(E234:F234)/(BIDU_IS!F120-BIDU_IS!F119-BIDU_IS!F274-BIDU_IS!F275)</f>
        <v>8.2557973607338214E-2</v>
      </c>
      <c r="G255" s="4">
        <f ca="1">AVERAGE(F234:G234)/(BIDU_IS!G120-BIDU_IS!G119-BIDU_IS!G274-BIDU_IS!G275)</f>
        <v>0.13597816466374002</v>
      </c>
      <c r="H255" s="4">
        <f ca="1">AVERAGE(G234:H234)/(BIDU_IS!H120-BIDU_IS!H119-BIDU_IS!H274-BIDU_IS!H275)</f>
        <v>0.17016000394153058</v>
      </c>
      <c r="I255" s="4">
        <f ca="1">AVERAGE(H234:I234)/(BIDU_IS!I120-BIDU_IS!I119-BIDU_IS!I274-BIDU_IS!I275)</f>
        <v>0.15126446449031358</v>
      </c>
      <c r="J255" s="4">
        <f ca="1">AVERAGE(I234:J234)/(BIDU_IS!J120-BIDU_IS!J119-BIDU_IS!J274-BIDU_IS!J275)</f>
        <v>0.16459546977559675</v>
      </c>
      <c r="K255" s="4">
        <f ca="1">AVERAGE(J234:K234)/(BIDU_IS!K120-BIDU_IS!K119-BIDU_IS!K274-BIDU_IS!K275)</f>
        <v>0.15395381901223171</v>
      </c>
      <c r="L255" s="4">
        <f ca="1">AVERAGE(K234:L234)/(BIDU_IS!L120-BIDU_IS!L119-BIDU_IS!L274-BIDU_IS!L275)</f>
        <v>0.12969416627525007</v>
      </c>
      <c r="M255" s="4">
        <f ca="1">AVERAGE(L234:M234)/(BIDU_IS!M120-BIDU_IS!M119-BIDU_IS!M274-BIDU_IS!M275)</f>
        <v>0.10372906274523133</v>
      </c>
      <c r="N255" s="4">
        <f ca="1">AVERAGE(M234:N234)/(BIDU_IS!N120-BIDU_IS!N119-BIDU_IS!N274-BIDU_IS!N275)</f>
        <v>6.5547797246781683E-2</v>
      </c>
      <c r="Q255" s="10"/>
      <c r="R255" s="10"/>
      <c r="S255" s="10"/>
      <c r="T255" s="40"/>
      <c r="U255" s="4">
        <f ca="1">AVERAGE(T234:U234)/(BIDU_IS!U120-BIDU_IS!U119-BIDU_IS!U274-BIDU_IS!U275)</f>
        <v>0.25169773630483361</v>
      </c>
      <c r="V255" s="4">
        <f ca="1">AVERAGE(U234:V234)/(BIDU_IS!V120-BIDU_IS!V119-BIDU_IS!V274-BIDU_IS!V275)</f>
        <v>0.3688320962768824</v>
      </c>
      <c r="W255" s="4">
        <f ca="1">AVERAGE(V234:W234)/(BIDU_IS!W120-BIDU_IS!W119-BIDU_IS!W274-BIDU_IS!W275)</f>
        <v>0.54219304223435183</v>
      </c>
      <c r="X255" s="4">
        <f ca="1">AVERAGE(W234:X234)/(BIDU_IS!X120-BIDU_IS!X119-BIDU_IS!X274-BIDU_IS!X275)</f>
        <v>0.5903367702289477</v>
      </c>
      <c r="Y255" s="4">
        <f ca="1">AVERAGE(X234:Y234)/(BIDU_IS!Y120-BIDU_IS!Y119-BIDU_IS!Y274-BIDU_IS!Y275)</f>
        <v>0.61874456842910319</v>
      </c>
      <c r="Z255" s="4">
        <f ca="1">AVERAGE(Y234:Z234)/(BIDU_IS!Z120-BIDU_IS!Z119-BIDU_IS!Z274-BIDU_IS!Z275)</f>
        <v>0.56210329908975454</v>
      </c>
      <c r="AA255" s="4">
        <f ca="1">AVERAGE(Z234:AA234)/(BIDU_IS!AA120-BIDU_IS!AA119-BIDU_IS!AA274-BIDU_IS!AA275)</f>
        <v>0.60351590476690586</v>
      </c>
      <c r="AB255" s="4">
        <f ca="1">AVERAGE(AA234:AB234)/(BIDU_IS!AB120-BIDU_IS!AB119-BIDU_IS!AB274-BIDU_IS!AB275)</f>
        <v>0.61190591562588581</v>
      </c>
      <c r="AC255" s="4">
        <f>AVERAGE(AB234:AC234)/(BIDU_IS!AC120-BIDU_IS!AC119-BIDU_IS!AC274-BIDU_IS!AC275)</f>
        <v>0.74167401380395359</v>
      </c>
      <c r="AD255" s="4">
        <f>AVERAGE(AC234:AD234)/(BIDU_IS!AD120-BIDU_IS!AD119-BIDU_IS!AD274-BIDU_IS!AD275)</f>
        <v>0.63462348500430987</v>
      </c>
      <c r="AE255" s="4">
        <f>AVERAGE(AD234:AE234)/(BIDU_IS!AE120-BIDU_IS!AE119-BIDU_IS!AE274-BIDU_IS!AE275)</f>
        <v>0.62762993934842159</v>
      </c>
      <c r="AF255" s="4">
        <f>AVERAGE(AE234:AF234)/(BIDU_IS!AF120-BIDU_IS!AF119-BIDU_IS!AF274-BIDU_IS!AF275)</f>
        <v>0.7577231093311505</v>
      </c>
      <c r="AG255" s="4">
        <f>AVERAGE(AF234:AG234)/(BIDU_IS!AG120-BIDU_IS!AG119-BIDU_IS!AG274-BIDU_IS!AG275)</f>
        <v>0.77266879811474087</v>
      </c>
      <c r="AH255" s="4">
        <f>AVERAGE(AG234:AH234)/(BIDU_IS!AH120-BIDU_IS!AH119-BIDU_IS!AH274-BIDU_IS!AH275)</f>
        <v>0.76108526409086874</v>
      </c>
      <c r="AI255" s="4">
        <f>AVERAGE(AH234:AI234)/(BIDU_IS!AI120-BIDU_IS!AI119-BIDU_IS!AI274-BIDU_IS!AI275)</f>
        <v>0.92880581056009082</v>
      </c>
      <c r="AJ255" s="4">
        <f>AVERAGE(AI234:AJ234)/(BIDU_IS!AJ120-BIDU_IS!AJ119-BIDU_IS!AJ274-BIDU_IS!AJ275)</f>
        <v>0.81515732773735328</v>
      </c>
      <c r="AK255" s="4">
        <f ca="1">AVERAGE(AJ234:AK234)/(BIDU_IS!AK120-BIDU_IS!AK119-BIDU_IS!AK274-BIDU_IS!AK275)</f>
        <v>0.70150776775003021</v>
      </c>
      <c r="AL255" s="4">
        <f ca="1">AVERAGE(AK234:AL234)/(BIDU_IS!AL120-BIDU_IS!AL119-BIDU_IS!AL274-BIDU_IS!AL275)</f>
        <v>0.79418498062015497</v>
      </c>
      <c r="AM255" s="4">
        <f ca="1">AVERAGE(AL234:AM234)/(BIDU_IS!AM120-BIDU_IS!AM119-BIDU_IS!AM274-BIDU_IS!AM275)</f>
        <v>0.86351774530271397</v>
      </c>
      <c r="AN255" s="4">
        <f ca="1">AVERAGE(AM234:AN234)/(BIDU_IS!AN120-BIDU_IS!AN119-BIDU_IS!AN274-BIDU_IS!AN275)</f>
        <v>0.70090512364635527</v>
      </c>
      <c r="AO255" s="66">
        <v>0.57999999999999996</v>
      </c>
      <c r="AP255" s="66">
        <f ca="1">AL255-0.26</f>
        <v>0.53418498062015496</v>
      </c>
      <c r="AQ255" s="66">
        <f ca="1">AP255</f>
        <v>0.53418498062015496</v>
      </c>
      <c r="AR255" s="66">
        <v>0.55000000000000004</v>
      </c>
      <c r="AS255" s="66">
        <f>AO255</f>
        <v>0.57999999999999996</v>
      </c>
      <c r="AT255" s="66">
        <f t="shared" ref="AT255:AU255" ca="1" si="427">AP255</f>
        <v>0.53418498062015496</v>
      </c>
      <c r="AU255" s="66">
        <f t="shared" ca="1" si="427"/>
        <v>0.53418498062015496</v>
      </c>
      <c r="AV255" s="66">
        <v>0.5</v>
      </c>
      <c r="AW255" s="66">
        <v>0.6</v>
      </c>
      <c r="AX255" s="66">
        <f t="shared" ref="AX255" ca="1" si="428">AT255</f>
        <v>0.53418498062015496</v>
      </c>
      <c r="AY255" s="66">
        <f t="shared" ref="AY255" ca="1" si="429">AU255</f>
        <v>0.53418498062015496</v>
      </c>
      <c r="AZ255" s="66">
        <f t="shared" ref="AZ255" si="430">AV255</f>
        <v>0.5</v>
      </c>
    </row>
    <row r="256" spans="2:52">
      <c r="B256" s="3" t="s">
        <v>146</v>
      </c>
      <c r="F256" s="4">
        <f ca="1">F235/(BIDU_IS!F$81-BIDU_IS!F$354)</f>
        <v>0</v>
      </c>
      <c r="G256" s="4">
        <f ca="1">G235/(BIDU_IS!G$81-BIDU_IS!G$354)</f>
        <v>0</v>
      </c>
      <c r="H256" s="4">
        <f ca="1">H235/(BIDU_IS!H$81-BIDU_IS!H$354)</f>
        <v>0</v>
      </c>
      <c r="I256" s="4">
        <f ca="1">I235/(BIDU_IS!I$81-BIDU_IS!I$354)</f>
        <v>0.53302243272295446</v>
      </c>
      <c r="J256" s="4">
        <f ca="1">J235/(BIDU_IS!J$81-BIDU_IS!J$354)</f>
        <v>4.1179415747195875</v>
      </c>
      <c r="K256" s="4">
        <f ca="1">K235/(BIDU_IS!K$81-BIDU_IS!K$354)</f>
        <v>9.7963065575259822</v>
      </c>
      <c r="L256" s="4">
        <f ca="1">L235/(BIDU_IS!L$81-BIDU_IS!L$354)</f>
        <v>14.048679585613952</v>
      </c>
      <c r="M256" s="4">
        <f ca="1">M235/(BIDU_IS!M$81-BIDU_IS!M$354)</f>
        <v>12.725553658571169</v>
      </c>
      <c r="N256" s="4">
        <f ca="1">N235/(BIDU_IS!N$81-BIDU_IS!N$354)</f>
        <v>12.014026377583333</v>
      </c>
      <c r="Q256" s="10"/>
      <c r="R256" s="10"/>
      <c r="S256" s="10"/>
      <c r="T256" s="40"/>
      <c r="U256" s="4">
        <f>U235/(BIDU_IS!U$81-BIDU_IS!U$354)</f>
        <v>0</v>
      </c>
      <c r="V256" s="4">
        <f>V235/(BIDU_IS!V$81-BIDU_IS!V$354)</f>
        <v>0</v>
      </c>
      <c r="W256" s="4">
        <f>W235/(BIDU_IS!W$81-BIDU_IS!W$354)</f>
        <v>0</v>
      </c>
      <c r="X256" s="4">
        <f>X235/(BIDU_IS!X$81-BIDU_IS!X$354)</f>
        <v>0</v>
      </c>
      <c r="Y256" s="4">
        <f>Y235/(BIDU_IS!Y$81-BIDU_IS!Y$354)</f>
        <v>0</v>
      </c>
      <c r="Z256" s="4">
        <f>Z235/(BIDU_IS!Z$81-BIDU_IS!Z$354)</f>
        <v>0</v>
      </c>
      <c r="AA256" s="4">
        <f>AA235/(BIDU_IS!AA$81-BIDU_IS!AA$354)</f>
        <v>0</v>
      </c>
      <c r="AB256" s="4">
        <f>AB235/(BIDU_IS!AB$81-BIDU_IS!AB$354)</f>
        <v>0</v>
      </c>
      <c r="AC256" s="4">
        <f>AC235/(BIDU_IS!AC$81-BIDU_IS!AC$354)</f>
        <v>0</v>
      </c>
      <c r="AD256" s="4">
        <f>AD235/(BIDU_IS!AD$81-BIDU_IS!AD$354)</f>
        <v>0</v>
      </c>
      <c r="AE256" s="4">
        <f>AE235/(BIDU_IS!AE$81-BIDU_IS!AE$354)</f>
        <v>0</v>
      </c>
      <c r="AF256" s="4">
        <f>AF235/(BIDU_IS!AF$81-BIDU_IS!AF$354)</f>
        <v>0.54179748718444509</v>
      </c>
      <c r="AG256" s="4">
        <f>AG235/(BIDU_IS!AG$81-BIDU_IS!AG$354)</f>
        <v>0</v>
      </c>
      <c r="AH256" s="4">
        <f>AH235/(BIDU_IS!AH$81-BIDU_IS!AH$354)</f>
        <v>0</v>
      </c>
      <c r="AI256" s="4">
        <f>AI235/(BIDU_IS!AI$81-BIDU_IS!AI$354)</f>
        <v>0</v>
      </c>
      <c r="AJ256" s="4">
        <f>AJ235/(BIDU_IS!AJ$81-BIDU_IS!AJ$354)</f>
        <v>7.7677313302758231</v>
      </c>
      <c r="AK256" s="4">
        <f>AK235/(BIDU_IS!AK$81-BIDU_IS!AK$354)</f>
        <v>15.313949617134618</v>
      </c>
      <c r="AL256" s="4">
        <f>AL235/(BIDU_IS!AL$81-BIDU_IS!AL$354)</f>
        <v>16.034644603181803</v>
      </c>
      <c r="AM256" s="4">
        <f>AM235/(BIDU_IS!AM$81-BIDU_IS!AM$354)</f>
        <v>13.216181791539386</v>
      </c>
      <c r="AN256" s="4">
        <f>AN235/(BIDU_IS!AN$81-BIDU_IS!AN$354)</f>
        <v>51.654528780277261</v>
      </c>
      <c r="AO256" s="66">
        <f>AN256</f>
        <v>51.654528780277261</v>
      </c>
      <c r="AP256" s="66">
        <f>AO256+1</f>
        <v>52.654528780277261</v>
      </c>
      <c r="AQ256" s="66">
        <f>AP256-1</f>
        <v>51.654528780277261</v>
      </c>
      <c r="AR256" s="66">
        <f>AQ256+8</f>
        <v>59.654528780277261</v>
      </c>
      <c r="AS256" s="66">
        <f>AR256-8</f>
        <v>51.654528780277261</v>
      </c>
      <c r="AT256" s="66">
        <f>AS256+2</f>
        <v>53.654528780277261</v>
      </c>
      <c r="AU256" s="66">
        <f>AT256-3</f>
        <v>50.654528780277261</v>
      </c>
      <c r="AV256" s="66">
        <f>AU256+3</f>
        <v>53.654528780277261</v>
      </c>
      <c r="AW256" s="66">
        <f>AV256-8</f>
        <v>45.654528780277261</v>
      </c>
      <c r="AX256" s="66">
        <f>AW256+2</f>
        <v>47.654528780277261</v>
      </c>
      <c r="AY256" s="66">
        <f>AX256+1</f>
        <v>48.654528780277261</v>
      </c>
      <c r="AZ256" s="66">
        <f>AY256+2</f>
        <v>50.654528780277261</v>
      </c>
    </row>
    <row r="257" spans="1:59">
      <c r="B257" s="3" t="s">
        <v>145</v>
      </c>
      <c r="F257" s="4">
        <f ca="1">F237/(BIDU_IS!F$81-BIDU_IS!F$354)</f>
        <v>0</v>
      </c>
      <c r="G257" s="4">
        <f ca="1">G237/(BIDU_IS!G$81-BIDU_IS!G$354)</f>
        <v>0</v>
      </c>
      <c r="H257" s="4">
        <f ca="1">H237/(BIDU_IS!H$81-BIDU_IS!H$354)</f>
        <v>0</v>
      </c>
      <c r="I257" s="4">
        <f ca="1">I237/(BIDU_IS!I$81-BIDU_IS!I$354)</f>
        <v>0</v>
      </c>
      <c r="J257" s="4">
        <f ca="1">J237/(BIDU_IS!J$81-BIDU_IS!J$354)</f>
        <v>6.1957169127737881</v>
      </c>
      <c r="K257" s="4">
        <f ca="1">K237/(BIDU_IS!K$81-BIDU_IS!K$354)</f>
        <v>1.4188234119367775</v>
      </c>
      <c r="L257" s="4">
        <f ca="1">L237/(BIDU_IS!L$81-BIDU_IS!L$354)</f>
        <v>1.9266904678245849</v>
      </c>
      <c r="M257" s="4">
        <f ca="1">M237/(BIDU_IS!M$81-BIDU_IS!M$354)</f>
        <v>2.3435938613907701</v>
      </c>
      <c r="N257" s="4">
        <f ca="1">N237/(BIDU_IS!N$81-BIDU_IS!N$354)</f>
        <v>2.9365332622139513</v>
      </c>
      <c r="Q257" s="10"/>
      <c r="R257" s="10"/>
      <c r="S257" s="10"/>
      <c r="T257" s="40"/>
      <c r="U257" s="4">
        <f>U237/(BIDU_IS!U$81-BIDU_IS!U$354)</f>
        <v>0</v>
      </c>
      <c r="V257" s="4">
        <f>V237/(BIDU_IS!V$81-BIDU_IS!V$354)</f>
        <v>0</v>
      </c>
      <c r="W257" s="4">
        <f>W237/(BIDU_IS!W$81-BIDU_IS!W$354)</f>
        <v>0</v>
      </c>
      <c r="X257" s="4">
        <f>X237/(BIDU_IS!X$81-BIDU_IS!X$354)</f>
        <v>0</v>
      </c>
      <c r="Y257" s="4">
        <f>Y237/(BIDU_IS!Y$81-BIDU_IS!Y$354)</f>
        <v>0</v>
      </c>
      <c r="Z257" s="4">
        <f>Z237/(BIDU_IS!Z$81-BIDU_IS!Z$354)</f>
        <v>0</v>
      </c>
      <c r="AA257" s="4">
        <f>AA237/(BIDU_IS!AA$81-BIDU_IS!AA$354)</f>
        <v>0</v>
      </c>
      <c r="AB257" s="4">
        <f>AB237/(BIDU_IS!AB$81-BIDU_IS!AB$354)</f>
        <v>0</v>
      </c>
      <c r="AC257" s="4">
        <f>AC237/(BIDU_IS!AC$81-BIDU_IS!AC$354)</f>
        <v>0</v>
      </c>
      <c r="AD257" s="4">
        <f>AD237/(BIDU_IS!AD$81-BIDU_IS!AD$354)</f>
        <v>0</v>
      </c>
      <c r="AE257" s="4">
        <f>AE237/(BIDU_IS!AE$81-BIDU_IS!AE$354)</f>
        <v>0</v>
      </c>
      <c r="AF257" s="4">
        <f>AF237/(BIDU_IS!AF$81-BIDU_IS!AF$354)</f>
        <v>0</v>
      </c>
      <c r="AG257" s="4">
        <f>AG237/(BIDU_IS!AG$81-BIDU_IS!AG$354)</f>
        <v>0</v>
      </c>
      <c r="AH257" s="4">
        <f>AH237/(BIDU_IS!AH$81-BIDU_IS!AH$354)</f>
        <v>0</v>
      </c>
      <c r="AI257" s="4">
        <f>AI237/(BIDU_IS!AI$81-BIDU_IS!AI$354)</f>
        <v>0</v>
      </c>
      <c r="AJ257" s="4">
        <f>AJ237/(BIDU_IS!AJ$81-BIDU_IS!AJ$354)</f>
        <v>11.687068284874817</v>
      </c>
      <c r="AK257" s="4">
        <f>AK237/(BIDU_IS!AK$81-BIDU_IS!AK$354)</f>
        <v>9.4318347750410343</v>
      </c>
      <c r="AL257" s="4">
        <f>AL237/(BIDU_IS!AL$81-BIDU_IS!AL$354)</f>
        <v>6.365003646616672</v>
      </c>
      <c r="AM257" s="4">
        <f>AM237/(BIDU_IS!AM$81-BIDU_IS!AM$354)</f>
        <v>3.4745313750464955</v>
      </c>
      <c r="AN257" s="4">
        <f>AN237/(BIDU_IS!AN$81-BIDU_IS!AN$354)</f>
        <v>7.481253708798616</v>
      </c>
      <c r="AO257" s="66">
        <f>AN257</f>
        <v>7.481253708798616</v>
      </c>
      <c r="AP257" s="66">
        <f>AO257-0.3</f>
        <v>7.1812537087986161</v>
      </c>
      <c r="AQ257" s="66">
        <f>AP257+0.2</f>
        <v>7.3812537087986163</v>
      </c>
      <c r="AR257" s="66">
        <f>AQ257+0.8</f>
        <v>8.1812537087986161</v>
      </c>
      <c r="AS257" s="66">
        <f>AR257</f>
        <v>8.1812537087986161</v>
      </c>
      <c r="AT257" s="66">
        <f>AS257-0.1</f>
        <v>8.0812537087986165</v>
      </c>
      <c r="AU257" s="66">
        <f>AT257-0.2</f>
        <v>7.8812537087986163</v>
      </c>
      <c r="AV257" s="66">
        <f>AU257+2</f>
        <v>9.8812537087986172</v>
      </c>
      <c r="AW257" s="66">
        <f>AV257+2</f>
        <v>11.881253708798617</v>
      </c>
      <c r="AX257" s="66">
        <f t="shared" ref="AX257" si="431">AW257</f>
        <v>11.881253708798617</v>
      </c>
      <c r="AY257" s="66">
        <f>AX257-0.5</f>
        <v>11.381253708798617</v>
      </c>
      <c r="AZ257" s="66">
        <f>AY257+1</f>
        <v>12.381253708798617</v>
      </c>
    </row>
    <row r="258" spans="1:59">
      <c r="B258" s="3" t="s">
        <v>144</v>
      </c>
      <c r="F258" s="4">
        <f ca="1">AVERAGE(F240,E240)/(BIDU_IS!F$89)</f>
        <v>3.5187487004632735E-2</v>
      </c>
      <c r="G258" s="4">
        <f ca="1">AVERAGE(G240,F240)/(BIDU_IS!G$89)</f>
        <v>2.7751208649256745E-2</v>
      </c>
      <c r="H258" s="4">
        <f ca="1">AVERAGE(H240,G240)/(BIDU_IS!H$89)</f>
        <v>1.9183843666674427E-2</v>
      </c>
      <c r="I258" s="4">
        <f ca="1">AVERAGE(I240,H240)/(BIDU_IS!I$89)</f>
        <v>1.64185840956327E-2</v>
      </c>
      <c r="J258" s="4">
        <f ca="1">AVERAGE(J240,I240)/(BIDU_IS!J$89)</f>
        <v>2.4841563419338551E-2</v>
      </c>
      <c r="K258" s="4">
        <f ca="1">AVERAGE(K240,J240)/(BIDU_IS!K$89)</f>
        <v>4.5627452888938595E-2</v>
      </c>
      <c r="L258" s="4">
        <f ca="1">AVERAGE(L240,K240)/(BIDU_IS!L$89)</f>
        <v>5.4105155027862097E-2</v>
      </c>
      <c r="M258" s="4">
        <f ca="1">AVERAGE(M240,L240)/(BIDU_IS!M$89)</f>
        <v>4.7932643655401813E-2</v>
      </c>
      <c r="N258" s="4">
        <f ca="1">AVERAGE(N240,M240)/(BIDU_IS!N$89)</f>
        <v>4.4297653166882861E-2</v>
      </c>
      <c r="Q258" s="10"/>
      <c r="R258" s="10"/>
      <c r="S258" s="10"/>
      <c r="T258" s="40"/>
      <c r="U258" s="4">
        <f>AVERAGE(U240,T240)/(BIDU_IS!U$89)</f>
        <v>0.13698421623519863</v>
      </c>
      <c r="V258" s="4">
        <f>AVERAGE(V240,U240)/(BIDU_IS!V$89)</f>
        <v>0.10859437772250743</v>
      </c>
      <c r="W258" s="4">
        <f>AVERAGE(W240,V240)/(BIDU_IS!W$89)</f>
        <v>0.10237173989372961</v>
      </c>
      <c r="X258" s="4">
        <f>AVERAGE(X240,W240)/(BIDU_IS!X$89)</f>
        <v>0.10588960541800604</v>
      </c>
      <c r="Y258" s="4">
        <f>AVERAGE(Y240,X240)/(BIDU_IS!Y$89)</f>
        <v>9.7097241188170189E-2</v>
      </c>
      <c r="Z258" s="4">
        <f>AVERAGE(Z240,Y240)/(BIDU_IS!Z$89)</f>
        <v>7.8907325362667188E-2</v>
      </c>
      <c r="AA258" s="4">
        <f>AVERAGE(AA240,Z240)/(BIDU_IS!AA$89)</f>
        <v>7.8064389623599711E-2</v>
      </c>
      <c r="AB258" s="4">
        <f>AVERAGE(AB240,AA240)/(BIDU_IS!AB$89)</f>
        <v>7.0082452036902748E-2</v>
      </c>
      <c r="AC258" s="4">
        <f>AVERAGE(AC240,AB240)/(BIDU_IS!AC$89)</f>
        <v>8.0285094654329842E-2</v>
      </c>
      <c r="AD258" s="4">
        <f>AVERAGE(AD240,AC240)/(BIDU_IS!AD$89)</f>
        <v>7.0784322976237199E-2</v>
      </c>
      <c r="AE258" s="4">
        <f>AVERAGE(AE240,AD240)/(BIDU_IS!AE$89)</f>
        <v>6.3299291342947359E-2</v>
      </c>
      <c r="AF258" s="4">
        <f>AVERAGE(AF240,AE240)/(BIDU_IS!AF$89)</f>
        <v>6.459817675942095E-2</v>
      </c>
      <c r="AG258" s="4">
        <f>AVERAGE(AG240,AF240)/(BIDU_IS!AG$89)</f>
        <v>9.3386888919060579E-2</v>
      </c>
      <c r="AH258" s="4">
        <f>AVERAGE(AH240,AG240)/(BIDU_IS!AH$89)</f>
        <v>0.11344444987113197</v>
      </c>
      <c r="AI258" s="4">
        <f>AVERAGE(AI240,AH240)/(BIDU_IS!AI$89)</f>
        <v>0.16351136285752743</v>
      </c>
      <c r="AJ258" s="4">
        <f>AVERAGE(AJ240,AI240)/(BIDU_IS!AJ$89)</f>
        <v>0.15685910988593751</v>
      </c>
      <c r="AK258" s="4">
        <f>AVERAGE(AK240,AJ240)/(BIDU_IS!AK$89)</f>
        <v>0.16544737263543405</v>
      </c>
      <c r="AL258" s="4">
        <f>AVERAGE(AL240,AK240)/(BIDU_IS!AL$89)</f>
        <v>0.16522456165564817</v>
      </c>
      <c r="AM258" s="4">
        <f>AVERAGE(AM240,AL240)/(BIDU_IS!AM$89)</f>
        <v>0.16384264975094726</v>
      </c>
      <c r="AN258" s="4">
        <f>AVERAGE(AN240,AM240)/(BIDU_IS!AN$89)</f>
        <v>0.20565885549329257</v>
      </c>
      <c r="AO258" s="66">
        <f>AN258</f>
        <v>0.20565885549329257</v>
      </c>
      <c r="AP258" s="66">
        <f>AO258</f>
        <v>0.20565885549329257</v>
      </c>
      <c r="AQ258" s="66">
        <f>AP258</f>
        <v>0.20565885549329257</v>
      </c>
      <c r="AR258" s="66">
        <f>AQ258</f>
        <v>0.20565885549329257</v>
      </c>
      <c r="AS258" s="66">
        <f>+AO258-0.015</f>
        <v>0.19065885549329259</v>
      </c>
      <c r="AT258" s="66">
        <f t="shared" ref="AT258:AZ258" si="432">+AP258-0.015</f>
        <v>0.19065885549329259</v>
      </c>
      <c r="AU258" s="66">
        <f t="shared" si="432"/>
        <v>0.19065885549329259</v>
      </c>
      <c r="AV258" s="66">
        <f t="shared" si="432"/>
        <v>0.19065885549329259</v>
      </c>
      <c r="AW258" s="66">
        <f t="shared" si="432"/>
        <v>0.17565885549329258</v>
      </c>
      <c r="AX258" s="66">
        <f t="shared" si="432"/>
        <v>0.17565885549329258</v>
      </c>
      <c r="AY258" s="66">
        <f t="shared" si="432"/>
        <v>0.17565885549329258</v>
      </c>
      <c r="AZ258" s="66">
        <f t="shared" si="432"/>
        <v>0.17565885549329258</v>
      </c>
    </row>
    <row r="259" spans="1:59">
      <c r="B259" s="3" t="s">
        <v>614</v>
      </c>
      <c r="E259" s="10"/>
      <c r="F259" s="4">
        <f ca="1">AVERAGE(E243:F243)/(BIDU_IS!F$89)</f>
        <v>0.142389348062268</v>
      </c>
      <c r="G259" s="4">
        <f ca="1">AVERAGE(F243:G243)/(BIDU_IS!G$89)</f>
        <v>0.17482157170171078</v>
      </c>
      <c r="H259" s="4">
        <f ca="1">AVERAGE(G243:H243)/(BIDU_IS!H$89)</f>
        <v>0.20719745598974548</v>
      </c>
      <c r="I259" s="4">
        <f ca="1">AVERAGE(H243:I243)/(BIDU_IS!I$89)</f>
        <v>0.23049346153668276</v>
      </c>
      <c r="J259" s="4">
        <f ca="1">AVERAGE(I243:J243)/(BIDU_IS!J$89)</f>
        <v>0.32807029982580704</v>
      </c>
      <c r="K259" s="4">
        <f ca="1">AVERAGE(J243:K243)/(BIDU_IS!K$89)</f>
        <v>0.55809289379182869</v>
      </c>
      <c r="L259" s="4">
        <f ca="1">AVERAGE(K243:L243)/(BIDU_IS!L$89)</f>
        <v>0.60229375065334401</v>
      </c>
      <c r="M259" s="4">
        <f ca="1">AVERAGE(L243:M243)/(BIDU_IS!M$89)</f>
        <v>0.39511262521755375</v>
      </c>
      <c r="N259" s="4">
        <f ca="1">AVERAGE(M243:N243)/(BIDU_IS!N$89)</f>
        <v>0.20813738874287799</v>
      </c>
      <c r="Q259" s="38"/>
      <c r="R259" s="38"/>
      <c r="S259" s="38"/>
      <c r="T259" s="40"/>
      <c r="U259" s="4">
        <f>AVERAGE(T243:U243)/(BIDU_IS!U$89)</f>
        <v>0.62770455679431036</v>
      </c>
      <c r="V259" s="4">
        <f>AVERAGE(U243:V243)/(BIDU_IS!V$89)</f>
        <v>0.55295870881644371</v>
      </c>
      <c r="W259" s="4">
        <f>AVERAGE(V243:W243)/(BIDU_IS!W$89)</f>
        <v>0.58710017861685637</v>
      </c>
      <c r="X259" s="4">
        <f>AVERAGE(W243:X243)/(BIDU_IS!X$89)</f>
        <v>0.68924340692811126</v>
      </c>
      <c r="Y259" s="4">
        <f>AVERAGE(X243:Y243)/(BIDU_IS!Y$89)</f>
        <v>0.8129739088460739</v>
      </c>
      <c r="Z259" s="4">
        <f>AVERAGE(Y243:Z243)/(BIDU_IS!Z$89)</f>
        <v>0.74020360123352813</v>
      </c>
      <c r="AA259" s="4">
        <f>AVERAGE(Z243:AA243)/(BIDU_IS!AA$89)</f>
        <v>0.77434407839904806</v>
      </c>
      <c r="AB259" s="4">
        <f>AVERAGE(AA243:AB243)/(BIDU_IS!AB$89)</f>
        <v>0.86253757856900415</v>
      </c>
      <c r="AC259" s="4">
        <f>AVERAGE(AB243:AC243)/(BIDU_IS!AC$89)</f>
        <v>1.0383618649081434</v>
      </c>
      <c r="AD259" s="4">
        <f>AVERAGE(AC243:AD243)/(BIDU_IS!AD$89)</f>
        <v>0.89041650563328278</v>
      </c>
      <c r="AE259" s="4">
        <f>AVERAGE(AD243:AE243)/(BIDU_IS!AE$89)</f>
        <v>0.97685725260091072</v>
      </c>
      <c r="AF259" s="4">
        <f>AVERAGE(AE243:AF243)/(BIDU_IS!AF$89)</f>
        <v>1.0025886161428379</v>
      </c>
      <c r="AG259" s="4">
        <f>AVERAGE(AF243:AG243)/(BIDU_IS!AG$89)</f>
        <v>1.1520250026358085</v>
      </c>
      <c r="AH259" s="4">
        <f>AVERAGE(AG243:AH243)/(BIDU_IS!AH$89)</f>
        <v>1.0438168212615573</v>
      </c>
      <c r="AI259" s="4">
        <f>AVERAGE(AH243:AI243)/(BIDU_IS!AI$89)</f>
        <v>1.1029523810619533</v>
      </c>
      <c r="AJ259" s="4">
        <f>AVERAGE(AI243:AJ243)/(BIDU_IS!AJ$89)</f>
        <v>1.3618562588041048</v>
      </c>
      <c r="AK259" s="4">
        <f>AVERAGE(AJ243:AK243)/(BIDU_IS!AK$89)</f>
        <v>2.0943291860029003</v>
      </c>
      <c r="AL259" s="4">
        <f>AVERAGE(AK243:AL243)/(BIDU_IS!AL$89)</f>
        <v>2.306257593178116</v>
      </c>
      <c r="AM259" s="4">
        <f>AVERAGE(AL243:AM243)/(BIDU_IS!AM$89)</f>
        <v>2.4390352931159267</v>
      </c>
      <c r="AN259" s="4">
        <f>AVERAGE(AM243:AN243)/(BIDU_IS!AN$89)</f>
        <v>2.6830531499405672</v>
      </c>
      <c r="AO259" s="66">
        <f>AN259+0.4</f>
        <v>3.0830531499405671</v>
      </c>
      <c r="AP259" s="66">
        <f>AO259-0.6</f>
        <v>2.483053149940567</v>
      </c>
      <c r="AQ259" s="66">
        <f>AP259+0.15</f>
        <v>2.6330531499405669</v>
      </c>
      <c r="AR259" s="66">
        <f>AQ259</f>
        <v>2.6330531499405669</v>
      </c>
      <c r="AS259" s="66">
        <f>AR259+0.2</f>
        <v>2.8330531499405671</v>
      </c>
      <c r="AT259" s="66">
        <f>AS259-0.55</f>
        <v>2.2830531499405673</v>
      </c>
      <c r="AU259" s="66">
        <f>AT259+0.1</f>
        <v>2.3830531499405674</v>
      </c>
      <c r="AV259" s="66">
        <f>AU259-0.05</f>
        <v>2.3330531499405676</v>
      </c>
      <c r="AW259" s="66">
        <f>AV259+0.15</f>
        <v>2.4830531499405675</v>
      </c>
      <c r="AX259" s="66">
        <f>AW259-0.45</f>
        <v>2.0330531499405673</v>
      </c>
      <c r="AY259" s="66">
        <f>AX259+0.1</f>
        <v>2.1330531499405674</v>
      </c>
      <c r="AZ259" s="66">
        <f>AY259-0.05</f>
        <v>2.0830531499405676</v>
      </c>
    </row>
    <row r="260" spans="1:59">
      <c r="B260" s="3" t="s">
        <v>142</v>
      </c>
      <c r="F260" s="4">
        <f ca="1">AVERAGE(E245:F245)/BIDU_IS!F82</f>
        <v>8.1627112781093317E-2</v>
      </c>
      <c r="G260" s="4">
        <f ca="1">AVERAGE(F245:G245)/BIDU_IS!G82</f>
        <v>7.8973672739767339E-2</v>
      </c>
      <c r="H260" s="4">
        <f ca="1">AVERAGE(G245:H245)/BIDU_IS!H82</f>
        <v>7.4148504052346714E-2</v>
      </c>
      <c r="I260" s="4">
        <f ca="1">AVERAGE(H245:I245)/BIDU_IS!I82</f>
        <v>7.3187834562127754E-2</v>
      </c>
      <c r="J260" s="4">
        <f ca="1">AVERAGE(I245:J245)/BIDU_IS!J82</f>
        <v>8.1162397154990656E-2</v>
      </c>
      <c r="K260" s="4">
        <f ca="1">AVERAGE(J245:K245)/BIDU_IS!K82</f>
        <v>7.5561645941869565E-2</v>
      </c>
      <c r="L260" s="4">
        <f ca="1">AVERAGE(K245:L245)/BIDU_IS!L82</f>
        <v>6.1593561700995191E-2</v>
      </c>
      <c r="M260" s="4">
        <f ca="1">AVERAGE(L245:M245)/BIDU_IS!M82</f>
        <v>3.911487246705754E-2</v>
      </c>
      <c r="N260" s="4">
        <f ca="1">AVERAGE(M245:N245)/BIDU_IS!N82</f>
        <v>1.5342823281807324E-2</v>
      </c>
      <c r="T260" s="40"/>
      <c r="U260" s="4">
        <f>AVERAGE(T245:U245)/BIDU_IS!U82</f>
        <v>0.33657882382586818</v>
      </c>
      <c r="V260" s="4">
        <f>AVERAGE(U245:V245)/BIDU_IS!V82</f>
        <v>0.26058136589772402</v>
      </c>
      <c r="W260" s="4">
        <f>AVERAGE(V245:W245)/BIDU_IS!W82</f>
        <v>0.25490999541367881</v>
      </c>
      <c r="X260" s="4">
        <f>AVERAGE(W245:X245)/BIDU_IS!X82</f>
        <v>0.28986839426129379</v>
      </c>
      <c r="Y260" s="4">
        <f>AVERAGE(X245:Y245)/BIDU_IS!Y82</f>
        <v>0.31958509783340316</v>
      </c>
      <c r="Z260" s="4">
        <f>AVERAGE(Y245:Z245)/BIDU_IS!Z82</f>
        <v>0.26400805554447759</v>
      </c>
      <c r="AA260" s="4">
        <f>AVERAGE(Z245:AA245)/BIDU_IS!AA82</f>
        <v>0.26162236211955303</v>
      </c>
      <c r="AB260" s="4">
        <f>AVERAGE(AA245:AB245)/BIDU_IS!AB82</f>
        <v>0.28945919671487202</v>
      </c>
      <c r="AC260" s="4">
        <f>AVERAGE(AB245:AC245)/BIDU_IS!AC82</f>
        <v>0.33149550446158849</v>
      </c>
      <c r="AD260" s="4">
        <f>AVERAGE(AC245:AD245)/BIDU_IS!AD82</f>
        <v>0.26641014144110631</v>
      </c>
      <c r="AE260" s="4">
        <f>AVERAGE(AD245:AE245)/BIDU_IS!AE82</f>
        <v>0.2787615416588764</v>
      </c>
      <c r="AF260" s="4">
        <f>AVERAGE(AE245:AF245)/BIDU_IS!AF82</f>
        <v>0.29353403754274204</v>
      </c>
      <c r="AG260" s="4">
        <f>AVERAGE(AF245:AG245)/BIDU_IS!AG82</f>
        <v>0.33401570436264882</v>
      </c>
      <c r="AH260" s="4">
        <f>AVERAGE(AG245:AH245)/BIDU_IS!AH82</f>
        <v>0.29476389382887797</v>
      </c>
      <c r="AI260" s="4">
        <f>AVERAGE(AH245:AI245)/BIDU_IS!AI82</f>
        <v>0.31589377803103624</v>
      </c>
      <c r="AJ260" s="4">
        <f>AVERAGE(AI245:AJ245)/BIDU_IS!AJ82</f>
        <v>0.32793695059707989</v>
      </c>
      <c r="AK260" s="4">
        <f>AVERAGE(AJ245:AK245)/BIDU_IS!AK82</f>
        <v>0.34570690468205001</v>
      </c>
      <c r="AL260" s="4">
        <f>AVERAGE(AK245:AL245)/BIDU_IS!AL82</f>
        <v>0.28542303822937626</v>
      </c>
      <c r="AM260" s="4">
        <f>AVERAGE(AL245:AM245)/BIDU_IS!AM82</f>
        <v>0.28074843543786454</v>
      </c>
      <c r="AN260" s="4">
        <f>AVERAGE(AM245:AN245)/BIDU_IS!AN82</f>
        <v>0.29090253014094075</v>
      </c>
      <c r="AO260" s="66">
        <f>AK260-0.01</f>
        <v>0.33570690468205</v>
      </c>
      <c r="AP260" s="66">
        <f>AL260-0.005</f>
        <v>0.28042303822937625</v>
      </c>
      <c r="AQ260" s="66">
        <f>AM260</f>
        <v>0.28074843543786454</v>
      </c>
      <c r="AR260" s="66">
        <f>AN260-0.02</f>
        <v>0.27090253014094073</v>
      </c>
      <c r="AS260" s="66">
        <f>AO260-0.05</f>
        <v>0.28570690468205001</v>
      </c>
      <c r="AT260" s="66">
        <f t="shared" ref="AT260:AV260" si="433">AP260-0.05</f>
        <v>0.23042303822937626</v>
      </c>
      <c r="AU260" s="66">
        <f t="shared" si="433"/>
        <v>0.23074843543786455</v>
      </c>
      <c r="AV260" s="66">
        <f t="shared" si="433"/>
        <v>0.22090253014094074</v>
      </c>
      <c r="AW260" s="66">
        <f t="shared" ref="AW260" si="434">AS260-0.05</f>
        <v>0.23570690468205002</v>
      </c>
      <c r="AX260" s="66">
        <f t="shared" ref="AX260" si="435">AT260-0.05</f>
        <v>0.18042303822937628</v>
      </c>
      <c r="AY260" s="66">
        <f t="shared" ref="AY260" si="436">AU260-0.05</f>
        <v>0.18074843543786456</v>
      </c>
      <c r="AZ260" s="66">
        <f t="shared" ref="AZ260" si="437">AV260-0.05</f>
        <v>0.17090253014094076</v>
      </c>
    </row>
    <row r="261" spans="1:59">
      <c r="B261" s="3" t="s">
        <v>141</v>
      </c>
      <c r="F261" s="4">
        <f ca="1">AVERAGE(E246:F246)/BIDU_IS!F82</f>
        <v>5.7408477870509065E-3</v>
      </c>
      <c r="G261" s="4">
        <f ca="1">AVERAGE(F246:G246)/BIDU_IS!G82</f>
        <v>7.2394518594522065E-3</v>
      </c>
      <c r="H261" s="4">
        <f ca="1">AVERAGE(G246:H246)/BIDU_IS!H82</f>
        <v>1.0063112613760678E-2</v>
      </c>
      <c r="I261" s="4">
        <f ca="1">AVERAGE(H246:I246)/BIDU_IS!I82</f>
        <v>1.2193709205736415E-2</v>
      </c>
      <c r="J261" s="4">
        <f ca="1">AVERAGE(I246:J246)/BIDU_IS!J82</f>
        <v>1.486966629493641E-2</v>
      </c>
      <c r="K261" s="4">
        <f ca="1">AVERAGE(J246:K246)/BIDU_IS!K82</f>
        <v>1.4848371528474399E-2</v>
      </c>
      <c r="L261" s="4">
        <f ca="1">AVERAGE(K246:L246)/BIDU_IS!L82</f>
        <v>1.0822440093586239E-2</v>
      </c>
      <c r="M261" s="4">
        <f ca="1">AVERAGE(L246:M246)/BIDU_IS!M82</f>
        <v>6.9191086495531996E-3</v>
      </c>
      <c r="N261" s="4">
        <f ca="1">AVERAGE(M246:N246)/BIDU_IS!N82</f>
        <v>4.4510629382642159E-3</v>
      </c>
      <c r="T261" s="40"/>
      <c r="U261" s="4">
        <f>AVERAGE(T246:U246)/BIDU_IS!U82</f>
        <v>2.3377249168891948E-2</v>
      </c>
      <c r="V261" s="4">
        <f>AVERAGE(U246:V246)/BIDU_IS!V82</f>
        <v>2.0067281106600283E-2</v>
      </c>
      <c r="W261" s="4">
        <f>AVERAGE(V246:W246)/BIDU_IS!W82</f>
        <v>2.1099720659521544E-2</v>
      </c>
      <c r="X261" s="4">
        <f>AVERAGE(W246:X246)/BIDU_IS!X82</f>
        <v>2.6047071941117179E-2</v>
      </c>
      <c r="Y261" s="4">
        <f>AVERAGE(X246:Y246)/BIDU_IS!Y82</f>
        <v>3.2926213640487624E-2</v>
      </c>
      <c r="Z261" s="4">
        <f>AVERAGE(Y246:Z246)/BIDU_IS!Z82</f>
        <v>2.957283054205391E-2</v>
      </c>
      <c r="AA261" s="4">
        <f>AVERAGE(Z246:AA246)/BIDU_IS!AA82</f>
        <v>2.6752036057455478E-2</v>
      </c>
      <c r="AB261" s="4">
        <f>AVERAGE(AA246:AB246)/BIDU_IS!AB82</f>
        <v>3.6273145441259355E-2</v>
      </c>
      <c r="AC261" s="4">
        <f>AVERAGE(AB246:AC246)/BIDU_IS!AC82</f>
        <v>5.3778675914463746E-2</v>
      </c>
      <c r="AD261" s="4">
        <f>AVERAGE(AC246:AD246)/BIDU_IS!AD82</f>
        <v>4.5891980555573322E-2</v>
      </c>
      <c r="AE261" s="4">
        <f>AVERAGE(AD246:AE246)/BIDU_IS!AE82</f>
        <v>4.3605693735451638E-2</v>
      </c>
      <c r="AF261" s="4">
        <f>AVERAGE(AE246:AF246)/BIDU_IS!AF82</f>
        <v>4.5528979034690685E-2</v>
      </c>
      <c r="AG261" s="4">
        <f>AVERAGE(AF246:AG246)/BIDU_IS!AG82</f>
        <v>6.7420950392944073E-2</v>
      </c>
      <c r="AH261" s="4">
        <f>AVERAGE(AG246:AH246)/BIDU_IS!AH82</f>
        <v>6.2335109612274606E-2</v>
      </c>
      <c r="AI261" s="4">
        <f>AVERAGE(AH246:AI246)/BIDU_IS!AI82</f>
        <v>5.9242961570905514E-2</v>
      </c>
      <c r="AJ261" s="4">
        <f>AVERAGE(AI246:AJ246)/BIDU_IS!AJ82</f>
        <v>6.1663395541001344E-2</v>
      </c>
      <c r="AK261" s="4">
        <f>AVERAGE(AJ246:AK246)/BIDU_IS!AK82</f>
        <v>6.9666093079747332E-2</v>
      </c>
      <c r="AL261" s="4">
        <f>AVERAGE(AK246:AL246)/BIDU_IS!AL82</f>
        <v>5.8802002491137297E-2</v>
      </c>
      <c r="AM261" s="4">
        <f>AVERAGE(AL246:AM246)/BIDU_IS!AM82</f>
        <v>5.0044701775299079E-2</v>
      </c>
      <c r="AN261" s="4">
        <f>AVERAGE(AM246:AN246)/BIDU_IS!AN82</f>
        <v>5.185515367634573E-2</v>
      </c>
      <c r="AO261" s="66">
        <f>AK261</f>
        <v>6.9666093079747332E-2</v>
      </c>
      <c r="AP261" s="66">
        <f t="shared" ref="AP261" si="438">AL261</f>
        <v>5.8802002491137297E-2</v>
      </c>
      <c r="AQ261" s="66">
        <v>0.06</v>
      </c>
      <c r="AR261" s="66">
        <v>5.1999999999999998E-2</v>
      </c>
      <c r="AS261" s="66">
        <v>5.0999999999999997E-2</v>
      </c>
      <c r="AT261" s="66">
        <v>4.4999999999999998E-2</v>
      </c>
      <c r="AU261" s="66">
        <v>0.05</v>
      </c>
      <c r="AV261" s="66">
        <f t="shared" ref="AV261" si="439">AU261</f>
        <v>0.05</v>
      </c>
      <c r="AW261" s="66">
        <f t="shared" ref="AW261" si="440">AV261</f>
        <v>0.05</v>
      </c>
      <c r="AX261" s="66">
        <v>0.04</v>
      </c>
      <c r="AY261" s="66">
        <v>4.4999999999999998E-2</v>
      </c>
      <c r="AZ261" s="66">
        <f t="shared" ref="AZ261" si="441">AY261</f>
        <v>4.4999999999999998E-2</v>
      </c>
    </row>
    <row r="262" spans="1:59">
      <c r="B262" s="3"/>
      <c r="G262" s="10"/>
      <c r="H262" s="10"/>
      <c r="I262" s="10"/>
      <c r="J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M262" s="70"/>
      <c r="AN262" s="70"/>
      <c r="AO262" s="70"/>
      <c r="AP262" s="70"/>
    </row>
    <row r="264" spans="1:59" s="195" customFormat="1">
      <c r="A264" s="196"/>
      <c r="B264" s="196" t="s">
        <v>658</v>
      </c>
      <c r="C264" s="196"/>
      <c r="D264" s="196"/>
      <c r="E264" s="196"/>
      <c r="F264" s="198" t="s">
        <v>659</v>
      </c>
      <c r="G264" s="198" t="s">
        <v>659</v>
      </c>
      <c r="H264" s="198" t="s">
        <v>659</v>
      </c>
      <c r="I264" s="198" t="s">
        <v>659</v>
      </c>
      <c r="J264" s="198" t="s">
        <v>659</v>
      </c>
      <c r="K264" s="198" t="s">
        <v>659</v>
      </c>
      <c r="L264" s="198" t="s">
        <v>659</v>
      </c>
      <c r="M264" s="198" t="s">
        <v>659</v>
      </c>
      <c r="N264" s="198" t="s">
        <v>659</v>
      </c>
      <c r="O264" s="196"/>
      <c r="P264" s="196"/>
      <c r="Q264" s="196"/>
      <c r="R264" s="202" t="s">
        <v>659</v>
      </c>
      <c r="S264" s="202" t="s">
        <v>659</v>
      </c>
      <c r="T264" s="197" t="s">
        <v>659</v>
      </c>
      <c r="U264" s="197" t="s">
        <v>659</v>
      </c>
      <c r="V264" s="197" t="s">
        <v>659</v>
      </c>
      <c r="W264" s="197" t="s">
        <v>659</v>
      </c>
      <c r="X264" s="197" t="s">
        <v>659</v>
      </c>
      <c r="Y264" s="197" t="s">
        <v>659</v>
      </c>
      <c r="Z264" s="197" t="s">
        <v>659</v>
      </c>
      <c r="AA264" s="197" t="s">
        <v>659</v>
      </c>
      <c r="AB264" s="197" t="s">
        <v>659</v>
      </c>
      <c r="AC264" s="197" t="s">
        <v>659</v>
      </c>
      <c r="AD264" s="197" t="s">
        <v>659</v>
      </c>
      <c r="AE264" s="197" t="s">
        <v>659</v>
      </c>
      <c r="AF264" s="197" t="s">
        <v>659</v>
      </c>
      <c r="AG264" s="197" t="s">
        <v>659</v>
      </c>
      <c r="AH264" s="197" t="s">
        <v>659</v>
      </c>
      <c r="AI264" s="197" t="s">
        <v>659</v>
      </c>
      <c r="AJ264" s="197" t="s">
        <v>659</v>
      </c>
      <c r="AK264" s="197" t="s">
        <v>659</v>
      </c>
      <c r="AL264" s="197" t="s">
        <v>659</v>
      </c>
      <c r="AM264" s="197" t="s">
        <v>659</v>
      </c>
      <c r="AN264" s="197" t="s">
        <v>659</v>
      </c>
      <c r="AO264" s="197" t="s">
        <v>659</v>
      </c>
      <c r="AP264" s="197" t="s">
        <v>659</v>
      </c>
      <c r="AQ264" s="197" t="s">
        <v>659</v>
      </c>
      <c r="AR264" s="197" t="s">
        <v>659</v>
      </c>
      <c r="AS264" s="197" t="s">
        <v>659</v>
      </c>
      <c r="AT264" s="197" t="s">
        <v>659</v>
      </c>
      <c r="AU264" s="197" t="s">
        <v>659</v>
      </c>
      <c r="AV264" s="197" t="s">
        <v>659</v>
      </c>
      <c r="AW264" s="197" t="s">
        <v>659</v>
      </c>
      <c r="AX264" s="197" t="s">
        <v>659</v>
      </c>
      <c r="AY264" s="197" t="s">
        <v>659</v>
      </c>
      <c r="AZ264" s="196" t="s">
        <v>659</v>
      </c>
      <c r="BB264"/>
      <c r="BC264"/>
      <c r="BD264"/>
      <c r="BE264"/>
      <c r="BF264"/>
      <c r="BG264"/>
    </row>
    <row r="265" spans="1:59" s="195" customFormat="1">
      <c r="A265" s="196"/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N265" s="196"/>
      <c r="O265" s="196"/>
      <c r="P265" s="196"/>
      <c r="Q265" s="196"/>
      <c r="R265" s="196"/>
      <c r="S265" s="196"/>
      <c r="T265" s="196"/>
      <c r="U265" s="196"/>
      <c r="V265" s="196"/>
      <c r="W265" s="196"/>
      <c r="X265" s="196"/>
      <c r="Y265" s="196"/>
      <c r="Z265" s="196"/>
      <c r="AA265" s="196"/>
      <c r="AB265" s="196"/>
      <c r="AC265" s="196"/>
      <c r="AD265" s="196"/>
      <c r="AE265" s="196"/>
      <c r="AF265" s="196"/>
      <c r="AG265" s="196"/>
      <c r="AH265" s="196"/>
      <c r="AI265" s="196"/>
      <c r="AJ265" s="196"/>
      <c r="AK265" s="196"/>
      <c r="AL265" s="196"/>
      <c r="AM265" s="196"/>
      <c r="AN265" s="196"/>
      <c r="AO265" s="196"/>
      <c r="AP265" s="196"/>
      <c r="AQ265" s="196"/>
      <c r="AR265" s="196"/>
      <c r="AS265" s="196"/>
      <c r="AT265" s="196"/>
      <c r="AU265" s="196"/>
      <c r="AV265" s="196"/>
      <c r="AW265" s="196"/>
      <c r="AX265" s="196"/>
      <c r="AY265" s="196"/>
      <c r="AZ265" s="196"/>
      <c r="BB265"/>
      <c r="BC265"/>
      <c r="BD265"/>
      <c r="BE265"/>
      <c r="BF265"/>
      <c r="BG265"/>
    </row>
    <row r="266" spans="1:59">
      <c r="B266" s="203" t="s">
        <v>661</v>
      </c>
    </row>
    <row r="267" spans="1:59">
      <c r="B267" s="1" t="s">
        <v>165</v>
      </c>
      <c r="G267" s="204">
        <f ca="1">+F272</f>
        <v>26055.229000000003</v>
      </c>
      <c r="H267" s="204">
        <f t="shared" ref="H267:N267" ca="1" si="442">+G272</f>
        <v>38424.914999999994</v>
      </c>
      <c r="I267" s="204">
        <f t="shared" ca="1" si="442"/>
        <v>51072.423999999999</v>
      </c>
      <c r="J267" s="204">
        <f t="shared" ca="1" si="442"/>
        <v>80255.663</v>
      </c>
      <c r="K267" s="204">
        <f t="shared" ca="1" si="442"/>
        <v>92273.542000000001</v>
      </c>
      <c r="L267" s="204">
        <f t="shared" ca="1" si="442"/>
        <v>115346</v>
      </c>
      <c r="M267" s="204">
        <f t="shared" ca="1" si="442"/>
        <v>138349.36455106558</v>
      </c>
      <c r="N267" s="204">
        <f t="shared" ca="1" si="442"/>
        <v>169005.15135842806</v>
      </c>
      <c r="V267" s="205">
        <f>+U272</f>
        <v>28318.165000000001</v>
      </c>
      <c r="W267" s="205">
        <f t="shared" ref="W267:AZ267" si="443">+V272</f>
        <v>31244.576999999997</v>
      </c>
      <c r="X267" s="205">
        <f t="shared" si="443"/>
        <v>35085.233999999997</v>
      </c>
      <c r="Y267" s="205">
        <f t="shared" si="443"/>
        <v>38424.914999999994</v>
      </c>
      <c r="Z267" s="205">
        <f t="shared" si="443"/>
        <v>40240.852999999996</v>
      </c>
      <c r="AA267" s="205">
        <f t="shared" si="443"/>
        <v>44413.270999999993</v>
      </c>
      <c r="AB267" s="205">
        <f t="shared" si="443"/>
        <v>48478.064000000006</v>
      </c>
      <c r="AC267" s="205">
        <f t="shared" si="443"/>
        <v>51072.424000000006</v>
      </c>
      <c r="AD267" s="205">
        <f t="shared" si="443"/>
        <v>54560.787000000004</v>
      </c>
      <c r="AE267" s="205">
        <f t="shared" si="443"/>
        <v>60145.228000000003</v>
      </c>
      <c r="AF267" s="205">
        <f t="shared" si="443"/>
        <v>56119.233999999997</v>
      </c>
      <c r="AG267" s="205">
        <f t="shared" si="443"/>
        <v>80255.663</v>
      </c>
      <c r="AH267" s="205">
        <f t="shared" si="443"/>
        <v>82303.35100000001</v>
      </c>
      <c r="AI267" s="205">
        <f t="shared" si="443"/>
        <v>84941.402000000016</v>
      </c>
      <c r="AJ267" s="205">
        <f t="shared" ca="1" si="443"/>
        <v>88258.688000000024</v>
      </c>
      <c r="AK267" s="205">
        <f t="shared" ca="1" si="443"/>
        <v>92273.54200000003</v>
      </c>
      <c r="AL267" s="205">
        <f t="shared" ca="1" si="443"/>
        <v>94114.388000000035</v>
      </c>
      <c r="AM267" s="205">
        <f t="shared" ca="1" si="443"/>
        <v>98661.000000000029</v>
      </c>
      <c r="AN267" s="205">
        <f t="shared" ca="1" si="443"/>
        <v>109007.00000000003</v>
      </c>
      <c r="AO267" s="205">
        <f t="shared" ca="1" si="443"/>
        <v>115346.00000000003</v>
      </c>
      <c r="AP267" s="205">
        <f t="shared" ca="1" si="443"/>
        <v>119176.31608896858</v>
      </c>
      <c r="AQ267" s="205">
        <f t="shared" ca="1" si="443"/>
        <v>125175.46988970741</v>
      </c>
      <c r="AR267" s="205">
        <f t="shared" ca="1" si="443"/>
        <v>131895.23880182271</v>
      </c>
      <c r="AS267" s="205">
        <f t="shared" ca="1" si="443"/>
        <v>138349.36455106561</v>
      </c>
      <c r="AT267" s="205">
        <f t="shared" ca="1" si="443"/>
        <v>144351.70008816931</v>
      </c>
      <c r="AU267" s="205">
        <f t="shared" ca="1" si="443"/>
        <v>152112.4536679658</v>
      </c>
      <c r="AV267" s="205">
        <f t="shared" ca="1" si="443"/>
        <v>160782.88022033044</v>
      </c>
      <c r="AW267" s="205">
        <f t="shared" ca="1" si="443"/>
        <v>169005.15135842803</v>
      </c>
      <c r="AX267" s="205">
        <f t="shared" ca="1" si="443"/>
        <v>176862.25806068687</v>
      </c>
      <c r="AY267" s="205">
        <f t="shared" ca="1" si="443"/>
        <v>186820.04009181596</v>
      </c>
      <c r="AZ267" s="205">
        <f t="shared" ca="1" si="443"/>
        <v>197757.59246943201</v>
      </c>
    </row>
    <row r="268" spans="1:59">
      <c r="B268" s="1" t="s">
        <v>662</v>
      </c>
      <c r="G268" s="204">
        <f ca="1">+G55-F55</f>
        <v>0</v>
      </c>
      <c r="H268" s="204">
        <f t="shared" ref="H268:N268" ca="1" si="444">+H55-G55</f>
        <v>0</v>
      </c>
      <c r="I268" s="204">
        <f t="shared" ca="1" si="444"/>
        <v>0</v>
      </c>
      <c r="J268" s="204">
        <f t="shared" ca="1" si="444"/>
        <v>0</v>
      </c>
      <c r="K268" s="204">
        <f t="shared" ca="1" si="444"/>
        <v>0</v>
      </c>
      <c r="L268" s="204">
        <f t="shared" ca="1" si="444"/>
        <v>0</v>
      </c>
      <c r="M268" s="204">
        <f t="shared" ca="1" si="444"/>
        <v>0</v>
      </c>
      <c r="N268" s="204">
        <f t="shared" ca="1" si="444"/>
        <v>0</v>
      </c>
      <c r="V268" s="205">
        <f>+V55-U55</f>
        <v>0</v>
      </c>
      <c r="W268" s="205">
        <f t="shared" ref="W268:AZ268" si="445">+W55-V55</f>
        <v>0</v>
      </c>
      <c r="X268" s="205">
        <f t="shared" si="445"/>
        <v>0</v>
      </c>
      <c r="Y268" s="205">
        <f t="shared" si="445"/>
        <v>0</v>
      </c>
      <c r="Z268" s="205">
        <f t="shared" si="445"/>
        <v>0</v>
      </c>
      <c r="AA268" s="205">
        <f t="shared" si="445"/>
        <v>0</v>
      </c>
      <c r="AB268" s="205">
        <f t="shared" si="445"/>
        <v>0</v>
      </c>
      <c r="AC268" s="205">
        <f t="shared" si="445"/>
        <v>0</v>
      </c>
      <c r="AD268" s="205">
        <f t="shared" si="445"/>
        <v>0</v>
      </c>
      <c r="AE268" s="205">
        <f t="shared" si="445"/>
        <v>0</v>
      </c>
      <c r="AF268" s="205">
        <f t="shared" si="445"/>
        <v>0</v>
      </c>
      <c r="AG268" s="205">
        <f t="shared" si="445"/>
        <v>0</v>
      </c>
      <c r="AH268" s="205">
        <f t="shared" si="445"/>
        <v>0</v>
      </c>
      <c r="AI268" s="205">
        <f t="shared" si="445"/>
        <v>0</v>
      </c>
      <c r="AJ268" s="205">
        <f t="shared" si="445"/>
        <v>0</v>
      </c>
      <c r="AK268" s="205">
        <f t="shared" si="445"/>
        <v>0</v>
      </c>
      <c r="AL268" s="205">
        <f t="shared" si="445"/>
        <v>0</v>
      </c>
      <c r="AM268" s="205">
        <f t="shared" si="445"/>
        <v>0</v>
      </c>
      <c r="AN268" s="205">
        <f t="shared" si="445"/>
        <v>0</v>
      </c>
      <c r="AO268" s="205">
        <f t="shared" si="445"/>
        <v>0</v>
      </c>
      <c r="AP268" s="205">
        <f t="shared" si="445"/>
        <v>0</v>
      </c>
      <c r="AQ268" s="205">
        <f t="shared" si="445"/>
        <v>0</v>
      </c>
      <c r="AR268" s="205">
        <f t="shared" si="445"/>
        <v>0</v>
      </c>
      <c r="AS268" s="205">
        <f t="shared" si="445"/>
        <v>0</v>
      </c>
      <c r="AT268" s="205">
        <f t="shared" si="445"/>
        <v>0</v>
      </c>
      <c r="AU268" s="205">
        <f t="shared" si="445"/>
        <v>0</v>
      </c>
      <c r="AV268" s="205">
        <f t="shared" si="445"/>
        <v>0</v>
      </c>
      <c r="AW268" s="205">
        <f t="shared" si="445"/>
        <v>0</v>
      </c>
      <c r="AX268" s="205">
        <f t="shared" si="445"/>
        <v>0</v>
      </c>
      <c r="AY268" s="205">
        <f t="shared" si="445"/>
        <v>0</v>
      </c>
      <c r="AZ268" s="205">
        <f t="shared" si="445"/>
        <v>0</v>
      </c>
    </row>
    <row r="269" spans="1:59">
      <c r="B269" s="1" t="s">
        <v>112</v>
      </c>
      <c r="G269" s="204">
        <f ca="1">+BIDU_IS!G138</f>
        <v>10550.656999999997</v>
      </c>
      <c r="H269" s="204">
        <f ca="1">+BIDU_IS!H138</f>
        <v>13196.932999999999</v>
      </c>
      <c r="I269" s="204">
        <f ca="1">+BIDU_IS!I138</f>
        <v>33664.17300000001</v>
      </c>
      <c r="J269" s="204">
        <f ca="1">+BIDU_IS!J138</f>
        <v>11632.269000000002</v>
      </c>
      <c r="K269" s="204">
        <f ca="1">+BIDU_IS!K138</f>
        <v>18286.552</v>
      </c>
      <c r="L269" s="204">
        <f ca="1">+BIDU_IS!L138</f>
        <v>18739.579094978755</v>
      </c>
      <c r="M269" s="204">
        <f ca="1">+BIDU_IS!M138</f>
        <v>25707.390215418414</v>
      </c>
      <c r="N269" s="204">
        <f ca="1">+BIDU_IS!N138</f>
        <v>34292.650766997947</v>
      </c>
      <c r="V269" s="204">
        <f>+BIDU_IS!V138</f>
        <v>2643.8889999999997</v>
      </c>
      <c r="W269" s="204">
        <f>+BIDU_IS!W138</f>
        <v>3047.9809999999989</v>
      </c>
      <c r="X269" s="204">
        <f>+BIDU_IS!X138</f>
        <v>2784.2629999999981</v>
      </c>
      <c r="Y269" s="204">
        <f>+BIDU_IS!Y138</f>
        <v>2535.1919999999996</v>
      </c>
      <c r="Z269" s="204">
        <f>+BIDU_IS!Z138</f>
        <v>3546.6960000000013</v>
      </c>
      <c r="AA269" s="204">
        <f>+BIDU_IS!AA138</f>
        <v>3876.1119999999983</v>
      </c>
      <c r="AB269" s="204">
        <f>+BIDU_IS!AB138</f>
        <v>3229.0689999999991</v>
      </c>
      <c r="AC269" s="204">
        <f>+BIDU_IS!AC138</f>
        <v>2449.2800000000002</v>
      </c>
      <c r="AD269" s="204">
        <f>+BIDU_IS!AD138</f>
        <v>3662.0129999999976</v>
      </c>
      <c r="AE269" s="204">
        <f>+BIDU_IS!AE138</f>
        <v>2841.0689999999981</v>
      </c>
      <c r="AF269" s="204">
        <f>+BIDU_IS!AF138</f>
        <v>24711.810999999998</v>
      </c>
      <c r="AG269" s="204">
        <f>+BIDU_IS!AG138</f>
        <v>1986.8309999999992</v>
      </c>
      <c r="AH269" s="204">
        <f>+BIDU_IS!AH138</f>
        <v>2413.8230000000021</v>
      </c>
      <c r="AI269" s="204">
        <f ca="1">+BIDU_IS!AI138</f>
        <v>3102.3300000000027</v>
      </c>
      <c r="AJ269" s="204">
        <f ca="1">+BIDU_IS!AJ138</f>
        <v>4129.2849999999999</v>
      </c>
      <c r="AK269" s="204">
        <f ca="1">+BIDU_IS!AK138</f>
        <v>1776.6709999999989</v>
      </c>
      <c r="AL269" s="204">
        <f ca="1">+BIDU_IS!AL138</f>
        <v>4415</v>
      </c>
      <c r="AM269" s="204">
        <f ca="1">+BIDU_IS!AM138</f>
        <v>7949</v>
      </c>
      <c r="AN269" s="204">
        <f ca="1">+BIDU_IS!AN138</f>
        <v>4159</v>
      </c>
      <c r="AO269" s="204">
        <f ca="1">+BIDU_IS!AO138</f>
        <v>2955.5444555965278</v>
      </c>
      <c r="AP269" s="204">
        <f ca="1">+BIDU_IS!AP138</f>
        <v>4951.9544461750938</v>
      </c>
      <c r="AQ269" s="204">
        <f ca="1">+BIDU_IS!AQ138</f>
        <v>5576.115035267856</v>
      </c>
      <c r="AR269" s="204">
        <f ca="1">+BIDU_IS!AR138</f>
        <v>5255.9651579392712</v>
      </c>
      <c r="AS269" s="204">
        <f ca="1">+BIDU_IS!AS138</f>
        <v>4949.5651509404443</v>
      </c>
      <c r="AT269" s="204">
        <f ca="1">+BIDU_IS!AT138</f>
        <v>6546.6469792559874</v>
      </c>
      <c r="AU269" s="204">
        <f ca="1">+BIDU_IS!AU138</f>
        <v>7341.4782743370679</v>
      </c>
      <c r="AV269" s="204">
        <f ca="1">+BIDU_IS!AV138</f>
        <v>6869.6998108849384</v>
      </c>
      <c r="AW269" s="204">
        <f ca="1">+BIDU_IS!AW138</f>
        <v>6646.1164826032918</v>
      </c>
      <c r="AX269" s="204">
        <f ca="1">+BIDU_IS!AX138</f>
        <v>8584.4224840302359</v>
      </c>
      <c r="AY269" s="204">
        <f ca="1">+BIDU_IS!AY138</f>
        <v>9443.5372772292303</v>
      </c>
      <c r="AZ269" s="204">
        <f ca="1">+BIDU_IS!AZ138</f>
        <v>9618.5745231351739</v>
      </c>
    </row>
    <row r="270" spans="1:59">
      <c r="B270" s="1" t="s">
        <v>663</v>
      </c>
      <c r="G270" s="204">
        <f>+G121</f>
        <v>0</v>
      </c>
      <c r="H270" s="204">
        <f t="shared" ref="H270:N270" si="446">+H121</f>
        <v>-337.964</v>
      </c>
      <c r="I270" s="204">
        <f t="shared" si="446"/>
        <v>0</v>
      </c>
      <c r="J270" s="204">
        <f t="shared" si="446"/>
        <v>0</v>
      </c>
      <c r="K270" s="204">
        <f t="shared" si="446"/>
        <v>0</v>
      </c>
      <c r="L270" s="204">
        <f t="shared" si="446"/>
        <v>0</v>
      </c>
      <c r="M270" s="204">
        <f t="shared" si="446"/>
        <v>0</v>
      </c>
      <c r="N270" s="204">
        <f t="shared" si="446"/>
        <v>0</v>
      </c>
      <c r="V270" s="204">
        <f t="shared" ref="V270:AZ270" si="447">+V121</f>
        <v>0</v>
      </c>
      <c r="W270" s="204">
        <f t="shared" si="447"/>
        <v>0</v>
      </c>
      <c r="X270" s="204">
        <f t="shared" si="447"/>
        <v>0</v>
      </c>
      <c r="Y270" s="204">
        <f t="shared" si="447"/>
        <v>0</v>
      </c>
      <c r="Z270" s="204">
        <f t="shared" si="447"/>
        <v>0</v>
      </c>
      <c r="AA270" s="204">
        <f t="shared" si="447"/>
        <v>0</v>
      </c>
      <c r="AB270" s="204">
        <f t="shared" si="447"/>
        <v>0</v>
      </c>
      <c r="AC270" s="204">
        <f t="shared" si="447"/>
        <v>0</v>
      </c>
      <c r="AD270" s="204">
        <f t="shared" si="447"/>
        <v>0</v>
      </c>
      <c r="AE270" s="204">
        <f t="shared" si="447"/>
        <v>0</v>
      </c>
      <c r="AF270" s="204">
        <f t="shared" si="447"/>
        <v>0</v>
      </c>
      <c r="AG270" s="204">
        <f t="shared" si="447"/>
        <v>0</v>
      </c>
      <c r="AH270" s="204">
        <f t="shared" si="447"/>
        <v>0</v>
      </c>
      <c r="AI270" s="204">
        <f t="shared" si="447"/>
        <v>0</v>
      </c>
      <c r="AJ270" s="204">
        <f t="shared" si="447"/>
        <v>0</v>
      </c>
      <c r="AK270" s="204">
        <f t="shared" si="447"/>
        <v>0</v>
      </c>
      <c r="AL270" s="204">
        <f t="shared" si="447"/>
        <v>0</v>
      </c>
      <c r="AM270" s="204">
        <f t="shared" si="447"/>
        <v>0</v>
      </c>
      <c r="AN270" s="204">
        <f t="shared" si="447"/>
        <v>0</v>
      </c>
      <c r="AO270" s="204">
        <f t="shared" si="447"/>
        <v>0</v>
      </c>
      <c r="AP270" s="204">
        <f t="shared" si="447"/>
        <v>0</v>
      </c>
      <c r="AQ270" s="204">
        <f t="shared" si="447"/>
        <v>0</v>
      </c>
      <c r="AR270" s="204">
        <f t="shared" si="447"/>
        <v>0</v>
      </c>
      <c r="AS270" s="204">
        <f t="shared" si="447"/>
        <v>0</v>
      </c>
      <c r="AT270" s="204">
        <f t="shared" si="447"/>
        <v>0</v>
      </c>
      <c r="AU270" s="204">
        <f t="shared" si="447"/>
        <v>0</v>
      </c>
      <c r="AV270" s="204">
        <f t="shared" si="447"/>
        <v>0</v>
      </c>
      <c r="AW270" s="204">
        <f t="shared" si="447"/>
        <v>0</v>
      </c>
      <c r="AX270" s="204">
        <f t="shared" si="447"/>
        <v>0</v>
      </c>
      <c r="AY270" s="204">
        <f t="shared" si="447"/>
        <v>0</v>
      </c>
      <c r="AZ270" s="204">
        <f t="shared" si="447"/>
        <v>0</v>
      </c>
    </row>
    <row r="271" spans="1:59">
      <c r="B271" s="1" t="s">
        <v>664</v>
      </c>
      <c r="G271" s="194">
        <f ca="1">+G56+G57+G58-F56-F57-F58-G270-G269</f>
        <v>1819.028999999995</v>
      </c>
      <c r="H271" s="194">
        <f t="shared" ref="H271:N271" ca="1" si="448">+H56+H57+H58-G56-G57-G58-H270-H269</f>
        <v>-211.45999999998821</v>
      </c>
      <c r="I271" s="194">
        <f t="shared" ca="1" si="448"/>
        <v>-4480.9340000000047</v>
      </c>
      <c r="J271" s="194">
        <f t="shared" ca="1" si="448"/>
        <v>385.6100000000024</v>
      </c>
      <c r="K271" s="194">
        <f t="shared" ca="1" si="448"/>
        <v>4785.905999999999</v>
      </c>
      <c r="L271" s="194">
        <f t="shared" ca="1" si="448"/>
        <v>4263.7854560868363</v>
      </c>
      <c r="M271" s="194">
        <f t="shared" ca="1" si="448"/>
        <v>4948.3965919440561</v>
      </c>
      <c r="N271" s="194">
        <f t="shared" ca="1" si="448"/>
        <v>5645.6501038917631</v>
      </c>
      <c r="V271" s="194">
        <f>+V56+V57+V58-U56-U57-U58-V269-V270</f>
        <v>282.52299999999741</v>
      </c>
      <c r="W271" s="194">
        <f t="shared" ref="W271:AZ271" si="449">+W56+W57+W58-V56-V57-V58-W269-W270</f>
        <v>792.6759999999972</v>
      </c>
      <c r="X271" s="194">
        <f t="shared" si="449"/>
        <v>555.41799999999785</v>
      </c>
      <c r="Y271" s="194">
        <f t="shared" si="449"/>
        <v>-719.25399999999991</v>
      </c>
      <c r="Z271" s="194">
        <f t="shared" si="449"/>
        <v>625.72199999999384</v>
      </c>
      <c r="AA271" s="194">
        <f t="shared" si="449"/>
        <v>188.68100000001186</v>
      </c>
      <c r="AB271" s="194">
        <f t="shared" si="449"/>
        <v>-634.70899999999483</v>
      </c>
      <c r="AC271" s="194">
        <f t="shared" si="449"/>
        <v>1039.083000000001</v>
      </c>
      <c r="AD271" s="194">
        <f t="shared" si="449"/>
        <v>1922.4280000000003</v>
      </c>
      <c r="AE271" s="194">
        <f t="shared" si="449"/>
        <v>-6867.0630000000028</v>
      </c>
      <c r="AF271" s="194">
        <f t="shared" si="449"/>
        <v>-575.38199999999051</v>
      </c>
      <c r="AG271" s="194">
        <f t="shared" si="449"/>
        <v>60.856999999998607</v>
      </c>
      <c r="AH271" s="194">
        <f t="shared" si="449"/>
        <v>224.22800000000007</v>
      </c>
      <c r="AI271" s="194">
        <f t="shared" ca="1" si="449"/>
        <v>214.95599999999831</v>
      </c>
      <c r="AJ271" s="194">
        <f t="shared" ca="1" si="449"/>
        <v>-114.4310000000014</v>
      </c>
      <c r="AK271" s="194">
        <f t="shared" ca="1" si="449"/>
        <v>64.175000000005639</v>
      </c>
      <c r="AL271" s="194">
        <f t="shared" ca="1" si="449"/>
        <v>131.61199999999371</v>
      </c>
      <c r="AM271" s="194">
        <f t="shared" ca="1" si="449"/>
        <v>2397</v>
      </c>
      <c r="AN271" s="194">
        <f t="shared" ca="1" si="449"/>
        <v>2180</v>
      </c>
      <c r="AO271" s="194">
        <f t="shared" ca="1" si="449"/>
        <v>874.77163337202546</v>
      </c>
      <c r="AP271" s="194">
        <f t="shared" ca="1" si="449"/>
        <v>1047.1993545637361</v>
      </c>
      <c r="AQ271" s="194">
        <f t="shared" ca="1" si="449"/>
        <v>1143.6538768474529</v>
      </c>
      <c r="AR271" s="194">
        <f t="shared" ca="1" si="449"/>
        <v>1198.1605913036283</v>
      </c>
      <c r="AS271" s="194">
        <f t="shared" ca="1" si="449"/>
        <v>1052.7703861632735</v>
      </c>
      <c r="AT271" s="194">
        <f t="shared" ca="1" si="449"/>
        <v>1214.1066005405228</v>
      </c>
      <c r="AU271" s="194">
        <f t="shared" ca="1" si="449"/>
        <v>1328.9482780275639</v>
      </c>
      <c r="AV271" s="194">
        <f t="shared" ca="1" si="449"/>
        <v>1352.5713272126577</v>
      </c>
      <c r="AW271" s="194">
        <f t="shared" ca="1" si="449"/>
        <v>1210.9902196555477</v>
      </c>
      <c r="AX271" s="194">
        <f t="shared" ca="1" si="449"/>
        <v>1373.3595470988494</v>
      </c>
      <c r="AY271" s="194">
        <f t="shared" ca="1" si="449"/>
        <v>1494.015100386825</v>
      </c>
      <c r="AZ271" s="194">
        <f t="shared" ca="1" si="449"/>
        <v>1567.2852367505275</v>
      </c>
    </row>
    <row r="272" spans="1:59" s="201" customFormat="1">
      <c r="A272" s="202"/>
      <c r="B272" s="202" t="s">
        <v>665</v>
      </c>
      <c r="C272" s="202"/>
      <c r="D272" s="202"/>
      <c r="E272" s="202"/>
      <c r="F272" s="204">
        <f ca="1">+F55+F56+F57+F58</f>
        <v>26055.229000000003</v>
      </c>
      <c r="G272" s="204">
        <f ca="1">SUM(G267:G271)</f>
        <v>38424.914999999994</v>
      </c>
      <c r="H272" s="204">
        <f t="shared" ref="H272:N272" ca="1" si="450">SUM(H267:H271)</f>
        <v>51072.423999999999</v>
      </c>
      <c r="I272" s="204">
        <f t="shared" ca="1" si="450"/>
        <v>80255.663</v>
      </c>
      <c r="J272" s="204">
        <f t="shared" ca="1" si="450"/>
        <v>92273.542000000001</v>
      </c>
      <c r="K272" s="204">
        <f t="shared" ca="1" si="450"/>
        <v>115346</v>
      </c>
      <c r="L272" s="204">
        <f t="shared" ca="1" si="450"/>
        <v>138349.36455106558</v>
      </c>
      <c r="M272" s="204">
        <f t="shared" ca="1" si="450"/>
        <v>169005.15135842806</v>
      </c>
      <c r="N272" s="204">
        <f t="shared" ca="1" si="450"/>
        <v>208943.45222931777</v>
      </c>
      <c r="O272" s="202"/>
      <c r="P272" s="202"/>
      <c r="Q272" s="202"/>
      <c r="R272" s="202"/>
      <c r="S272" s="202"/>
      <c r="T272" s="202"/>
      <c r="U272" s="205">
        <f>+U55+U56+U57+U58</f>
        <v>28318.165000000001</v>
      </c>
      <c r="V272" s="205">
        <f>SUM(V267:V271)</f>
        <v>31244.576999999997</v>
      </c>
      <c r="W272" s="205">
        <f t="shared" ref="W272:AZ272" si="451">SUM(W267:W271)</f>
        <v>35085.233999999997</v>
      </c>
      <c r="X272" s="205">
        <f t="shared" si="451"/>
        <v>38424.914999999994</v>
      </c>
      <c r="Y272" s="205">
        <f t="shared" si="451"/>
        <v>40240.852999999996</v>
      </c>
      <c r="Z272" s="205">
        <f t="shared" si="451"/>
        <v>44413.270999999993</v>
      </c>
      <c r="AA272" s="205">
        <f t="shared" si="451"/>
        <v>48478.064000000006</v>
      </c>
      <c r="AB272" s="205">
        <f t="shared" si="451"/>
        <v>51072.424000000006</v>
      </c>
      <c r="AC272" s="205">
        <f t="shared" si="451"/>
        <v>54560.787000000004</v>
      </c>
      <c r="AD272" s="205">
        <f t="shared" si="451"/>
        <v>60145.228000000003</v>
      </c>
      <c r="AE272" s="205">
        <f t="shared" si="451"/>
        <v>56119.233999999997</v>
      </c>
      <c r="AF272" s="205">
        <f t="shared" si="451"/>
        <v>80255.663</v>
      </c>
      <c r="AG272" s="205">
        <f t="shared" si="451"/>
        <v>82303.35100000001</v>
      </c>
      <c r="AH272" s="205">
        <f t="shared" si="451"/>
        <v>84941.402000000016</v>
      </c>
      <c r="AI272" s="205">
        <f t="shared" ca="1" si="451"/>
        <v>88258.688000000024</v>
      </c>
      <c r="AJ272" s="205">
        <f t="shared" ca="1" si="451"/>
        <v>92273.54200000003</v>
      </c>
      <c r="AK272" s="205">
        <f t="shared" ca="1" si="451"/>
        <v>94114.388000000035</v>
      </c>
      <c r="AL272" s="205">
        <f t="shared" ca="1" si="451"/>
        <v>98661.000000000029</v>
      </c>
      <c r="AM272" s="205">
        <f t="shared" ca="1" si="451"/>
        <v>109007.00000000003</v>
      </c>
      <c r="AN272" s="205">
        <f t="shared" ca="1" si="451"/>
        <v>115346.00000000003</v>
      </c>
      <c r="AO272" s="205">
        <f t="shared" ca="1" si="451"/>
        <v>119176.31608896858</v>
      </c>
      <c r="AP272" s="205">
        <f t="shared" ca="1" si="451"/>
        <v>125175.46988970741</v>
      </c>
      <c r="AQ272" s="205">
        <f t="shared" ca="1" si="451"/>
        <v>131895.23880182271</v>
      </c>
      <c r="AR272" s="205">
        <f t="shared" ca="1" si="451"/>
        <v>138349.36455106561</v>
      </c>
      <c r="AS272" s="205">
        <f t="shared" ca="1" si="451"/>
        <v>144351.70008816931</v>
      </c>
      <c r="AT272" s="205">
        <f t="shared" ca="1" si="451"/>
        <v>152112.4536679658</v>
      </c>
      <c r="AU272" s="205">
        <f t="shared" ca="1" si="451"/>
        <v>160782.88022033044</v>
      </c>
      <c r="AV272" s="205">
        <f t="shared" ca="1" si="451"/>
        <v>169005.15135842803</v>
      </c>
      <c r="AW272" s="205">
        <f t="shared" ca="1" si="451"/>
        <v>176862.25806068687</v>
      </c>
      <c r="AX272" s="205">
        <f t="shared" ca="1" si="451"/>
        <v>186820.04009181596</v>
      </c>
      <c r="AY272" s="205">
        <f t="shared" ca="1" si="451"/>
        <v>197757.59246943201</v>
      </c>
      <c r="AZ272" s="205">
        <f t="shared" ca="1" si="451"/>
        <v>208943.45222931771</v>
      </c>
      <c r="BB272"/>
      <c r="BC272"/>
      <c r="BD272"/>
      <c r="BE272"/>
      <c r="BF272"/>
      <c r="BG272"/>
    </row>
    <row r="273" spans="1:59" s="201" customFormat="1">
      <c r="A273" s="202"/>
      <c r="B273" s="190" t="s">
        <v>220</v>
      </c>
      <c r="C273" s="202"/>
      <c r="D273" s="202"/>
      <c r="E273" s="202"/>
      <c r="F273" s="193">
        <f t="shared" ref="F273:N273" ca="1" si="452">+ROUND(F272-F58-F57-F56-F55,0)</f>
        <v>0</v>
      </c>
      <c r="G273" s="193">
        <f t="shared" ca="1" si="452"/>
        <v>0</v>
      </c>
      <c r="H273" s="193">
        <f t="shared" ca="1" si="452"/>
        <v>0</v>
      </c>
      <c r="I273" s="193">
        <f t="shared" ca="1" si="452"/>
        <v>0</v>
      </c>
      <c r="J273" s="193">
        <f t="shared" ca="1" si="452"/>
        <v>0</v>
      </c>
      <c r="K273" s="193">
        <f t="shared" ca="1" si="452"/>
        <v>0</v>
      </c>
      <c r="L273" s="193">
        <f t="shared" ca="1" si="452"/>
        <v>0</v>
      </c>
      <c r="M273" s="193">
        <f t="shared" ca="1" si="452"/>
        <v>0</v>
      </c>
      <c r="N273" s="193">
        <f t="shared" ca="1" si="452"/>
        <v>0</v>
      </c>
      <c r="O273" s="202"/>
      <c r="P273" s="202"/>
      <c r="Q273" s="202"/>
      <c r="R273" s="202"/>
      <c r="S273" s="202"/>
      <c r="T273" s="193"/>
      <c r="U273" s="193">
        <f>+ROUND(U272-U58-U57-U56-U55,0)</f>
        <v>0</v>
      </c>
      <c r="V273" s="193">
        <f>+ROUND(V272-V58-V57-V56-V55,0)</f>
        <v>0</v>
      </c>
      <c r="W273" s="193">
        <f t="shared" ref="W273:AZ273" si="453">+ROUND(W272-W58-W57-W56-W55,0)</f>
        <v>0</v>
      </c>
      <c r="X273" s="193">
        <f t="shared" si="453"/>
        <v>0</v>
      </c>
      <c r="Y273" s="193">
        <f t="shared" si="453"/>
        <v>0</v>
      </c>
      <c r="Z273" s="193">
        <f t="shared" si="453"/>
        <v>0</v>
      </c>
      <c r="AA273" s="193">
        <f t="shared" si="453"/>
        <v>0</v>
      </c>
      <c r="AB273" s="193">
        <f t="shared" si="453"/>
        <v>0</v>
      </c>
      <c r="AC273" s="193">
        <f t="shared" si="453"/>
        <v>0</v>
      </c>
      <c r="AD273" s="193">
        <f t="shared" si="453"/>
        <v>0</v>
      </c>
      <c r="AE273" s="193">
        <f t="shared" si="453"/>
        <v>0</v>
      </c>
      <c r="AF273" s="193">
        <f t="shared" si="453"/>
        <v>0</v>
      </c>
      <c r="AG273" s="193">
        <f t="shared" si="453"/>
        <v>0</v>
      </c>
      <c r="AH273" s="193">
        <f t="shared" si="453"/>
        <v>0</v>
      </c>
      <c r="AI273" s="193">
        <f t="shared" ca="1" si="453"/>
        <v>0</v>
      </c>
      <c r="AJ273" s="193">
        <f t="shared" ca="1" si="453"/>
        <v>0</v>
      </c>
      <c r="AK273" s="193">
        <f t="shared" ca="1" si="453"/>
        <v>0</v>
      </c>
      <c r="AL273" s="193">
        <f t="shared" ca="1" si="453"/>
        <v>0</v>
      </c>
      <c r="AM273" s="193">
        <f t="shared" ca="1" si="453"/>
        <v>0</v>
      </c>
      <c r="AN273" s="193">
        <f t="shared" ca="1" si="453"/>
        <v>0</v>
      </c>
      <c r="AO273" s="193">
        <f t="shared" ca="1" si="453"/>
        <v>0</v>
      </c>
      <c r="AP273" s="193">
        <f t="shared" ca="1" si="453"/>
        <v>0</v>
      </c>
      <c r="AQ273" s="193">
        <f t="shared" ca="1" si="453"/>
        <v>0</v>
      </c>
      <c r="AR273" s="193">
        <f t="shared" ca="1" si="453"/>
        <v>0</v>
      </c>
      <c r="AS273" s="193">
        <f t="shared" ca="1" si="453"/>
        <v>0</v>
      </c>
      <c r="AT273" s="193">
        <f t="shared" ca="1" si="453"/>
        <v>0</v>
      </c>
      <c r="AU273" s="193">
        <f t="shared" ca="1" si="453"/>
        <v>0</v>
      </c>
      <c r="AV273" s="193">
        <f t="shared" ca="1" si="453"/>
        <v>0</v>
      </c>
      <c r="AW273" s="193">
        <f t="shared" ca="1" si="453"/>
        <v>0</v>
      </c>
      <c r="AX273" s="193">
        <f t="shared" ca="1" si="453"/>
        <v>0</v>
      </c>
      <c r="AY273" s="193">
        <f t="shared" ca="1" si="453"/>
        <v>0</v>
      </c>
      <c r="AZ273" s="193">
        <f t="shared" ca="1" si="453"/>
        <v>0</v>
      </c>
      <c r="BB273"/>
      <c r="BC273"/>
      <c r="BD273"/>
      <c r="BE273"/>
      <c r="BF273"/>
      <c r="BG273"/>
    </row>
    <row r="274" spans="1:59" s="201" customFormat="1">
      <c r="A274" s="202"/>
      <c r="B274" s="202"/>
      <c r="C274" s="202"/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202"/>
      <c r="V274" s="202"/>
      <c r="W274" s="202"/>
      <c r="X274" s="202"/>
      <c r="Y274" s="202"/>
      <c r="Z274" s="202"/>
      <c r="AA274" s="202"/>
      <c r="AB274" s="202"/>
      <c r="AC274" s="202"/>
      <c r="AD274" s="202"/>
      <c r="AE274" s="202"/>
      <c r="AF274" s="202"/>
      <c r="AG274" s="202"/>
      <c r="AH274" s="202"/>
      <c r="AI274" s="202"/>
      <c r="AJ274" s="202"/>
      <c r="AK274" s="202"/>
      <c r="AL274" s="202"/>
      <c r="AM274" s="202"/>
      <c r="AN274" s="202"/>
      <c r="AO274" s="202"/>
      <c r="AP274" s="202"/>
      <c r="AQ274" s="202"/>
      <c r="AR274" s="202"/>
      <c r="AS274" s="202"/>
      <c r="AT274" s="202"/>
      <c r="AU274" s="202"/>
      <c r="AV274" s="202"/>
      <c r="AW274" s="202"/>
      <c r="AX274" s="202"/>
      <c r="AY274" s="202"/>
      <c r="AZ274" s="202"/>
      <c r="BB274"/>
      <c r="BC274"/>
      <c r="BD274"/>
      <c r="BE274"/>
      <c r="BF274"/>
      <c r="BG274"/>
    </row>
    <row r="275" spans="1:59" s="201" customFormat="1">
      <c r="A275" s="202"/>
      <c r="B275" s="202"/>
      <c r="C275" s="202"/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202"/>
      <c r="V275" s="202"/>
      <c r="W275" s="202"/>
      <c r="X275" s="202"/>
      <c r="Y275" s="202"/>
      <c r="Z275" s="202"/>
      <c r="AA275" s="202"/>
      <c r="AB275" s="202"/>
      <c r="AC275" s="202"/>
      <c r="AD275" s="202"/>
      <c r="AE275" s="202"/>
      <c r="AF275" s="202"/>
      <c r="AG275" s="202"/>
      <c r="AH275" s="202"/>
      <c r="AI275" s="202"/>
      <c r="AJ275" s="202"/>
      <c r="AK275" s="202"/>
      <c r="AL275" s="202"/>
      <c r="AM275" s="202"/>
      <c r="AN275" s="202"/>
      <c r="AO275" s="202"/>
      <c r="AP275" s="202"/>
      <c r="AQ275" s="202"/>
      <c r="AR275" s="202"/>
      <c r="AS275" s="202"/>
      <c r="AT275" s="202"/>
      <c r="AU275" s="202"/>
      <c r="AV275" s="202"/>
      <c r="AW275" s="202"/>
      <c r="AX275" s="202"/>
      <c r="AY275" s="202"/>
      <c r="AZ275" s="202"/>
      <c r="BB275"/>
      <c r="BC275"/>
      <c r="BD275"/>
      <c r="BE275"/>
      <c r="BF275"/>
      <c r="BG275"/>
    </row>
    <row r="276" spans="1:59" customFormat="1"/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/>
  </sheetViews>
  <sheetFormatPr defaultRowHeight="11.25"/>
  <sheetData>
    <row r="1" spans="1:12">
      <c r="A1" t="s">
        <v>699</v>
      </c>
    </row>
    <row r="2" spans="1:12">
      <c r="A2" s="187" t="s">
        <v>696</v>
      </c>
      <c r="B2" s="187" t="s">
        <v>700</v>
      </c>
      <c r="C2" s="187" t="s">
        <v>697</v>
      </c>
      <c r="D2" s="187" t="s">
        <v>673</v>
      </c>
      <c r="E2" s="187" t="s">
        <v>671</v>
      </c>
      <c r="F2" s="187" t="s">
        <v>672</v>
      </c>
      <c r="G2" s="187" t="s">
        <v>669</v>
      </c>
      <c r="H2" s="187" t="s">
        <v>672</v>
      </c>
      <c r="I2" s="187" t="s">
        <v>670</v>
      </c>
      <c r="J2" s="187" t="s">
        <v>672</v>
      </c>
      <c r="K2" s="187" t="s">
        <v>698</v>
      </c>
      <c r="L2" s="187" t="s">
        <v>657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236"/>
  <sheetViews>
    <sheetView zoomScale="104" zoomScaleNormal="115" workbookViewId="0">
      <pane xSplit="2" ySplit="4" topLeftCell="F71" activePane="bottomRight" state="frozen"/>
      <selection activeCell="BB6" sqref="BB6"/>
      <selection pane="topRight" activeCell="BB6" sqref="BB6"/>
      <selection pane="bottomLeft" activeCell="BB6" sqref="BB6"/>
      <selection pane="bottomRight" activeCell="F71" sqref="F71"/>
    </sheetView>
  </sheetViews>
  <sheetFormatPr defaultColWidth="12.6640625" defaultRowHeight="11.25" outlineLevelRow="1" outlineLevelCol="1"/>
  <cols>
    <col min="1" max="1" width="12.6640625" style="1"/>
    <col min="2" max="2" width="59.83203125" style="1" customWidth="1"/>
    <col min="3" max="4" width="12.6640625" style="1" hidden="1" customWidth="1" outlineLevel="1"/>
    <col min="5" max="5" width="13.1640625" style="1" hidden="1" customWidth="1" outlineLevel="1"/>
    <col min="6" max="6" width="13.1640625" style="1" customWidth="1" collapsed="1"/>
    <col min="7" max="52" width="13.1640625" style="1" customWidth="1"/>
    <col min="53" max="16384" width="12.6640625" style="1"/>
  </cols>
  <sheetData>
    <row r="1" spans="1:52">
      <c r="D1" s="48" t="s">
        <v>140</v>
      </c>
      <c r="E1" s="48"/>
      <c r="F1" s="48">
        <v>1</v>
      </c>
      <c r="G1" s="49">
        <f t="shared" ref="G1:N1" si="0">F1+4</f>
        <v>5</v>
      </c>
      <c r="H1" s="49">
        <f t="shared" si="0"/>
        <v>9</v>
      </c>
      <c r="I1" s="49">
        <f t="shared" si="0"/>
        <v>13</v>
      </c>
      <c r="J1" s="49">
        <f t="shared" si="0"/>
        <v>17</v>
      </c>
      <c r="K1" s="49">
        <f t="shared" si="0"/>
        <v>21</v>
      </c>
      <c r="L1" s="49">
        <f t="shared" si="0"/>
        <v>25</v>
      </c>
      <c r="M1" s="49">
        <f t="shared" si="0"/>
        <v>29</v>
      </c>
      <c r="N1" s="49">
        <f t="shared" si="0"/>
        <v>33</v>
      </c>
    </row>
    <row r="2" spans="1:52">
      <c r="A2" s="47"/>
      <c r="B2" s="19" t="s">
        <v>400</v>
      </c>
      <c r="D2" s="48" t="s">
        <v>138</v>
      </c>
      <c r="F2" s="48">
        <f t="shared" ref="F2:N2" si="1">F1+3</f>
        <v>4</v>
      </c>
      <c r="G2" s="48">
        <f t="shared" si="1"/>
        <v>8</v>
      </c>
      <c r="H2" s="48">
        <f t="shared" si="1"/>
        <v>12</v>
      </c>
      <c r="I2" s="48">
        <f t="shared" si="1"/>
        <v>16</v>
      </c>
      <c r="J2" s="48">
        <f t="shared" si="1"/>
        <v>20</v>
      </c>
      <c r="K2" s="48">
        <f t="shared" si="1"/>
        <v>24</v>
      </c>
      <c r="L2" s="48">
        <f t="shared" si="1"/>
        <v>28</v>
      </c>
      <c r="M2" s="48">
        <f t="shared" si="1"/>
        <v>32</v>
      </c>
      <c r="N2" s="48">
        <f t="shared" si="1"/>
        <v>36</v>
      </c>
    </row>
    <row r="3" spans="1:52">
      <c r="A3" s="47"/>
      <c r="B3" s="18" t="s">
        <v>88</v>
      </c>
    </row>
    <row r="4" spans="1:52">
      <c r="C4" s="1" t="s">
        <v>5</v>
      </c>
      <c r="D4" s="1" t="s">
        <v>4</v>
      </c>
      <c r="E4" s="106"/>
      <c r="F4" s="46">
        <v>2012</v>
      </c>
      <c r="G4" s="46">
        <f t="shared" ref="G4:N4" si="2">+F4+1</f>
        <v>2013</v>
      </c>
      <c r="H4" s="46">
        <f t="shared" si="2"/>
        <v>2014</v>
      </c>
      <c r="I4" s="46">
        <f t="shared" si="2"/>
        <v>2015</v>
      </c>
      <c r="J4" s="46">
        <f t="shared" si="2"/>
        <v>2016</v>
      </c>
      <c r="K4" s="46">
        <f t="shared" si="2"/>
        <v>2017</v>
      </c>
      <c r="L4" s="45">
        <f t="shared" si="2"/>
        <v>2018</v>
      </c>
      <c r="M4" s="45">
        <f t="shared" si="2"/>
        <v>2019</v>
      </c>
      <c r="N4" s="45">
        <f t="shared" si="2"/>
        <v>2020</v>
      </c>
      <c r="Q4" s="16">
        <v>12</v>
      </c>
      <c r="R4" s="15">
        <f>Q4</f>
        <v>12</v>
      </c>
      <c r="S4" s="14">
        <f>R4</f>
        <v>12</v>
      </c>
      <c r="T4" s="17">
        <f>S4</f>
        <v>12</v>
      </c>
      <c r="U4" s="16">
        <f t="shared" ref="U4:AZ4" si="3">Q4+1</f>
        <v>13</v>
      </c>
      <c r="V4" s="15">
        <f t="shared" si="3"/>
        <v>13</v>
      </c>
      <c r="W4" s="14">
        <f t="shared" si="3"/>
        <v>13</v>
      </c>
      <c r="X4" s="17">
        <f t="shared" si="3"/>
        <v>13</v>
      </c>
      <c r="Y4" s="16">
        <f t="shared" si="3"/>
        <v>14</v>
      </c>
      <c r="Z4" s="15">
        <f t="shared" si="3"/>
        <v>14</v>
      </c>
      <c r="AA4" s="14">
        <f t="shared" si="3"/>
        <v>14</v>
      </c>
      <c r="AB4" s="17">
        <f t="shared" si="3"/>
        <v>14</v>
      </c>
      <c r="AC4" s="16">
        <f t="shared" si="3"/>
        <v>15</v>
      </c>
      <c r="AD4" s="15">
        <f t="shared" si="3"/>
        <v>15</v>
      </c>
      <c r="AE4" s="14">
        <f t="shared" si="3"/>
        <v>15</v>
      </c>
      <c r="AF4" s="17">
        <f t="shared" si="3"/>
        <v>15</v>
      </c>
      <c r="AG4" s="16">
        <f t="shared" si="3"/>
        <v>16</v>
      </c>
      <c r="AH4" s="15">
        <f t="shared" si="3"/>
        <v>16</v>
      </c>
      <c r="AI4" s="14">
        <f t="shared" si="3"/>
        <v>16</v>
      </c>
      <c r="AJ4" s="17">
        <f t="shared" si="3"/>
        <v>16</v>
      </c>
      <c r="AK4" s="16">
        <f t="shared" si="3"/>
        <v>17</v>
      </c>
      <c r="AL4" s="15">
        <f t="shared" si="3"/>
        <v>17</v>
      </c>
      <c r="AM4" s="14">
        <f t="shared" si="3"/>
        <v>17</v>
      </c>
      <c r="AN4" s="17">
        <f t="shared" si="3"/>
        <v>17</v>
      </c>
      <c r="AO4" s="44">
        <f t="shared" si="3"/>
        <v>18</v>
      </c>
      <c r="AP4" s="43">
        <f t="shared" si="3"/>
        <v>18</v>
      </c>
      <c r="AQ4" s="42">
        <f t="shared" si="3"/>
        <v>18</v>
      </c>
      <c r="AR4" s="41">
        <f t="shared" si="3"/>
        <v>18</v>
      </c>
      <c r="AS4" s="44">
        <f t="shared" si="3"/>
        <v>19</v>
      </c>
      <c r="AT4" s="43">
        <f t="shared" si="3"/>
        <v>19</v>
      </c>
      <c r="AU4" s="42">
        <f t="shared" si="3"/>
        <v>19</v>
      </c>
      <c r="AV4" s="41">
        <f t="shared" si="3"/>
        <v>19</v>
      </c>
      <c r="AW4" s="44">
        <f t="shared" si="3"/>
        <v>20</v>
      </c>
      <c r="AX4" s="43">
        <f t="shared" si="3"/>
        <v>20</v>
      </c>
      <c r="AY4" s="42">
        <f t="shared" si="3"/>
        <v>20</v>
      </c>
      <c r="AZ4" s="41">
        <f t="shared" si="3"/>
        <v>20</v>
      </c>
    </row>
    <row r="5" spans="1:52" hidden="1" outlineLevel="1">
      <c r="B5" s="6" t="s">
        <v>387</v>
      </c>
      <c r="C5" s="6"/>
      <c r="D5" s="6"/>
      <c r="E5" s="105"/>
      <c r="F5" s="105"/>
      <c r="G5" s="105"/>
      <c r="H5" s="105"/>
      <c r="I5" s="105"/>
      <c r="J5" s="105"/>
      <c r="K5" s="104"/>
      <c r="L5" s="104"/>
      <c r="M5" s="104"/>
      <c r="N5" s="104"/>
      <c r="O5" s="6"/>
      <c r="P5" s="6"/>
      <c r="Q5" s="103"/>
      <c r="R5" s="102"/>
      <c r="S5" s="101"/>
      <c r="T5" s="100"/>
      <c r="U5" s="103"/>
      <c r="V5" s="102"/>
      <c r="W5" s="101"/>
      <c r="X5" s="100"/>
      <c r="Y5" s="103"/>
      <c r="Z5" s="102"/>
      <c r="AA5" s="101"/>
      <c r="AB5" s="100"/>
      <c r="AC5" s="103"/>
      <c r="AD5" s="102"/>
      <c r="AE5" s="101"/>
      <c r="AF5" s="100"/>
      <c r="AG5" s="103"/>
      <c r="AH5" s="102"/>
      <c r="AI5" s="101"/>
      <c r="AJ5" s="100"/>
      <c r="AK5" s="99"/>
      <c r="AL5" s="98"/>
      <c r="AM5" s="97"/>
      <c r="AN5" s="96"/>
      <c r="AO5" s="99"/>
      <c r="AP5" s="98"/>
      <c r="AQ5" s="97"/>
      <c r="AR5" s="96"/>
      <c r="AS5" s="99"/>
      <c r="AT5" s="98"/>
      <c r="AU5" s="97"/>
      <c r="AV5" s="96"/>
      <c r="AW5" s="96"/>
      <c r="AX5" s="96"/>
      <c r="AY5" s="96"/>
      <c r="AZ5" s="96"/>
    </row>
    <row r="6" spans="1:52" hidden="1" outlineLevel="1">
      <c r="B6" s="8" t="s">
        <v>82</v>
      </c>
      <c r="E6" s="106"/>
      <c r="F6" s="46"/>
      <c r="G6" s="46"/>
      <c r="H6" s="46"/>
      <c r="I6" s="46"/>
      <c r="J6" s="46"/>
      <c r="K6" s="46"/>
      <c r="L6" s="45"/>
      <c r="M6" s="45"/>
      <c r="N6" s="45"/>
      <c r="Q6" s="16"/>
      <c r="R6" s="15"/>
      <c r="S6" s="14"/>
      <c r="T6" s="17"/>
      <c r="U6" s="16"/>
      <c r="V6" s="15"/>
      <c r="W6" s="14"/>
      <c r="X6" s="17"/>
      <c r="Y6" s="16"/>
      <c r="Z6" s="15"/>
      <c r="AA6" s="14"/>
      <c r="AB6" s="17"/>
      <c r="AC6" s="16"/>
      <c r="AD6" s="15"/>
      <c r="AE6" s="14"/>
      <c r="AF6" s="17"/>
      <c r="AG6" s="16"/>
      <c r="AH6" s="15"/>
      <c r="AI6" s="14"/>
      <c r="AJ6" s="17"/>
      <c r="AK6" s="16"/>
      <c r="AL6" s="15"/>
      <c r="AM6" s="14"/>
      <c r="AN6" s="17"/>
      <c r="AO6" s="44"/>
      <c r="AP6" s="43"/>
      <c r="AQ6" s="42"/>
      <c r="AR6" s="41"/>
      <c r="AS6" s="44"/>
      <c r="AT6" s="43"/>
      <c r="AU6" s="42"/>
      <c r="AV6" s="41"/>
      <c r="AW6" s="41"/>
      <c r="AX6" s="41"/>
      <c r="AY6" s="41"/>
      <c r="AZ6" s="41"/>
    </row>
    <row r="7" spans="1:52" hidden="1" outlineLevel="1">
      <c r="B7" s="3" t="s">
        <v>407</v>
      </c>
      <c r="E7" s="106"/>
      <c r="F7" s="46"/>
      <c r="G7" s="58"/>
      <c r="H7" s="58"/>
      <c r="I7" s="58">
        <f t="shared" ref="I7:N7" si="4">I78</f>
        <v>996.68200000000002</v>
      </c>
      <c r="J7" s="58">
        <f t="shared" si="4"/>
        <v>3762.183</v>
      </c>
      <c r="K7" s="58">
        <f t="shared" si="4"/>
        <v>6536.0280000000002</v>
      </c>
      <c r="L7" s="58">
        <f t="shared" ca="1" si="4"/>
        <v>10915.234782045021</v>
      </c>
      <c r="M7" s="58">
        <f t="shared" ca="1" si="4"/>
        <v>13190.127015535158</v>
      </c>
      <c r="N7" s="58">
        <f t="shared" ca="1" si="4"/>
        <v>15528.412000985743</v>
      </c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>
        <f t="shared" ref="AI7:AZ7" si="5">AI78</f>
        <v>1168.433</v>
      </c>
      <c r="AJ7" s="58">
        <f t="shared" si="5"/>
        <v>1262.952</v>
      </c>
      <c r="AK7" s="58">
        <f t="shared" si="5"/>
        <v>1329.9760000000001</v>
      </c>
      <c r="AL7" s="58">
        <f t="shared" si="5"/>
        <v>1579.53</v>
      </c>
      <c r="AM7" s="58">
        <f t="shared" si="5"/>
        <v>1696.6969999999999</v>
      </c>
      <c r="AN7" s="58">
        <f t="shared" si="5"/>
        <v>1929.825</v>
      </c>
      <c r="AO7" s="58">
        <f t="shared" si="5"/>
        <v>2245.4265812647359</v>
      </c>
      <c r="AP7" s="58">
        <f t="shared" si="5"/>
        <v>2437.622387541242</v>
      </c>
      <c r="AQ7" s="58">
        <f t="shared" si="5"/>
        <v>3348.9166937539621</v>
      </c>
      <c r="AR7" s="58">
        <f t="shared" si="5"/>
        <v>2883.2691194850809</v>
      </c>
      <c r="AS7" s="58">
        <f t="shared" si="5"/>
        <v>2901.9699343344996</v>
      </c>
      <c r="AT7" s="58">
        <f t="shared" si="5"/>
        <v>2884.1422887085369</v>
      </c>
      <c r="AU7" s="58">
        <f t="shared" si="5"/>
        <v>3922.022286898778</v>
      </c>
      <c r="AV7" s="58">
        <f t="shared" si="5"/>
        <v>3481.992505593344</v>
      </c>
      <c r="AW7" s="58">
        <f t="shared" si="5"/>
        <v>3560.0909472151843</v>
      </c>
      <c r="AX7" s="58">
        <f t="shared" si="5"/>
        <v>3342.0056322533937</v>
      </c>
      <c r="AY7" s="58">
        <f t="shared" si="5"/>
        <v>4503.5889700173184</v>
      </c>
      <c r="AZ7" s="58">
        <f t="shared" si="5"/>
        <v>4122.7264514998451</v>
      </c>
    </row>
    <row r="8" spans="1:52" hidden="1" outlineLevel="1">
      <c r="B8" s="3" t="s">
        <v>408</v>
      </c>
      <c r="E8" s="106"/>
      <c r="F8" s="46"/>
      <c r="G8" s="58"/>
      <c r="H8" s="58"/>
      <c r="I8" s="58">
        <f t="shared" ref="I8:N8" si="6">I79</f>
        <v>3399.9349999999999</v>
      </c>
      <c r="J8" s="58">
        <f t="shared" si="6"/>
        <v>5650.366</v>
      </c>
      <c r="K8" s="58">
        <f t="shared" si="6"/>
        <v>8158.924</v>
      </c>
      <c r="L8" s="58">
        <f t="shared" ca="1" si="6"/>
        <v>10696.29486206006</v>
      </c>
      <c r="M8" s="58">
        <f t="shared" ca="1" si="6"/>
        <v>15232.921348608612</v>
      </c>
      <c r="N8" s="58">
        <f t="shared" ca="1" si="6"/>
        <v>21169.588845374641</v>
      </c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>
        <f t="shared" ref="AI8:AZ8" si="7">AI79</f>
        <v>1625.8019999999999</v>
      </c>
      <c r="AJ8" s="58">
        <f t="shared" si="7"/>
        <v>1340.261</v>
      </c>
      <c r="AK8" s="58">
        <f t="shared" si="7"/>
        <v>1473.4449999999999</v>
      </c>
      <c r="AL8" s="58">
        <f t="shared" si="7"/>
        <v>1908.453</v>
      </c>
      <c r="AM8" s="58">
        <f t="shared" si="7"/>
        <v>2634.1869999999999</v>
      </c>
      <c r="AN8" s="58">
        <f t="shared" si="7"/>
        <v>2142.8389999999999</v>
      </c>
      <c r="AO8" s="58">
        <f t="shared" si="7"/>
        <v>2202.0602628571432</v>
      </c>
      <c r="AP8" s="58">
        <f t="shared" si="7"/>
        <v>2596.6683435000004</v>
      </c>
      <c r="AQ8" s="58">
        <f t="shared" si="7"/>
        <v>2842.4142718766666</v>
      </c>
      <c r="AR8" s="58">
        <f t="shared" si="7"/>
        <v>3055.1519838262507</v>
      </c>
      <c r="AS8" s="58">
        <f t="shared" si="7"/>
        <v>3171.8105529555078</v>
      </c>
      <c r="AT8" s="58">
        <f t="shared" si="7"/>
        <v>3723.1964957914643</v>
      </c>
      <c r="AU8" s="58">
        <f t="shared" si="7"/>
        <v>4023.5367388196373</v>
      </c>
      <c r="AV8" s="58">
        <f t="shared" si="7"/>
        <v>4314.3775610420025</v>
      </c>
      <c r="AW8" s="58">
        <f t="shared" si="7"/>
        <v>4456.9248345520255</v>
      </c>
      <c r="AX8" s="58">
        <f t="shared" si="7"/>
        <v>5209.0197428555721</v>
      </c>
      <c r="AY8" s="58">
        <f t="shared" si="7"/>
        <v>5557.708941812275</v>
      </c>
      <c r="AZ8" s="58">
        <f t="shared" si="7"/>
        <v>5945.9353261547685</v>
      </c>
    </row>
    <row r="9" spans="1:52" hidden="1" outlineLevel="1">
      <c r="B9" s="3" t="s">
        <v>409</v>
      </c>
      <c r="E9" s="106"/>
      <c r="F9" s="46"/>
      <c r="G9" s="58"/>
      <c r="H9" s="58"/>
      <c r="I9" s="58">
        <f t="shared" ref="I9:N9" si="8">I80</f>
        <v>387.68700000000001</v>
      </c>
      <c r="J9" s="58">
        <f t="shared" si="8"/>
        <v>500.952</v>
      </c>
      <c r="K9" s="58">
        <f t="shared" si="8"/>
        <v>1191.816</v>
      </c>
      <c r="L9" s="58">
        <f t="shared" ca="1" si="8"/>
        <v>1752.625</v>
      </c>
      <c r="M9" s="58">
        <f t="shared" ca="1" si="8"/>
        <v>2218.6521947396877</v>
      </c>
      <c r="N9" s="58">
        <f t="shared" ca="1" si="8"/>
        <v>2699.4175796917543</v>
      </c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>
        <f t="shared" ref="AI9:AZ9" si="9">AI80</f>
        <v>118.58799999999999</v>
      </c>
      <c r="AJ9" s="58">
        <f t="shared" si="9"/>
        <v>117.83499999999999</v>
      </c>
      <c r="AK9" s="58">
        <f t="shared" si="9"/>
        <v>196.01599999999999</v>
      </c>
      <c r="AL9" s="58">
        <f t="shared" si="9"/>
        <v>486.26299999999998</v>
      </c>
      <c r="AM9" s="58">
        <f t="shared" si="9"/>
        <v>276.05200000000002</v>
      </c>
      <c r="AN9" s="58">
        <f t="shared" si="9"/>
        <v>233.48500000000001</v>
      </c>
      <c r="AO9" s="58">
        <f t="shared" si="9"/>
        <v>333.22719999999998</v>
      </c>
      <c r="AP9" s="58">
        <f t="shared" si="9"/>
        <v>729.39449999999999</v>
      </c>
      <c r="AQ9" s="58">
        <f t="shared" si="9"/>
        <v>386.47280000000001</v>
      </c>
      <c r="AR9" s="58">
        <f t="shared" si="9"/>
        <v>303.53050000000002</v>
      </c>
      <c r="AS9" s="58">
        <f t="shared" si="9"/>
        <v>428.19695199999995</v>
      </c>
      <c r="AT9" s="58">
        <f t="shared" si="9"/>
        <v>926.87806087500007</v>
      </c>
      <c r="AU9" s="58">
        <f t="shared" si="9"/>
        <v>485.87843507000002</v>
      </c>
      <c r="AV9" s="58">
        <f t="shared" si="9"/>
        <v>377.69874679468751</v>
      </c>
      <c r="AW9" s="58">
        <f t="shared" si="9"/>
        <v>527.59614368596067</v>
      </c>
      <c r="AX9" s="58">
        <f t="shared" si="9"/>
        <v>1131.2802247192315</v>
      </c>
      <c r="AY9" s="58">
        <f t="shared" si="9"/>
        <v>587.67054484311393</v>
      </c>
      <c r="AZ9" s="58">
        <f t="shared" si="9"/>
        <v>452.87066644344844</v>
      </c>
    </row>
    <row r="10" spans="1:52" hidden="1" outlineLevel="1">
      <c r="B10" s="3" t="s">
        <v>410</v>
      </c>
      <c r="E10" s="106"/>
      <c r="F10" s="46"/>
      <c r="G10" s="58"/>
      <c r="H10" s="58"/>
      <c r="I10" s="58">
        <f t="shared" ref="I10:N10" si="10">I81</f>
        <v>534.28</v>
      </c>
      <c r="J10" s="58">
        <f t="shared" si="10"/>
        <v>1323.9059999999999</v>
      </c>
      <c r="K10" s="58">
        <f t="shared" si="10"/>
        <v>1491.5820000000001</v>
      </c>
      <c r="L10" s="58">
        <f t="shared" ca="1" si="10"/>
        <v>1722.6344693528695</v>
      </c>
      <c r="M10" s="58">
        <f t="shared" ca="1" si="10"/>
        <v>1940.078598019054</v>
      </c>
      <c r="N10" s="58">
        <f t="shared" ca="1" si="10"/>
        <v>2139.6199254274134</v>
      </c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>
        <f t="shared" ref="AI10:AZ10" si="11">AI81</f>
        <v>344.83300000000003</v>
      </c>
      <c r="AJ10" s="58">
        <f t="shared" si="11"/>
        <v>434.06799999999998</v>
      </c>
      <c r="AK10" s="58">
        <f t="shared" si="11"/>
        <v>284.59699999999998</v>
      </c>
      <c r="AL10" s="58">
        <f t="shared" si="11"/>
        <v>352.07299999999998</v>
      </c>
      <c r="AM10" s="58">
        <f t="shared" si="11"/>
        <v>343.64699999999999</v>
      </c>
      <c r="AN10" s="58">
        <f t="shared" si="11"/>
        <v>511.26499999999999</v>
      </c>
      <c r="AO10" s="58">
        <f t="shared" si="11"/>
        <v>332.68055575290043</v>
      </c>
      <c r="AP10" s="58">
        <f t="shared" si="11"/>
        <v>408.58264570378952</v>
      </c>
      <c r="AQ10" s="58">
        <f t="shared" si="11"/>
        <v>396.04636520639656</v>
      </c>
      <c r="AR10" s="58">
        <f t="shared" si="11"/>
        <v>585.32490268978302</v>
      </c>
      <c r="AS10" s="58">
        <f t="shared" si="11"/>
        <v>378.46185333155461</v>
      </c>
      <c r="AT10" s="58">
        <f t="shared" si="11"/>
        <v>461.99776479243241</v>
      </c>
      <c r="AU10" s="58">
        <f t="shared" si="11"/>
        <v>445.2337714394734</v>
      </c>
      <c r="AV10" s="58">
        <f t="shared" si="11"/>
        <v>654.38520845559356</v>
      </c>
      <c r="AW10" s="58">
        <f t="shared" si="11"/>
        <v>420.8824929320254</v>
      </c>
      <c r="AX10" s="58">
        <f t="shared" si="11"/>
        <v>511.19249466748784</v>
      </c>
      <c r="AY10" s="58">
        <f t="shared" si="11"/>
        <v>490.27294467163154</v>
      </c>
      <c r="AZ10" s="58">
        <f t="shared" si="11"/>
        <v>717.27199315626865</v>
      </c>
    </row>
    <row r="11" spans="1:52" hidden="1" outlineLevel="1">
      <c r="B11" s="94" t="s">
        <v>87</v>
      </c>
      <c r="C11" s="93"/>
      <c r="D11" s="93"/>
      <c r="E11" s="92"/>
      <c r="F11" s="91"/>
      <c r="G11" s="91"/>
      <c r="H11" s="91"/>
      <c r="I11" s="91">
        <f t="shared" ref="I11:N11" si="12">SUM(I7:I10)</f>
        <v>5318.5839999999998</v>
      </c>
      <c r="J11" s="91">
        <f t="shared" si="12"/>
        <v>11237.406999999999</v>
      </c>
      <c r="K11" s="91">
        <f t="shared" si="12"/>
        <v>17378.350000000002</v>
      </c>
      <c r="L11" s="91">
        <f t="shared" ca="1" si="12"/>
        <v>25086.789113457951</v>
      </c>
      <c r="M11" s="91">
        <f t="shared" ca="1" si="12"/>
        <v>32581.779156902507</v>
      </c>
      <c r="N11" s="91">
        <f t="shared" ca="1" si="12"/>
        <v>41537.038351479554</v>
      </c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>
        <f t="shared" ref="AI11:AZ11" si="13">SUM(AI7:AI10)</f>
        <v>3257.6559999999999</v>
      </c>
      <c r="AJ11" s="91">
        <f t="shared" si="13"/>
        <v>3155.116</v>
      </c>
      <c r="AK11" s="91">
        <f t="shared" si="13"/>
        <v>3284.0340000000006</v>
      </c>
      <c r="AL11" s="91">
        <f t="shared" si="13"/>
        <v>4326.3190000000004</v>
      </c>
      <c r="AM11" s="91">
        <f t="shared" si="13"/>
        <v>4950.5829999999996</v>
      </c>
      <c r="AN11" s="91">
        <f t="shared" si="13"/>
        <v>4817.4139999999998</v>
      </c>
      <c r="AO11" s="91">
        <f t="shared" si="13"/>
        <v>5113.3945998747795</v>
      </c>
      <c r="AP11" s="91">
        <f t="shared" si="13"/>
        <v>6172.2678767450325</v>
      </c>
      <c r="AQ11" s="91">
        <f t="shared" si="13"/>
        <v>6973.8501308370242</v>
      </c>
      <c r="AR11" s="91">
        <f t="shared" si="13"/>
        <v>6827.2765060011143</v>
      </c>
      <c r="AS11" s="91">
        <f t="shared" si="13"/>
        <v>6880.4392926215614</v>
      </c>
      <c r="AT11" s="91">
        <f t="shared" si="13"/>
        <v>7996.2146101674343</v>
      </c>
      <c r="AU11" s="91">
        <f t="shared" si="13"/>
        <v>8876.671232227889</v>
      </c>
      <c r="AV11" s="91">
        <f t="shared" si="13"/>
        <v>8828.4540218856273</v>
      </c>
      <c r="AW11" s="91">
        <f t="shared" si="13"/>
        <v>8965.4944183851949</v>
      </c>
      <c r="AX11" s="91">
        <f t="shared" si="13"/>
        <v>10193.498094495686</v>
      </c>
      <c r="AY11" s="91">
        <f t="shared" si="13"/>
        <v>11139.241401344339</v>
      </c>
      <c r="AZ11" s="91">
        <f t="shared" si="13"/>
        <v>11238.80443725433</v>
      </c>
    </row>
    <row r="12" spans="1:52" hidden="1" outlineLevel="1">
      <c r="E12" s="106"/>
      <c r="F12" s="46"/>
      <c r="G12" s="46"/>
      <c r="H12" s="46"/>
      <c r="I12" s="46"/>
      <c r="J12" s="46"/>
      <c r="K12" s="46"/>
      <c r="L12" s="45"/>
      <c r="M12" s="45"/>
      <c r="N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1:52" hidden="1" outlineLevel="1">
      <c r="B13" s="1" t="s">
        <v>388</v>
      </c>
      <c r="E13" s="106"/>
      <c r="F13" s="46"/>
      <c r="G13" s="46"/>
      <c r="H13" s="46"/>
      <c r="I13" s="46"/>
      <c r="J13" s="46"/>
      <c r="K13" s="46"/>
      <c r="L13" s="45"/>
      <c r="M13" s="45"/>
      <c r="N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1:52" hidden="1" outlineLevel="1">
      <c r="B14" s="3" t="s">
        <v>407</v>
      </c>
      <c r="C14" s="58"/>
      <c r="D14" s="58"/>
      <c r="E14" s="58"/>
      <c r="F14" s="58"/>
      <c r="G14" s="4"/>
      <c r="H14" s="4"/>
      <c r="I14" s="4">
        <f t="shared" ref="I14:N17" si="14">I7/I$11</f>
        <v>0.18739611896700326</v>
      </c>
      <c r="J14" s="4">
        <f t="shared" si="14"/>
        <v>0.334791024299467</v>
      </c>
      <c r="K14" s="4">
        <f t="shared" si="14"/>
        <v>0.37610175879758434</v>
      </c>
      <c r="L14" s="4">
        <f t="shared" ca="1" si="14"/>
        <v>0.43509891730980754</v>
      </c>
      <c r="M14" s="4">
        <f t="shared" ca="1" si="14"/>
        <v>0.40483139217217384</v>
      </c>
      <c r="N14" s="4">
        <f t="shared" ca="1" si="14"/>
        <v>0.37384494940604307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>
        <f t="shared" ref="AI14:AZ17" si="15">AI7/AI$11</f>
        <v>0.35867292310790333</v>
      </c>
      <c r="AJ14" s="4">
        <f t="shared" si="15"/>
        <v>0.40028702589698761</v>
      </c>
      <c r="AK14" s="4">
        <f t="shared" si="15"/>
        <v>0.4049824088301156</v>
      </c>
      <c r="AL14" s="4">
        <f t="shared" si="15"/>
        <v>0.36509790424608074</v>
      </c>
      <c r="AM14" s="4">
        <f t="shared" si="15"/>
        <v>0.34272670511735687</v>
      </c>
      <c r="AN14" s="4">
        <f t="shared" si="15"/>
        <v>0.40059355496538185</v>
      </c>
      <c r="AO14" s="4">
        <f t="shared" si="15"/>
        <v>0.43912640368488742</v>
      </c>
      <c r="AP14" s="4">
        <f t="shared" si="15"/>
        <v>0.39493139899604146</v>
      </c>
      <c r="AQ14" s="4">
        <f t="shared" si="15"/>
        <v>0.4802105911260835</v>
      </c>
      <c r="AR14" s="4">
        <f t="shared" si="15"/>
        <v>0.42231614860636058</v>
      </c>
      <c r="AS14" s="4">
        <f t="shared" si="15"/>
        <v>0.4217710252085955</v>
      </c>
      <c r="AT14" s="4">
        <f t="shared" si="15"/>
        <v>0.36068845438956337</v>
      </c>
      <c r="AU14" s="4">
        <f t="shared" si="15"/>
        <v>0.4418348031928202</v>
      </c>
      <c r="AV14" s="4">
        <f t="shared" si="15"/>
        <v>0.39440569061825864</v>
      </c>
      <c r="AW14" s="4">
        <f t="shared" si="15"/>
        <v>0.39708807803333662</v>
      </c>
      <c r="AX14" s="4">
        <f t="shared" si="15"/>
        <v>0.32785660047928195</v>
      </c>
      <c r="AY14" s="4">
        <f t="shared" si="15"/>
        <v>0.40429943186919376</v>
      </c>
      <c r="AZ14" s="4">
        <f t="shared" si="15"/>
        <v>0.3668296280549071</v>
      </c>
    </row>
    <row r="15" spans="1:52" hidden="1" outlineLevel="1">
      <c r="B15" s="3" t="s">
        <v>408</v>
      </c>
      <c r="C15" s="58"/>
      <c r="D15" s="58"/>
      <c r="E15" s="58"/>
      <c r="F15" s="58"/>
      <c r="G15" s="4"/>
      <c r="H15" s="4"/>
      <c r="I15" s="4">
        <f t="shared" si="14"/>
        <v>0.63925567406663131</v>
      </c>
      <c r="J15" s="4">
        <f t="shared" si="14"/>
        <v>0.50281759840148177</v>
      </c>
      <c r="K15" s="4">
        <f t="shared" si="14"/>
        <v>0.46948783975463715</v>
      </c>
      <c r="L15" s="4">
        <f t="shared" ca="1" si="14"/>
        <v>0.42637161789357775</v>
      </c>
      <c r="M15" s="4">
        <f t="shared" ca="1" si="14"/>
        <v>0.46752883798187217</v>
      </c>
      <c r="N15" s="4">
        <f t="shared" ca="1" si="14"/>
        <v>0.50965571175877011</v>
      </c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>
        <f t="shared" si="15"/>
        <v>0.49907111125299908</v>
      </c>
      <c r="AJ15" s="4">
        <f t="shared" si="15"/>
        <v>0.42478977001162554</v>
      </c>
      <c r="AK15" s="4">
        <f t="shared" si="15"/>
        <v>0.4486692281505002</v>
      </c>
      <c r="AL15" s="4">
        <f t="shared" si="15"/>
        <v>0.44112627848293195</v>
      </c>
      <c r="AM15" s="4">
        <f t="shared" si="15"/>
        <v>0.53209632077676505</v>
      </c>
      <c r="AN15" s="4">
        <f t="shared" si="15"/>
        <v>0.44481105422950989</v>
      </c>
      <c r="AO15" s="4">
        <f t="shared" si="15"/>
        <v>0.4306454782330057</v>
      </c>
      <c r="AP15" s="4">
        <f t="shared" si="15"/>
        <v>0.42069923006474613</v>
      </c>
      <c r="AQ15" s="4">
        <f t="shared" si="15"/>
        <v>0.40758178316853372</v>
      </c>
      <c r="AR15" s="4">
        <f t="shared" si="15"/>
        <v>0.44749205355031391</v>
      </c>
      <c r="AS15" s="4">
        <f t="shared" si="15"/>
        <v>0.46098954122840541</v>
      </c>
      <c r="AT15" s="4">
        <f t="shared" si="15"/>
        <v>0.46561988106938812</v>
      </c>
      <c r="AU15" s="4">
        <f t="shared" si="15"/>
        <v>0.45327089779011676</v>
      </c>
      <c r="AV15" s="4">
        <f t="shared" si="15"/>
        <v>0.48869004135341415</v>
      </c>
      <c r="AW15" s="4">
        <f t="shared" si="15"/>
        <v>0.49711980472737577</v>
      </c>
      <c r="AX15" s="4">
        <f t="shared" si="15"/>
        <v>0.51101395169420327</v>
      </c>
      <c r="AY15" s="4">
        <f t="shared" si="15"/>
        <v>0.49893064900645234</v>
      </c>
      <c r="AZ15" s="4">
        <f t="shared" si="15"/>
        <v>0.52905407860334441</v>
      </c>
    </row>
    <row r="16" spans="1:52" hidden="1" outlineLevel="1">
      <c r="B16" s="3" t="s">
        <v>409</v>
      </c>
      <c r="C16" s="58"/>
      <c r="D16" s="58"/>
      <c r="E16" s="58"/>
      <c r="F16" s="58"/>
      <c r="G16" s="4"/>
      <c r="H16" s="4"/>
      <c r="I16" s="4">
        <f t="shared" si="14"/>
        <v>7.2892897808890494E-2</v>
      </c>
      <c r="J16" s="4">
        <f t="shared" si="14"/>
        <v>4.4578967372099279E-2</v>
      </c>
      <c r="K16" s="4">
        <f t="shared" si="14"/>
        <v>6.858050390284462E-2</v>
      </c>
      <c r="L16" s="4">
        <f t="shared" ca="1" si="14"/>
        <v>6.9862467933761774E-2</v>
      </c>
      <c r="M16" s="4">
        <f t="shared" ca="1" si="14"/>
        <v>6.8094875484098982E-2</v>
      </c>
      <c r="N16" s="4">
        <f t="shared" ca="1" si="14"/>
        <v>6.4988205390324863E-2</v>
      </c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>
        <f t="shared" si="15"/>
        <v>3.6402861443933919E-2</v>
      </c>
      <c r="AJ16" s="4">
        <f t="shared" si="15"/>
        <v>3.7347279783057102E-2</v>
      </c>
      <c r="AK16" s="4">
        <f t="shared" si="15"/>
        <v>5.9687567181094948E-2</v>
      </c>
      <c r="AL16" s="4">
        <f t="shared" si="15"/>
        <v>0.11239647376904013</v>
      </c>
      <c r="AM16" s="4">
        <f t="shared" si="15"/>
        <v>5.5761513340953993E-2</v>
      </c>
      <c r="AN16" s="4">
        <f t="shared" si="15"/>
        <v>4.8466874551367188E-2</v>
      </c>
      <c r="AO16" s="4">
        <f t="shared" si="15"/>
        <v>6.5167511227895519E-2</v>
      </c>
      <c r="AP16" s="4">
        <f t="shared" si="15"/>
        <v>0.11817285227494838</v>
      </c>
      <c r="AQ16" s="4">
        <f t="shared" si="15"/>
        <v>5.5417422621557584E-2</v>
      </c>
      <c r="AR16" s="4">
        <f t="shared" si="15"/>
        <v>4.4458504021801293E-2</v>
      </c>
      <c r="AS16" s="4">
        <f t="shared" si="15"/>
        <v>6.223395538991084E-2</v>
      </c>
      <c r="AT16" s="4">
        <f t="shared" si="15"/>
        <v>0.1159146053554448</v>
      </c>
      <c r="AU16" s="4">
        <f t="shared" si="15"/>
        <v>5.4736558599349304E-2</v>
      </c>
      <c r="AV16" s="4">
        <f t="shared" si="15"/>
        <v>4.2781980385056886E-2</v>
      </c>
      <c r="AW16" s="4">
        <f t="shared" si="15"/>
        <v>5.8847411984780176E-2</v>
      </c>
      <c r="AX16" s="4">
        <f t="shared" si="15"/>
        <v>0.11098056959760491</v>
      </c>
      <c r="AY16" s="4">
        <f t="shared" si="15"/>
        <v>5.2756783309516116E-2</v>
      </c>
      <c r="AZ16" s="4">
        <f t="shared" si="15"/>
        <v>4.0295270637709039E-2</v>
      </c>
    </row>
    <row r="17" spans="2:52" hidden="1" outlineLevel="1">
      <c r="B17" s="3" t="s">
        <v>410</v>
      </c>
      <c r="C17" s="58"/>
      <c r="D17" s="58"/>
      <c r="E17" s="58"/>
      <c r="F17" s="58"/>
      <c r="G17" s="4"/>
      <c r="H17" s="4"/>
      <c r="I17" s="4">
        <f t="shared" si="14"/>
        <v>0.100455309157475</v>
      </c>
      <c r="J17" s="4">
        <f t="shared" si="14"/>
        <v>0.11781240992695201</v>
      </c>
      <c r="K17" s="4">
        <f t="shared" si="14"/>
        <v>8.5829897544933781E-2</v>
      </c>
      <c r="L17" s="4">
        <f t="shared" ca="1" si="14"/>
        <v>6.8666996862852908E-2</v>
      </c>
      <c r="M17" s="4">
        <f t="shared" ca="1" si="14"/>
        <v>5.9544894361855158E-2</v>
      </c>
      <c r="N17" s="4">
        <f t="shared" ca="1" si="14"/>
        <v>5.1511133444861981E-2</v>
      </c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>
        <f t="shared" si="15"/>
        <v>0.10585310419516365</v>
      </c>
      <c r="AJ17" s="4">
        <f t="shared" si="15"/>
        <v>0.13757592430832971</v>
      </c>
      <c r="AK17" s="4">
        <f t="shared" si="15"/>
        <v>8.6660795838289104E-2</v>
      </c>
      <c r="AL17" s="4">
        <f t="shared" si="15"/>
        <v>8.1379343501947018E-2</v>
      </c>
      <c r="AM17" s="4">
        <f t="shared" si="15"/>
        <v>6.9415460764924053E-2</v>
      </c>
      <c r="AN17" s="4">
        <f t="shared" si="15"/>
        <v>0.10612851625374112</v>
      </c>
      <c r="AO17" s="4">
        <f t="shared" si="15"/>
        <v>6.5060606854211361E-2</v>
      </c>
      <c r="AP17" s="4">
        <f t="shared" si="15"/>
        <v>6.6196518664263973E-2</v>
      </c>
      <c r="AQ17" s="4">
        <f t="shared" si="15"/>
        <v>5.6790203083825347E-2</v>
      </c>
      <c r="AR17" s="4">
        <f t="shared" si="15"/>
        <v>8.5733293821524253E-2</v>
      </c>
      <c r="AS17" s="4">
        <f t="shared" si="15"/>
        <v>5.5005478173088332E-2</v>
      </c>
      <c r="AT17" s="4">
        <f t="shared" si="15"/>
        <v>5.7777059185603642E-2</v>
      </c>
      <c r="AU17" s="4">
        <f t="shared" si="15"/>
        <v>5.0157740417713717E-2</v>
      </c>
      <c r="AV17" s="4">
        <f t="shared" si="15"/>
        <v>7.4122287643270363E-2</v>
      </c>
      <c r="AW17" s="4">
        <f t="shared" si="15"/>
        <v>4.6944705254507529E-2</v>
      </c>
      <c r="AX17" s="4">
        <f t="shared" si="15"/>
        <v>5.014887822890976E-2</v>
      </c>
      <c r="AY17" s="4">
        <f t="shared" si="15"/>
        <v>4.4013135814837706E-2</v>
      </c>
      <c r="AZ17" s="4">
        <f t="shared" si="15"/>
        <v>6.3821022704039512E-2</v>
      </c>
    </row>
    <row r="18" spans="2:52" hidden="1" outlineLevel="1">
      <c r="B18" s="94" t="s">
        <v>87</v>
      </c>
      <c r="C18" s="91"/>
      <c r="D18" s="91"/>
      <c r="E18" s="91"/>
      <c r="F18" s="91"/>
      <c r="G18" s="168"/>
      <c r="H18" s="168"/>
      <c r="I18" s="168">
        <f t="shared" ref="I18:N18" si="16">SUM(I14:I17)</f>
        <v>1</v>
      </c>
      <c r="J18" s="168">
        <f t="shared" si="16"/>
        <v>1</v>
      </c>
      <c r="K18" s="168">
        <f t="shared" si="16"/>
        <v>0.99999999999999989</v>
      </c>
      <c r="L18" s="168">
        <f t="shared" ca="1" si="16"/>
        <v>1</v>
      </c>
      <c r="M18" s="168">
        <f t="shared" ca="1" si="16"/>
        <v>1.0000000000000002</v>
      </c>
      <c r="N18" s="168">
        <f t="shared" ca="1" si="16"/>
        <v>1</v>
      </c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>
        <f t="shared" ref="AI18:AZ18" si="17">SUM(AI14:AI17)</f>
        <v>1</v>
      </c>
      <c r="AJ18" s="168">
        <f t="shared" si="17"/>
        <v>1</v>
      </c>
      <c r="AK18" s="168">
        <f t="shared" si="17"/>
        <v>0.99999999999999978</v>
      </c>
      <c r="AL18" s="168">
        <f t="shared" si="17"/>
        <v>0.99999999999999978</v>
      </c>
      <c r="AM18" s="168">
        <f t="shared" si="17"/>
        <v>1</v>
      </c>
      <c r="AN18" s="168">
        <f t="shared" si="17"/>
        <v>1</v>
      </c>
      <c r="AO18" s="168">
        <f t="shared" si="17"/>
        <v>1</v>
      </c>
      <c r="AP18" s="168">
        <f t="shared" si="17"/>
        <v>0.99999999999999989</v>
      </c>
      <c r="AQ18" s="168">
        <f t="shared" si="17"/>
        <v>1.0000000000000002</v>
      </c>
      <c r="AR18" s="168">
        <f t="shared" si="17"/>
        <v>1</v>
      </c>
      <c r="AS18" s="168">
        <f t="shared" si="17"/>
        <v>1</v>
      </c>
      <c r="AT18" s="168">
        <f t="shared" si="17"/>
        <v>1</v>
      </c>
      <c r="AU18" s="168">
        <f t="shared" si="17"/>
        <v>1</v>
      </c>
      <c r="AV18" s="168">
        <f t="shared" si="17"/>
        <v>1</v>
      </c>
      <c r="AW18" s="168">
        <f t="shared" si="17"/>
        <v>1</v>
      </c>
      <c r="AX18" s="168">
        <f t="shared" si="17"/>
        <v>0.99999999999999989</v>
      </c>
      <c r="AY18" s="168">
        <f t="shared" si="17"/>
        <v>1</v>
      </c>
      <c r="AZ18" s="168">
        <f t="shared" si="17"/>
        <v>1</v>
      </c>
    </row>
    <row r="19" spans="2:52" hidden="1" outlineLevel="1">
      <c r="E19" s="106"/>
      <c r="F19" s="46"/>
      <c r="G19" s="46"/>
      <c r="H19" s="46"/>
      <c r="I19" s="46"/>
      <c r="J19" s="46"/>
      <c r="K19" s="46"/>
      <c r="L19" s="45"/>
      <c r="M19" s="45"/>
      <c r="N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2:52" hidden="1" outlineLevel="1">
      <c r="B20" s="1" t="s">
        <v>389</v>
      </c>
      <c r="E20" s="106"/>
      <c r="F20" s="46"/>
      <c r="G20" s="46"/>
      <c r="H20" s="46"/>
      <c r="I20" s="46"/>
      <c r="J20" s="46"/>
      <c r="K20" s="46"/>
      <c r="L20" s="45"/>
      <c r="M20" s="45"/>
      <c r="N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2:52" hidden="1" outlineLevel="1">
      <c r="B21" s="3" t="s">
        <v>407</v>
      </c>
      <c r="C21" s="3"/>
      <c r="D21" s="3"/>
      <c r="E21" s="3"/>
      <c r="F21" s="3"/>
      <c r="G21" s="3"/>
      <c r="H21" s="4"/>
      <c r="I21" s="4"/>
      <c r="J21" s="4">
        <f t="shared" ref="J21:N21" si="18">J7/I7-1</f>
        <v>2.7747074794167044</v>
      </c>
      <c r="K21" s="4">
        <f t="shared" si="18"/>
        <v>0.73729667057663062</v>
      </c>
      <c r="L21" s="4">
        <f t="shared" ca="1" si="18"/>
        <v>0.67001040724504568</v>
      </c>
      <c r="M21" s="4">
        <f t="shared" ca="1" si="18"/>
        <v>0.20841441150053974</v>
      </c>
      <c r="N21" s="4">
        <f t="shared" ca="1" si="18"/>
        <v>0.17727539565741735</v>
      </c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f t="shared" ref="AM21:AZ25" si="19">AM7/AI7-1</f>
        <v>0.4521132148783884</v>
      </c>
      <c r="AN21" s="4">
        <f t="shared" si="19"/>
        <v>0.52802719343252957</v>
      </c>
      <c r="AO21" s="4">
        <f t="shared" si="19"/>
        <v>0.6883211285502413</v>
      </c>
      <c r="AP21" s="4">
        <f t="shared" si="19"/>
        <v>0.54325804988904425</v>
      </c>
      <c r="AQ21" s="4">
        <f t="shared" si="19"/>
        <v>0.97378594631449356</v>
      </c>
      <c r="AR21" s="4">
        <f t="shared" si="19"/>
        <v>0.49405729508379292</v>
      </c>
      <c r="AS21" s="4">
        <f t="shared" si="19"/>
        <v>0.29239136943857047</v>
      </c>
      <c r="AT21" s="4">
        <f t="shared" si="19"/>
        <v>0.18317845432068181</v>
      </c>
      <c r="AU21" s="4">
        <f t="shared" si="19"/>
        <v>0.1711316361537778</v>
      </c>
      <c r="AV21" s="4">
        <f t="shared" si="19"/>
        <v>0.20765435389367615</v>
      </c>
      <c r="AW21" s="4">
        <f t="shared" si="19"/>
        <v>0.22678422856631353</v>
      </c>
      <c r="AX21" s="4">
        <f t="shared" si="19"/>
        <v>0.15875199546756047</v>
      </c>
      <c r="AY21" s="4">
        <f t="shared" si="19"/>
        <v>0.14828235042447879</v>
      </c>
      <c r="AZ21" s="4">
        <f t="shared" si="19"/>
        <v>0.1840135913208456</v>
      </c>
    </row>
    <row r="22" spans="2:52" hidden="1" outlineLevel="1">
      <c r="B22" s="3" t="s">
        <v>408</v>
      </c>
      <c r="C22" s="3"/>
      <c r="D22" s="3"/>
      <c r="E22" s="3"/>
      <c r="F22" s="3"/>
      <c r="G22" s="3"/>
      <c r="H22" s="4"/>
      <c r="I22" s="4"/>
      <c r="J22" s="4">
        <f t="shared" ref="J22:N25" si="20">J8/I8-1</f>
        <v>0.66190412463767689</v>
      </c>
      <c r="K22" s="4">
        <f t="shared" si="20"/>
        <v>0.44396380694631099</v>
      </c>
      <c r="L22" s="4">
        <f t="shared" ca="1" si="20"/>
        <v>0.31099331995984514</v>
      </c>
      <c r="M22" s="4">
        <f t="shared" ca="1" si="20"/>
        <v>0.42413064944946899</v>
      </c>
      <c r="N22" s="4">
        <f t="shared" ca="1" si="20"/>
        <v>0.38972613072070317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f t="shared" si="19"/>
        <v>0.62023850382764945</v>
      </c>
      <c r="AN22" s="4">
        <f t="shared" si="19"/>
        <v>0.59882216971172042</v>
      </c>
      <c r="AO22" s="4">
        <f t="shared" si="19"/>
        <v>0.49449776737994511</v>
      </c>
      <c r="AP22" s="4">
        <f t="shared" si="19"/>
        <v>0.36061424803230713</v>
      </c>
      <c r="AQ22" s="4">
        <f t="shared" si="19"/>
        <v>7.9048021980469452E-2</v>
      </c>
      <c r="AR22" s="4">
        <f t="shared" si="19"/>
        <v>0.42574966379940382</v>
      </c>
      <c r="AS22" s="4">
        <f t="shared" si="19"/>
        <v>0.44038317500000046</v>
      </c>
      <c r="AT22" s="4">
        <f t="shared" si="19"/>
        <v>0.43383597874999991</v>
      </c>
      <c r="AU22" s="4">
        <f t="shared" si="19"/>
        <v>0.41553494810000036</v>
      </c>
      <c r="AV22" s="4">
        <f t="shared" si="19"/>
        <v>0.41216462679500054</v>
      </c>
      <c r="AW22" s="4">
        <f t="shared" si="19"/>
        <v>0.40516741468025019</v>
      </c>
      <c r="AX22" s="4">
        <f t="shared" si="19"/>
        <v>0.39907193959373788</v>
      </c>
      <c r="AY22" s="4">
        <f t="shared" si="19"/>
        <v>0.38129941456498528</v>
      </c>
      <c r="AZ22" s="4">
        <f t="shared" si="19"/>
        <v>0.37816759011668744</v>
      </c>
    </row>
    <row r="23" spans="2:52" hidden="1" outlineLevel="1">
      <c r="B23" s="3" t="s">
        <v>409</v>
      </c>
      <c r="C23" s="3"/>
      <c r="D23" s="3"/>
      <c r="E23" s="3"/>
      <c r="F23" s="3"/>
      <c r="G23" s="3"/>
      <c r="H23" s="4"/>
      <c r="I23" s="4"/>
      <c r="J23" s="4">
        <f t="shared" si="20"/>
        <v>0.29215578546611054</v>
      </c>
      <c r="K23" s="4">
        <f t="shared" si="20"/>
        <v>1.3791021894313227</v>
      </c>
      <c r="L23" s="4">
        <f t="shared" ca="1" si="20"/>
        <v>0.470549984225753</v>
      </c>
      <c r="M23" s="4">
        <f t="shared" ca="1" si="20"/>
        <v>0.2659024005361601</v>
      </c>
      <c r="N23" s="4">
        <f t="shared" ca="1" si="20"/>
        <v>0.21669254247778769</v>
      </c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f t="shared" si="19"/>
        <v>1.3278240631429825</v>
      </c>
      <c r="AN23" s="4">
        <f t="shared" si="19"/>
        <v>0.98145712224721038</v>
      </c>
      <c r="AO23" s="4">
        <f t="shared" si="19"/>
        <v>0.7</v>
      </c>
      <c r="AP23" s="4">
        <f t="shared" si="19"/>
        <v>0.5</v>
      </c>
      <c r="AQ23" s="4">
        <f t="shared" si="19"/>
        <v>0.39999999999999991</v>
      </c>
      <c r="AR23" s="4">
        <f t="shared" si="19"/>
        <v>0.30000000000000004</v>
      </c>
      <c r="AS23" s="4">
        <f t="shared" si="19"/>
        <v>0.28499999999999992</v>
      </c>
      <c r="AT23" s="4">
        <f t="shared" si="19"/>
        <v>0.27075000000000005</v>
      </c>
      <c r="AU23" s="4">
        <f t="shared" si="19"/>
        <v>0.25721250000000007</v>
      </c>
      <c r="AV23" s="4">
        <f t="shared" si="19"/>
        <v>0.244351875</v>
      </c>
      <c r="AW23" s="4">
        <f t="shared" si="19"/>
        <v>0.23213428125000002</v>
      </c>
      <c r="AX23" s="4">
        <f t="shared" si="19"/>
        <v>0.2205275671875</v>
      </c>
      <c r="AY23" s="4">
        <f t="shared" si="19"/>
        <v>0.20950118882812485</v>
      </c>
      <c r="AZ23" s="4">
        <f t="shared" si="19"/>
        <v>0.1990261293867186</v>
      </c>
    </row>
    <row r="24" spans="2:52" hidden="1" outlineLevel="1">
      <c r="B24" s="3" t="s">
        <v>410</v>
      </c>
      <c r="C24" s="3"/>
      <c r="D24" s="3"/>
      <c r="E24" s="3"/>
      <c r="F24" s="3"/>
      <c r="G24" s="3"/>
      <c r="H24" s="4"/>
      <c r="I24" s="4"/>
      <c r="J24" s="4">
        <f t="shared" si="20"/>
        <v>1.4779254323575652</v>
      </c>
      <c r="K24" s="4">
        <f t="shared" si="20"/>
        <v>0.12665249647633603</v>
      </c>
      <c r="L24" s="4">
        <f t="shared" ca="1" si="20"/>
        <v>0.15490430251428977</v>
      </c>
      <c r="M24" s="4">
        <f t="shared" ca="1" si="20"/>
        <v>0.1262276661327173</v>
      </c>
      <c r="N24" s="4">
        <f t="shared" ca="1" si="20"/>
        <v>0.10285218733514401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f t="shared" si="19"/>
        <v>-3.4393460022679179E-3</v>
      </c>
      <c r="AN24" s="4">
        <f t="shared" si="19"/>
        <v>0.17784540671046933</v>
      </c>
      <c r="AO24" s="4">
        <f t="shared" si="19"/>
        <v>0.16895313637494591</v>
      </c>
      <c r="AP24" s="4">
        <f t="shared" si="19"/>
        <v>0.16050547955619865</v>
      </c>
      <c r="AQ24" s="4">
        <f t="shared" si="19"/>
        <v>0.15248020557838871</v>
      </c>
      <c r="AR24" s="4">
        <f t="shared" si="19"/>
        <v>0.14485619529946914</v>
      </c>
      <c r="AS24" s="4">
        <f t="shared" si="19"/>
        <v>0.13761338553449565</v>
      </c>
      <c r="AT24" s="4">
        <f t="shared" si="19"/>
        <v>0.13073271625777094</v>
      </c>
      <c r="AU24" s="4">
        <f t="shared" si="19"/>
        <v>0.12419608044488228</v>
      </c>
      <c r="AV24" s="4">
        <f t="shared" si="19"/>
        <v>0.11798627642263826</v>
      </c>
      <c r="AW24" s="4">
        <f t="shared" si="19"/>
        <v>0.11208696260150641</v>
      </c>
      <c r="AX24" s="4">
        <f t="shared" si="19"/>
        <v>0.10648261447143104</v>
      </c>
      <c r="AY24" s="4">
        <f t="shared" si="19"/>
        <v>0.10115848374785941</v>
      </c>
      <c r="AZ24" s="4">
        <f t="shared" si="19"/>
        <v>9.6100559560466481E-2</v>
      </c>
    </row>
    <row r="25" spans="2:52" hidden="1" outlineLevel="1">
      <c r="B25" s="94" t="s">
        <v>87</v>
      </c>
      <c r="C25" s="94"/>
      <c r="D25" s="94"/>
      <c r="E25" s="94"/>
      <c r="F25" s="94"/>
      <c r="G25" s="94"/>
      <c r="H25" s="168"/>
      <c r="I25" s="168"/>
      <c r="J25" s="168">
        <f t="shared" si="20"/>
        <v>1.1128569183075796</v>
      </c>
      <c r="K25" s="168">
        <f t="shared" si="20"/>
        <v>0.54647331007945188</v>
      </c>
      <c r="L25" s="168">
        <f t="shared" ca="1" si="20"/>
        <v>0.44356564998736636</v>
      </c>
      <c r="M25" s="168">
        <f t="shared" ca="1" si="20"/>
        <v>0.29876242868497771</v>
      </c>
      <c r="N25" s="168">
        <f t="shared" ca="1" si="20"/>
        <v>0.27485482457700172</v>
      </c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>
        <f t="shared" si="19"/>
        <v>0.51967641764507966</v>
      </c>
      <c r="AN25" s="168">
        <f t="shared" si="19"/>
        <v>0.52685796655336903</v>
      </c>
      <c r="AO25" s="168">
        <f t="shared" si="19"/>
        <v>0.55704679058584006</v>
      </c>
      <c r="AP25" s="168">
        <f t="shared" si="19"/>
        <v>0.42667886412098421</v>
      </c>
      <c r="AQ25" s="168">
        <f t="shared" si="19"/>
        <v>0.40869269959457788</v>
      </c>
      <c r="AR25" s="168">
        <f t="shared" si="19"/>
        <v>0.41720776042937446</v>
      </c>
      <c r="AS25" s="168">
        <f t="shared" si="19"/>
        <v>0.34557174460779039</v>
      </c>
      <c r="AT25" s="168">
        <f t="shared" si="19"/>
        <v>0.29550673591053966</v>
      </c>
      <c r="AU25" s="168">
        <f t="shared" si="19"/>
        <v>0.27285087371994932</v>
      </c>
      <c r="AV25" s="168">
        <f t="shared" si="19"/>
        <v>0.29311505314388486</v>
      </c>
      <c r="AW25" s="168">
        <f t="shared" si="19"/>
        <v>0.30304098867634854</v>
      </c>
      <c r="AX25" s="168">
        <f t="shared" si="19"/>
        <v>0.27479045916730871</v>
      </c>
      <c r="AY25" s="168">
        <f t="shared" si="19"/>
        <v>0.25488948615128382</v>
      </c>
      <c r="AZ25" s="168">
        <f t="shared" si="19"/>
        <v>0.27302066810264569</v>
      </c>
    </row>
    <row r="26" spans="2:52" hidden="1" outlineLevel="1">
      <c r="E26" s="106"/>
      <c r="F26" s="46"/>
      <c r="G26" s="46"/>
      <c r="H26" s="46"/>
      <c r="I26" s="46"/>
      <c r="J26" s="46"/>
      <c r="K26" s="46"/>
      <c r="L26" s="45"/>
      <c r="M26" s="45"/>
      <c r="N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2:52" hidden="1" outlineLevel="1">
      <c r="B27" s="1" t="s">
        <v>390</v>
      </c>
      <c r="E27" s="106"/>
      <c r="F27" s="46"/>
      <c r="G27" s="46"/>
      <c r="H27" s="46"/>
      <c r="I27" s="46"/>
      <c r="J27" s="46"/>
      <c r="K27" s="46"/>
      <c r="L27" s="45"/>
      <c r="M27" s="45"/>
      <c r="N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2:52" hidden="1" outlineLevel="1">
      <c r="B28" s="3" t="s">
        <v>407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Q28" s="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>
        <f t="shared" ref="AJ28:AZ32" si="21">AJ7/AI7-1</f>
        <v>8.0893812482187633E-2</v>
      </c>
      <c r="AK28" s="4">
        <f t="shared" si="21"/>
        <v>5.3069316965332014E-2</v>
      </c>
      <c r="AL28" s="4">
        <f t="shared" si="21"/>
        <v>0.18763797241453961</v>
      </c>
      <c r="AM28" s="4">
        <f t="shared" si="21"/>
        <v>7.4178394838970929E-2</v>
      </c>
      <c r="AN28" s="4">
        <f t="shared" si="21"/>
        <v>0.13740107986281602</v>
      </c>
      <c r="AO28" s="4">
        <f t="shared" si="21"/>
        <v>0.16353896403287127</v>
      </c>
      <c r="AP28" s="4">
        <f t="shared" si="21"/>
        <v>8.5594340015451298E-2</v>
      </c>
      <c r="AQ28" s="4">
        <f t="shared" si="21"/>
        <v>0.37384555986619228</v>
      </c>
      <c r="AR28" s="4">
        <f t="shared" si="21"/>
        <v>-0.13904423933188803</v>
      </c>
      <c r="AS28" s="4">
        <f t="shared" si="21"/>
        <v>6.4859761869049404E-3</v>
      </c>
      <c r="AT28" s="4">
        <f t="shared" si="21"/>
        <v>-6.1432909469653074E-3</v>
      </c>
      <c r="AU28" s="4">
        <f t="shared" si="21"/>
        <v>0.35985741835746388</v>
      </c>
      <c r="AV28" s="4">
        <f t="shared" si="21"/>
        <v>-0.11219461520535479</v>
      </c>
      <c r="AW28" s="4">
        <f t="shared" si="21"/>
        <v>2.2429238861481071E-2</v>
      </c>
      <c r="AX28" s="4">
        <f t="shared" si="21"/>
        <v>-6.1258354967696493E-2</v>
      </c>
      <c r="AY28" s="4">
        <f t="shared" si="21"/>
        <v>0.34757073014886308</v>
      </c>
      <c r="AZ28" s="4">
        <f t="shared" si="21"/>
        <v>-8.4568667578917345E-2</v>
      </c>
    </row>
    <row r="29" spans="2:52" hidden="1" outlineLevel="1">
      <c r="B29" s="3" t="s">
        <v>408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Q29" s="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>
        <f t="shared" si="21"/>
        <v>-0.17563085787814259</v>
      </c>
      <c r="AK29" s="4">
        <f t="shared" si="21"/>
        <v>9.9371689544051511E-2</v>
      </c>
      <c r="AL29" s="4">
        <f t="shared" si="21"/>
        <v>0.29523192246741492</v>
      </c>
      <c r="AM29" s="4">
        <f t="shared" si="21"/>
        <v>0.38027344660832618</v>
      </c>
      <c r="AN29" s="4">
        <f t="shared" si="21"/>
        <v>-0.18652738017460413</v>
      </c>
      <c r="AO29" s="4">
        <f t="shared" si="21"/>
        <v>2.7636823325104309E-2</v>
      </c>
      <c r="AP29" s="4">
        <f t="shared" si="21"/>
        <v>0.17919949208422592</v>
      </c>
      <c r="AQ29" s="4">
        <f t="shared" si="21"/>
        <v>9.46389356930466E-2</v>
      </c>
      <c r="AR29" s="4">
        <f t="shared" si="21"/>
        <v>7.4844020470361317E-2</v>
      </c>
      <c r="AS29" s="4">
        <f t="shared" si="21"/>
        <v>3.8184211373718524E-2</v>
      </c>
      <c r="AT29" s="4">
        <f t="shared" si="21"/>
        <v>0.17383949439293356</v>
      </c>
      <c r="AU29" s="4">
        <f t="shared" si="21"/>
        <v>8.0667309224120798E-2</v>
      </c>
      <c r="AV29" s="4">
        <f t="shared" si="21"/>
        <v>7.2284868040670025E-2</v>
      </c>
      <c r="AW29" s="4">
        <f t="shared" si="21"/>
        <v>3.3040055371416077E-2</v>
      </c>
      <c r="AX29" s="4">
        <f t="shared" si="21"/>
        <v>0.16874749658620636</v>
      </c>
      <c r="AY29" s="4">
        <f t="shared" si="21"/>
        <v>6.6939504200372424E-2</v>
      </c>
      <c r="AZ29" s="4">
        <f t="shared" si="21"/>
        <v>6.9853673232463276E-2</v>
      </c>
    </row>
    <row r="30" spans="2:52" hidden="1" outlineLevel="1">
      <c r="B30" s="3" t="s">
        <v>409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Q30" s="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>
        <f t="shared" si="21"/>
        <v>-6.3497149795932462E-3</v>
      </c>
      <c r="AK30" s="4">
        <f t="shared" si="21"/>
        <v>0.66347859294776601</v>
      </c>
      <c r="AL30" s="4">
        <f t="shared" si="21"/>
        <v>1.4807311648028731</v>
      </c>
      <c r="AM30" s="4">
        <f t="shared" si="21"/>
        <v>-0.43229898223800689</v>
      </c>
      <c r="AN30" s="4">
        <f t="shared" si="21"/>
        <v>-0.15419920884471039</v>
      </c>
      <c r="AO30" s="4">
        <f t="shared" si="21"/>
        <v>0.42718889864445231</v>
      </c>
      <c r="AP30" s="4">
        <f t="shared" si="21"/>
        <v>1.188880439531947</v>
      </c>
      <c r="AQ30" s="4">
        <f t="shared" si="21"/>
        <v>-0.47014571675547323</v>
      </c>
      <c r="AR30" s="4">
        <f t="shared" si="21"/>
        <v>-0.21461355107008817</v>
      </c>
      <c r="AS30" s="4">
        <f t="shared" si="21"/>
        <v>0.4107213344293239</v>
      </c>
      <c r="AT30" s="4">
        <f t="shared" si="21"/>
        <v>1.1646068626733248</v>
      </c>
      <c r="AU30" s="4">
        <f t="shared" si="21"/>
        <v>-0.47579033793148962</v>
      </c>
      <c r="AV30" s="4">
        <f t="shared" si="21"/>
        <v>-0.22264764284038907</v>
      </c>
      <c r="AW30" s="4">
        <f t="shared" si="21"/>
        <v>0.39687025218740146</v>
      </c>
      <c r="AX30" s="4">
        <f t="shared" si="21"/>
        <v>1.1442162499819175</v>
      </c>
      <c r="AY30" s="4">
        <f t="shared" si="21"/>
        <v>-0.48052610484819014</v>
      </c>
      <c r="AZ30" s="4">
        <f t="shared" si="21"/>
        <v>-0.22938001501445338</v>
      </c>
    </row>
    <row r="31" spans="2:52" hidden="1" outlineLevel="1">
      <c r="B31" s="3" t="s">
        <v>410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Q31" s="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>
        <f t="shared" si="21"/>
        <v>0.25877743719423596</v>
      </c>
      <c r="AK31" s="4">
        <f t="shared" si="21"/>
        <v>-0.3443492724642222</v>
      </c>
      <c r="AL31" s="4">
        <f t="shared" si="21"/>
        <v>0.2370931527739224</v>
      </c>
      <c r="AM31" s="4">
        <f t="shared" si="21"/>
        <v>-2.3932536718237363E-2</v>
      </c>
      <c r="AN31" s="4">
        <f t="shared" si="21"/>
        <v>0.48776215127732825</v>
      </c>
      <c r="AO31" s="4">
        <f t="shared" si="21"/>
        <v>-0.3492991780135537</v>
      </c>
      <c r="AP31" s="4">
        <f t="shared" si="21"/>
        <v>0.2281530694786551</v>
      </c>
      <c r="AQ31" s="4">
        <f t="shared" si="21"/>
        <v>-3.068236164509397E-2</v>
      </c>
      <c r="AR31" s="4">
        <f t="shared" si="21"/>
        <v>0.47792014802293514</v>
      </c>
      <c r="AS31" s="4">
        <f t="shared" si="21"/>
        <v>-0.35341576688026888</v>
      </c>
      <c r="AT31" s="4">
        <f t="shared" si="21"/>
        <v>0.22072478566999854</v>
      </c>
      <c r="AU31" s="4">
        <f t="shared" si="21"/>
        <v>-3.6285875453295313E-2</v>
      </c>
      <c r="AV31" s="4">
        <f t="shared" si="21"/>
        <v>0.46975645252586795</v>
      </c>
      <c r="AW31" s="4">
        <f t="shared" si="21"/>
        <v>-0.35682761851334477</v>
      </c>
      <c r="AX31" s="4">
        <f t="shared" si="21"/>
        <v>0.21457295860972758</v>
      </c>
      <c r="AY31" s="4">
        <f t="shared" si="21"/>
        <v>-4.0923038217655527E-2</v>
      </c>
      <c r="AZ31" s="4">
        <f t="shared" si="21"/>
        <v>0.46300545635181534</v>
      </c>
    </row>
    <row r="32" spans="2:52" hidden="1" outlineLevel="1">
      <c r="B32" s="94" t="s">
        <v>87</v>
      </c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Q32" s="94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  <c r="AI32" s="168"/>
      <c r="AJ32" s="168">
        <f t="shared" si="21"/>
        <v>-3.1476619999165067E-2</v>
      </c>
      <c r="AK32" s="168">
        <f t="shared" si="21"/>
        <v>4.0859987398244701E-2</v>
      </c>
      <c r="AL32" s="168">
        <f t="shared" si="21"/>
        <v>0.31737947901879204</v>
      </c>
      <c r="AM32" s="168">
        <f t="shared" si="21"/>
        <v>0.14429449146029194</v>
      </c>
      <c r="AN32" s="168">
        <f t="shared" si="21"/>
        <v>-2.68996601006386E-2</v>
      </c>
      <c r="AO32" s="168">
        <f t="shared" si="21"/>
        <v>6.1439726765185609E-2</v>
      </c>
      <c r="AP32" s="168">
        <f t="shared" si="21"/>
        <v>0.20707834222224575</v>
      </c>
      <c r="AQ32" s="168">
        <f t="shared" si="21"/>
        <v>0.12986835148747766</v>
      </c>
      <c r="AR32" s="168">
        <f t="shared" si="21"/>
        <v>-2.101760463532043E-2</v>
      </c>
      <c r="AS32" s="168">
        <f t="shared" si="21"/>
        <v>7.786821959491208E-3</v>
      </c>
      <c r="AT32" s="168">
        <f t="shared" si="21"/>
        <v>0.16216629056554677</v>
      </c>
      <c r="AU32" s="168">
        <f t="shared" si="21"/>
        <v>0.11010917852816582</v>
      </c>
      <c r="AV32" s="168">
        <f t="shared" si="21"/>
        <v>-5.4319022391189353E-3</v>
      </c>
      <c r="AW32" s="168">
        <f t="shared" si="21"/>
        <v>1.5522581434965321E-2</v>
      </c>
      <c r="AX32" s="168">
        <f t="shared" si="21"/>
        <v>0.13696998947344952</v>
      </c>
      <c r="AY32" s="168">
        <f t="shared" si="21"/>
        <v>9.2779073295686354E-2</v>
      </c>
      <c r="AZ32" s="168">
        <f t="shared" si="21"/>
        <v>8.9380445510387485E-3</v>
      </c>
    </row>
    <row r="33" spans="2:52" hidden="1" outlineLevel="1">
      <c r="E33" s="106"/>
      <c r="F33" s="46"/>
      <c r="G33" s="46"/>
      <c r="H33" s="46"/>
      <c r="I33" s="46"/>
      <c r="J33" s="46"/>
      <c r="K33" s="46"/>
      <c r="L33" s="45"/>
      <c r="M33" s="45"/>
      <c r="N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2:52" hidden="1" outlineLevel="1">
      <c r="B34" s="8" t="s">
        <v>602</v>
      </c>
      <c r="E34" s="106"/>
      <c r="F34" s="46"/>
      <c r="G34" s="46"/>
      <c r="H34" s="46"/>
      <c r="I34" s="46"/>
      <c r="J34" s="46"/>
      <c r="K34" s="46"/>
      <c r="L34" s="45"/>
      <c r="M34" s="45"/>
      <c r="N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2:52" hidden="1" outlineLevel="1">
      <c r="B35" s="3" t="s">
        <v>115</v>
      </c>
      <c r="E35" s="106"/>
      <c r="F35" s="46"/>
      <c r="G35" s="46"/>
      <c r="H35" s="46"/>
      <c r="I35" s="58">
        <f>I100</f>
        <v>-723.18000000000029</v>
      </c>
      <c r="J35" s="58">
        <f t="shared" ref="J35:N35" si="22">J100</f>
        <v>-199.1880000000001</v>
      </c>
      <c r="K35" s="58">
        <f t="shared" si="22"/>
        <v>-8.2129999999961001</v>
      </c>
      <c r="L35" s="58">
        <f t="shared" ca="1" si="22"/>
        <v>-2434.7152122609186</v>
      </c>
      <c r="M35" s="58">
        <f t="shared" ca="1" si="22"/>
        <v>-284.69423545488826</v>
      </c>
      <c r="N35" s="58">
        <f t="shared" ca="1" si="22"/>
        <v>3982.7199361700477</v>
      </c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58">
        <f t="shared" ref="AI35:AZ35" si="23">AI100</f>
        <v>116.66499999999996</v>
      </c>
      <c r="AJ35" s="58">
        <f t="shared" si="23"/>
        <v>33.802000000000135</v>
      </c>
      <c r="AK35" s="58">
        <f t="shared" si="23"/>
        <v>-274.5939999999996</v>
      </c>
      <c r="AL35" s="58">
        <f t="shared" si="23"/>
        <v>-68.661999999999352</v>
      </c>
      <c r="AM35" s="58">
        <f t="shared" si="23"/>
        <v>52.739999999999782</v>
      </c>
      <c r="AN35" s="58">
        <f t="shared" si="23"/>
        <v>282.30299999999988</v>
      </c>
      <c r="AO35" s="58">
        <f t="shared" ca="1" si="23"/>
        <v>-113.59769945233802</v>
      </c>
      <c r="AP35" s="58">
        <f t="shared" ca="1" si="23"/>
        <v>-1080.8376114801604</v>
      </c>
      <c r="AQ35" s="58">
        <f t="shared" ca="1" si="23"/>
        <v>-465.33752503589858</v>
      </c>
      <c r="AR35" s="58">
        <f t="shared" ca="1" si="23"/>
        <v>-774.94237629252348</v>
      </c>
      <c r="AS35" s="58">
        <f t="shared" ca="1" si="23"/>
        <v>-499.1552826298248</v>
      </c>
      <c r="AT35" s="58">
        <f t="shared" ca="1" si="23"/>
        <v>-630.11757834506352</v>
      </c>
      <c r="AU35" s="58">
        <f t="shared" ca="1" si="23"/>
        <v>407.02309021430574</v>
      </c>
      <c r="AV35" s="58">
        <f t="shared" ca="1" si="23"/>
        <v>437.55553530570251</v>
      </c>
      <c r="AW35" s="58">
        <f t="shared" ca="1" si="23"/>
        <v>328.1990714782678</v>
      </c>
      <c r="AX35" s="58">
        <f t="shared" ca="1" si="23"/>
        <v>95.693643182683445</v>
      </c>
      <c r="AY35" s="58">
        <f t="shared" ca="1" si="23"/>
        <v>1614.9281517690124</v>
      </c>
      <c r="AZ35" s="58">
        <f t="shared" ca="1" si="23"/>
        <v>1943.8990697400859</v>
      </c>
    </row>
    <row r="36" spans="2:52" hidden="1" outlineLevel="1">
      <c r="B36" s="3" t="s">
        <v>81</v>
      </c>
      <c r="E36" s="106"/>
      <c r="F36" s="46"/>
      <c r="G36" s="46"/>
      <c r="H36" s="46"/>
      <c r="I36" s="58">
        <f>I111</f>
        <v>-2427.6010000000006</v>
      </c>
      <c r="J36" s="58">
        <f t="shared" ref="J36:N36" si="24">J111</f>
        <v>-2789.4940000000001</v>
      </c>
      <c r="K36" s="58">
        <f t="shared" ca="1" si="24"/>
        <v>-3953.0089999999959</v>
      </c>
      <c r="L36" s="58">
        <f t="shared" ca="1" si="24"/>
        <v>-7579.6766885069555</v>
      </c>
      <c r="M36" s="58">
        <f t="shared" ca="1" si="24"/>
        <v>-6549.4890107568608</v>
      </c>
      <c r="N36" s="58">
        <f t="shared" ca="1" si="24"/>
        <v>-3478.5248038154123</v>
      </c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58">
        <f t="shared" ref="AI36:AZ36" si="25">AI111</f>
        <v>-578.63099999999997</v>
      </c>
      <c r="AJ36" s="58">
        <f t="shared" si="25"/>
        <v>-762.48699999999985</v>
      </c>
      <c r="AK36" s="58">
        <f t="shared" ca="1" si="25"/>
        <v>-1039.6189999999997</v>
      </c>
      <c r="AL36" s="58">
        <f t="shared" ca="1" si="25"/>
        <v>-990.65599999999938</v>
      </c>
      <c r="AM36" s="58">
        <f t="shared" ca="1" si="25"/>
        <v>-1066.6260000000002</v>
      </c>
      <c r="AN36" s="58">
        <f t="shared" ca="1" si="25"/>
        <v>-856.10800000000017</v>
      </c>
      <c r="AO36" s="58">
        <f t="shared" ca="1" si="25"/>
        <v>-1282.8561947018254</v>
      </c>
      <c r="AP36" s="58">
        <f t="shared" ca="1" si="25"/>
        <v>-2344.0897885133086</v>
      </c>
      <c r="AQ36" s="58">
        <f t="shared" ca="1" si="25"/>
        <v>-1753.1691771965684</v>
      </c>
      <c r="AR36" s="58">
        <f t="shared" ca="1" si="25"/>
        <v>-2199.5615280952552</v>
      </c>
      <c r="AS36" s="58">
        <f t="shared" ca="1" si="25"/>
        <v>-1977.8704357066108</v>
      </c>
      <c r="AT36" s="58">
        <f t="shared" ca="1" si="25"/>
        <v>-2162.7184929129835</v>
      </c>
      <c r="AU36" s="58">
        <f t="shared" ca="1" si="25"/>
        <v>-1121.23616303976</v>
      </c>
      <c r="AV36" s="58">
        <f t="shared" ca="1" si="25"/>
        <v>-1287.6639190974988</v>
      </c>
      <c r="AW36" s="58">
        <f t="shared" ca="1" si="25"/>
        <v>-1477.9294149500945</v>
      </c>
      <c r="AX36" s="58">
        <f t="shared" ca="1" si="25"/>
        <v>-1728.0842797147725</v>
      </c>
      <c r="AY36" s="58">
        <f t="shared" ca="1" si="25"/>
        <v>-166.13412905142513</v>
      </c>
      <c r="AZ36" s="58">
        <f t="shared" ca="1" si="25"/>
        <v>-106.37698009911855</v>
      </c>
    </row>
    <row r="37" spans="2:52" hidden="1" outlineLevel="1">
      <c r="B37" s="3" t="s">
        <v>382</v>
      </c>
      <c r="E37" s="106"/>
      <c r="F37" s="46"/>
      <c r="G37" s="46"/>
      <c r="H37" s="46"/>
      <c r="I37" s="58">
        <f>I128</f>
        <v>-2575.1120000000005</v>
      </c>
      <c r="J37" s="58">
        <f t="shared" ref="J37:N37" si="26">J128</f>
        <v>-3074.0220000000004</v>
      </c>
      <c r="K37" s="58">
        <f t="shared" ca="1" si="26"/>
        <v>-3736.9319999999957</v>
      </c>
      <c r="L37" s="58">
        <f t="shared" ca="1" si="26"/>
        <v>-7241.931595455424</v>
      </c>
      <c r="M37" s="58">
        <f t="shared" ca="1" si="26"/>
        <v>-6384.3391081820173</v>
      </c>
      <c r="N37" s="58">
        <f t="shared" ca="1" si="26"/>
        <v>-3338.3751856914187</v>
      </c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58">
        <f t="shared" ref="AI37:AZ37" si="27">AI128</f>
        <v>-581.46199999999999</v>
      </c>
      <c r="AJ37" s="58">
        <f t="shared" si="27"/>
        <v>-766.62599999999986</v>
      </c>
      <c r="AK37" s="58">
        <f t="shared" ca="1" si="27"/>
        <v>-1040.4589999999996</v>
      </c>
      <c r="AL37" s="58">
        <f t="shared" ca="1" si="27"/>
        <v>-991.36099999999942</v>
      </c>
      <c r="AM37" s="58">
        <f t="shared" ca="1" si="27"/>
        <v>-1067.4120000000003</v>
      </c>
      <c r="AN37" s="58">
        <f t="shared" ca="1" si="27"/>
        <v>-846.21200000000022</v>
      </c>
      <c r="AO37" s="58">
        <f t="shared" ca="1" si="27"/>
        <v>-1212.6239251054792</v>
      </c>
      <c r="AP37" s="58">
        <f t="shared" ca="1" si="27"/>
        <v>-2228.2071745633048</v>
      </c>
      <c r="AQ37" s="58">
        <f t="shared" ca="1" si="27"/>
        <v>-1665.9836669466461</v>
      </c>
      <c r="AR37" s="58">
        <f t="shared" ca="1" si="27"/>
        <v>-2135.1168288399963</v>
      </c>
      <c r="AS37" s="58">
        <f t="shared" ca="1" si="27"/>
        <v>-1934.0750159981365</v>
      </c>
      <c r="AT37" s="58">
        <f t="shared" ca="1" si="27"/>
        <v>-2137.1228566203813</v>
      </c>
      <c r="AU37" s="58">
        <f t="shared" ca="1" si="27"/>
        <v>-1084.1558888432485</v>
      </c>
      <c r="AV37" s="58">
        <f t="shared" ca="1" si="27"/>
        <v>-1228.9853467202438</v>
      </c>
      <c r="AW37" s="58">
        <f t="shared" ca="1" si="27"/>
        <v>-1432.1174294446628</v>
      </c>
      <c r="AX37" s="58">
        <f t="shared" ca="1" si="27"/>
        <v>-1689.2256892440375</v>
      </c>
      <c r="AY37" s="58">
        <f t="shared" ca="1" si="27"/>
        <v>-138.16477222319361</v>
      </c>
      <c r="AZ37" s="58">
        <f t="shared" ca="1" si="27"/>
        <v>-78.867294779523078</v>
      </c>
    </row>
    <row r="38" spans="2:52" hidden="1" outlineLevel="1">
      <c r="B38" s="3" t="s">
        <v>603</v>
      </c>
      <c r="E38" s="106"/>
      <c r="F38" s="46"/>
      <c r="G38" s="46"/>
      <c r="H38" s="46"/>
      <c r="I38" s="58">
        <f>I138</f>
        <v>-717.3430000000003</v>
      </c>
      <c r="J38" s="58">
        <f t="shared" ref="J38:N38" si="28">J138</f>
        <v>-189.70900000000012</v>
      </c>
      <c r="K38" s="58">
        <f t="shared" si="28"/>
        <v>26.682000000003903</v>
      </c>
      <c r="L38" s="58">
        <f t="shared" ca="1" si="28"/>
        <v>-2392.9404712342703</v>
      </c>
      <c r="M38" s="58">
        <f t="shared" ca="1" si="28"/>
        <v>-230.43877134142173</v>
      </c>
      <c r="N38" s="58">
        <f t="shared" ca="1" si="28"/>
        <v>4051.8877763547562</v>
      </c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58">
        <f t="shared" ref="AI38:AZ38" si="29">AI138</f>
        <v>120.15699999999997</v>
      </c>
      <c r="AJ38" s="58">
        <f t="shared" si="29"/>
        <v>36.786000000000136</v>
      </c>
      <c r="AK38" s="58">
        <f t="shared" si="29"/>
        <v>-263.8989999999996</v>
      </c>
      <c r="AL38" s="58">
        <f t="shared" si="29"/>
        <v>-60.673999999999353</v>
      </c>
      <c r="AM38" s="58">
        <f t="shared" si="29"/>
        <v>60.929999999999779</v>
      </c>
      <c r="AN38" s="58">
        <f t="shared" si="29"/>
        <v>290.32499999999987</v>
      </c>
      <c r="AO38" s="58">
        <f t="shared" ca="1" si="29"/>
        <v>-105.0828299642277</v>
      </c>
      <c r="AP38" s="58">
        <f t="shared" ca="1" si="29"/>
        <v>-1070.5594969342135</v>
      </c>
      <c r="AQ38" s="58">
        <f t="shared" ca="1" si="29"/>
        <v>-453.72460869746999</v>
      </c>
      <c r="AR38" s="58">
        <f t="shared" ca="1" si="29"/>
        <v>-763.57353563835909</v>
      </c>
      <c r="AS38" s="58">
        <f t="shared" ca="1" si="29"/>
        <v>-487.69791483760054</v>
      </c>
      <c r="AT38" s="58">
        <f t="shared" ca="1" si="29"/>
        <v>-616.80221171832909</v>
      </c>
      <c r="AU38" s="58">
        <f t="shared" ca="1" si="29"/>
        <v>421.80460092211126</v>
      </c>
      <c r="AV38" s="58">
        <f t="shared" ca="1" si="29"/>
        <v>452.25675429239669</v>
      </c>
      <c r="AW38" s="58">
        <f t="shared" ca="1" si="29"/>
        <v>343.12849133387624</v>
      </c>
      <c r="AX38" s="58">
        <f t="shared" ca="1" si="29"/>
        <v>112.66794551875927</v>
      </c>
      <c r="AY38" s="58">
        <f t="shared" ca="1" si="29"/>
        <v>1633.4773141456701</v>
      </c>
      <c r="AZ38" s="58">
        <f t="shared" ca="1" si="29"/>
        <v>1962.6140253564506</v>
      </c>
    </row>
    <row r="39" spans="2:52" hidden="1" outlineLevel="1">
      <c r="B39" s="3" t="s">
        <v>604</v>
      </c>
      <c r="E39" s="106"/>
      <c r="F39" s="46"/>
      <c r="G39" s="46"/>
      <c r="H39" s="46"/>
      <c r="I39" s="58">
        <f>I141</f>
        <v>-1988.4240000000007</v>
      </c>
      <c r="J39" s="58">
        <f t="shared" ref="J39:N39" si="30">J141</f>
        <v>-2318.3650000000002</v>
      </c>
      <c r="K39" s="58">
        <f t="shared" ca="1" si="30"/>
        <v>-3257.803999999996</v>
      </c>
      <c r="L39" s="58">
        <f t="shared" ca="1" si="30"/>
        <v>-6649.5522814589222</v>
      </c>
      <c r="M39" s="58">
        <f t="shared" ca="1" si="30"/>
        <v>-5248.2845351433998</v>
      </c>
      <c r="N39" s="58">
        <f t="shared" ca="1" si="30"/>
        <v>-1843.8856721655661</v>
      </c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58">
        <f t="shared" ref="AI39:AZ39" si="31">AI141</f>
        <v>-455.73674999999992</v>
      </c>
      <c r="AJ39" s="58">
        <f t="shared" si="31"/>
        <v>-643.91274999999985</v>
      </c>
      <c r="AK39" s="58">
        <f t="shared" ca="1" si="31"/>
        <v>-846.54074999999966</v>
      </c>
      <c r="AL39" s="58">
        <f t="shared" ca="1" si="31"/>
        <v>-823.92474999999945</v>
      </c>
      <c r="AM39" s="58">
        <f t="shared" ca="1" si="31"/>
        <v>-898.35475000000019</v>
      </c>
      <c r="AN39" s="58">
        <f t="shared" ca="1" si="31"/>
        <v>-688.98375000000021</v>
      </c>
      <c r="AO39" s="58">
        <f t="shared" ca="1" si="31"/>
        <v>-1093.0590895994151</v>
      </c>
      <c r="AP39" s="58">
        <f t="shared" ca="1" si="31"/>
        <v>-2125.010370105666</v>
      </c>
      <c r="AQ39" s="58">
        <f t="shared" ca="1" si="31"/>
        <v>-1503.5578520171657</v>
      </c>
      <c r="AR39" s="58">
        <f t="shared" ca="1" si="31"/>
        <v>-1927.9249697366761</v>
      </c>
      <c r="AS39" s="58">
        <f t="shared" ca="1" si="31"/>
        <v>-1691.4240946816828</v>
      </c>
      <c r="AT39" s="58">
        <f t="shared" ca="1" si="31"/>
        <v>-1849.8430569662853</v>
      </c>
      <c r="AU39" s="58">
        <f t="shared" ca="1" si="31"/>
        <v>-780.52722605733322</v>
      </c>
      <c r="AV39" s="58">
        <f t="shared" ca="1" si="31"/>
        <v>-926.49015743809832</v>
      </c>
      <c r="AW39" s="58">
        <f t="shared" ca="1" si="31"/>
        <v>-1105.1646170708689</v>
      </c>
      <c r="AX39" s="58">
        <f t="shared" ca="1" si="31"/>
        <v>-1330.9672678084685</v>
      </c>
      <c r="AY39" s="58">
        <f t="shared" ca="1" si="31"/>
        <v>256.41514585139805</v>
      </c>
      <c r="AZ39" s="58">
        <f t="shared" ca="1" si="31"/>
        <v>335.83106686237295</v>
      </c>
    </row>
    <row r="40" spans="2:52" hidden="1" outlineLevel="1">
      <c r="B40" s="3" t="s">
        <v>605</v>
      </c>
      <c r="E40" s="106"/>
      <c r="F40" s="46"/>
      <c r="G40" s="46"/>
      <c r="H40" s="46"/>
      <c r="I40" s="58">
        <f>I144</f>
        <v>-2383.4070000000006</v>
      </c>
      <c r="J40" s="58">
        <f t="shared" ref="J40:N40" si="32">J144</f>
        <v>-2727.1020000000003</v>
      </c>
      <c r="K40" s="58">
        <f t="shared" ca="1" si="32"/>
        <v>-3719.5849999999959</v>
      </c>
      <c r="L40" s="58">
        <f t="shared" ca="1" si="32"/>
        <v>-7287.0340563457285</v>
      </c>
      <c r="M40" s="58">
        <f t="shared" ca="1" si="32"/>
        <v>-6201.9975342312719</v>
      </c>
      <c r="N40" s="58">
        <f t="shared" ca="1" si="32"/>
        <v>-3077.0606568188678</v>
      </c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58">
        <f t="shared" ref="AI40:AZ40" si="33">AI144</f>
        <v>-557.92099999999994</v>
      </c>
      <c r="AJ40" s="58">
        <f t="shared" si="33"/>
        <v>-746.09699999999987</v>
      </c>
      <c r="AK40" s="58">
        <f t="shared" ca="1" si="33"/>
        <v>-961.98599999999965</v>
      </c>
      <c r="AL40" s="58">
        <f t="shared" ca="1" si="33"/>
        <v>-939.36999999999944</v>
      </c>
      <c r="AM40" s="58">
        <f t="shared" ca="1" si="33"/>
        <v>-1013.8000000000002</v>
      </c>
      <c r="AN40" s="58">
        <f t="shared" ca="1" si="33"/>
        <v>-804.4290000000002</v>
      </c>
      <c r="AO40" s="58">
        <f t="shared" ca="1" si="33"/>
        <v>-1223.2073792149672</v>
      </c>
      <c r="AP40" s="58">
        <f t="shared" ca="1" si="33"/>
        <v>-2272.0889951999116</v>
      </c>
      <c r="AQ40" s="58">
        <f t="shared" ca="1" si="33"/>
        <v>-1671.8177595497696</v>
      </c>
      <c r="AR40" s="58">
        <f t="shared" ca="1" si="33"/>
        <v>-2119.9199223810797</v>
      </c>
      <c r="AS40" s="58">
        <f t="shared" ca="1" si="33"/>
        <v>-1904.4891142807926</v>
      </c>
      <c r="AT40" s="58">
        <f t="shared" ca="1" si="33"/>
        <v>-2077.437194794742</v>
      </c>
      <c r="AU40" s="58">
        <f t="shared" ca="1" si="33"/>
        <v>-1026.5646112419035</v>
      </c>
      <c r="AV40" s="58">
        <f t="shared" ca="1" si="33"/>
        <v>-1193.5066139138339</v>
      </c>
      <c r="AW40" s="58">
        <f t="shared" ca="1" si="33"/>
        <v>-1391.2760397474044</v>
      </c>
      <c r="AX40" s="58">
        <f t="shared" ca="1" si="33"/>
        <v>-1629.5619926227312</v>
      </c>
      <c r="AY40" s="58">
        <f t="shared" ca="1" si="33"/>
        <v>-58.471035464012687</v>
      </c>
      <c r="AZ40" s="58">
        <f t="shared" ca="1" si="33"/>
        <v>2.2484110152808512</v>
      </c>
    </row>
    <row r="41" spans="2:52" hidden="1" outlineLevel="1">
      <c r="B41" s="3" t="s">
        <v>606</v>
      </c>
      <c r="E41" s="106"/>
      <c r="F41" s="46"/>
      <c r="G41" s="46"/>
      <c r="H41" s="46"/>
      <c r="I41" s="58">
        <f>I147</f>
        <v>-2530.9180000000006</v>
      </c>
      <c r="J41" s="58">
        <f t="shared" ref="J41:N41" si="34">J147</f>
        <v>-3011.6300000000006</v>
      </c>
      <c r="K41" s="58">
        <f t="shared" ca="1" si="34"/>
        <v>-3503.5079999999957</v>
      </c>
      <c r="L41" s="58">
        <f t="shared" ca="1" si="34"/>
        <v>-6949.288963294196</v>
      </c>
      <c r="M41" s="58">
        <f t="shared" ca="1" si="34"/>
        <v>-6036.8476316564293</v>
      </c>
      <c r="N41" s="58">
        <f t="shared" ca="1" si="34"/>
        <v>-2936.9110386948732</v>
      </c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58">
        <f t="shared" ref="AI41:AZ41" si="35">AI147</f>
        <v>-560.75199999999995</v>
      </c>
      <c r="AJ41" s="58">
        <f t="shared" si="35"/>
        <v>-750.23599999999988</v>
      </c>
      <c r="AK41" s="58">
        <f t="shared" ca="1" si="35"/>
        <v>-962.82599999999957</v>
      </c>
      <c r="AL41" s="58">
        <f t="shared" ca="1" si="35"/>
        <v>-940.07499999999936</v>
      </c>
      <c r="AM41" s="58">
        <f t="shared" ca="1" si="35"/>
        <v>-1014.5860000000002</v>
      </c>
      <c r="AN41" s="58">
        <f t="shared" ca="1" si="35"/>
        <v>-794.53300000000024</v>
      </c>
      <c r="AO41" s="58">
        <f t="shared" ca="1" si="35"/>
        <v>-1152.975109618621</v>
      </c>
      <c r="AP41" s="58">
        <f t="shared" ca="1" si="35"/>
        <v>-2156.2063812499073</v>
      </c>
      <c r="AQ41" s="58">
        <f t="shared" ca="1" si="35"/>
        <v>-1584.6322492998472</v>
      </c>
      <c r="AR41" s="58">
        <f t="shared" ca="1" si="35"/>
        <v>-2055.4752231258208</v>
      </c>
      <c r="AS41" s="58">
        <f t="shared" ca="1" si="35"/>
        <v>-1860.6936945723182</v>
      </c>
      <c r="AT41" s="58">
        <f t="shared" ca="1" si="35"/>
        <v>-2051.8415585021398</v>
      </c>
      <c r="AU41" s="58">
        <f t="shared" ca="1" si="35"/>
        <v>-989.48433704539195</v>
      </c>
      <c r="AV41" s="58">
        <f t="shared" ca="1" si="35"/>
        <v>-1134.8280415365789</v>
      </c>
      <c r="AW41" s="58">
        <f t="shared" ca="1" si="35"/>
        <v>-1345.4640542419727</v>
      </c>
      <c r="AX41" s="58">
        <f t="shared" ca="1" si="35"/>
        <v>-1590.7034021519962</v>
      </c>
      <c r="AY41" s="58">
        <f t="shared" ca="1" si="35"/>
        <v>-30.501678635781147</v>
      </c>
      <c r="AZ41" s="58">
        <f t="shared" ca="1" si="35"/>
        <v>29.758096334876328</v>
      </c>
    </row>
    <row r="42" spans="2:52" hidden="1" outlineLevel="1">
      <c r="B42" s="3"/>
      <c r="E42" s="106"/>
      <c r="F42" s="46"/>
      <c r="G42" s="46"/>
      <c r="H42" s="46"/>
      <c r="I42" s="46"/>
      <c r="J42" s="46"/>
      <c r="K42" s="46"/>
      <c r="L42" s="45"/>
      <c r="M42" s="45"/>
      <c r="N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2:52" hidden="1" outlineLevel="1">
      <c r="B43" s="1" t="s">
        <v>607</v>
      </c>
      <c r="E43" s="106"/>
      <c r="F43" s="46"/>
      <c r="G43" s="46"/>
      <c r="H43" s="46"/>
      <c r="I43" s="46"/>
      <c r="J43" s="46"/>
      <c r="K43" s="46"/>
      <c r="L43" s="45"/>
      <c r="M43" s="45"/>
      <c r="N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2:52" hidden="1" outlineLevel="1">
      <c r="B44" s="3" t="s">
        <v>115</v>
      </c>
      <c r="E44" s="106"/>
      <c r="F44" s="46"/>
      <c r="G44" s="46"/>
      <c r="H44" s="46"/>
      <c r="I44" s="4">
        <f>I35/I$11</f>
        <v>-0.13597228134405706</v>
      </c>
      <c r="J44" s="4">
        <f t="shared" ref="J44:N44" si="36">J35/J$11</f>
        <v>-1.7725441465277544E-2</v>
      </c>
      <c r="K44" s="4">
        <f t="shared" si="36"/>
        <v>-4.7259952757287653E-4</v>
      </c>
      <c r="L44" s="4">
        <f t="shared" ca="1" si="36"/>
        <v>-9.7051687294441427E-2</v>
      </c>
      <c r="M44" s="4">
        <f t="shared" ca="1" si="36"/>
        <v>-8.7378357726844783E-3</v>
      </c>
      <c r="N44" s="4">
        <f t="shared" ca="1" si="36"/>
        <v>9.5883579914122177E-2</v>
      </c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">
        <f t="shared" ref="AI44:AZ44" si="37">AI35/AI$11</f>
        <v>3.5812559705506036E-2</v>
      </c>
      <c r="AJ44" s="4">
        <f t="shared" si="37"/>
        <v>1.0713393738930719E-2</v>
      </c>
      <c r="AK44" s="4">
        <f t="shared" si="37"/>
        <v>-8.361484686212127E-2</v>
      </c>
      <c r="AL44" s="4">
        <f t="shared" si="37"/>
        <v>-1.5870766811231292E-2</v>
      </c>
      <c r="AM44" s="4">
        <f t="shared" si="37"/>
        <v>1.0653290733636783E-2</v>
      </c>
      <c r="AN44" s="4">
        <f t="shared" si="37"/>
        <v>5.8600527170801574E-2</v>
      </c>
      <c r="AO44" s="4">
        <f t="shared" ca="1" si="37"/>
        <v>-2.2215711546126303E-2</v>
      </c>
      <c r="AP44" s="4">
        <f t="shared" ca="1" si="37"/>
        <v>-0.17511190911729255</v>
      </c>
      <c r="AQ44" s="4">
        <f t="shared" ca="1" si="37"/>
        <v>-6.672605753000993E-2</v>
      </c>
      <c r="AR44" s="4">
        <f t="shared" ca="1" si="37"/>
        <v>-0.1135068098694049</v>
      </c>
      <c r="AS44" s="4">
        <f t="shared" ca="1" si="37"/>
        <v>-7.2547007741948749E-2</v>
      </c>
      <c r="AT44" s="4">
        <f t="shared" ca="1" si="37"/>
        <v>-7.880198432191271E-2</v>
      </c>
      <c r="AU44" s="4">
        <f t="shared" ca="1" si="37"/>
        <v>4.5853122140713784E-2</v>
      </c>
      <c r="AV44" s="4">
        <f t="shared" ca="1" si="37"/>
        <v>4.9561965687424749E-2</v>
      </c>
      <c r="AW44" s="4">
        <f t="shared" ca="1" si="37"/>
        <v>3.6606912699119254E-2</v>
      </c>
      <c r="AX44" s="4">
        <f t="shared" ca="1" si="37"/>
        <v>9.3877138442156945E-3</v>
      </c>
      <c r="AY44" s="4">
        <f t="shared" ca="1" si="37"/>
        <v>0.14497649288524395</v>
      </c>
      <c r="AZ44" s="4">
        <f t="shared" ca="1" si="37"/>
        <v>0.17296315463026116</v>
      </c>
    </row>
    <row r="45" spans="2:52" hidden="1" outlineLevel="1">
      <c r="B45" s="3" t="s">
        <v>81</v>
      </c>
      <c r="E45" s="106"/>
      <c r="F45" s="46"/>
      <c r="G45" s="46"/>
      <c r="H45" s="46"/>
      <c r="I45" s="4">
        <f t="shared" ref="I45:N45" si="38">I36/I$11</f>
        <v>-0.45643746531031582</v>
      </c>
      <c r="J45" s="4">
        <f t="shared" si="38"/>
        <v>-0.24823288860143627</v>
      </c>
      <c r="K45" s="4">
        <f t="shared" ca="1" si="38"/>
        <v>-0.22746745231854551</v>
      </c>
      <c r="L45" s="4">
        <f t="shared" ca="1" si="38"/>
        <v>-0.30213817536500892</v>
      </c>
      <c r="M45" s="4">
        <f t="shared" ca="1" si="38"/>
        <v>-0.20101692357611295</v>
      </c>
      <c r="N45" s="4">
        <f t="shared" ca="1" si="38"/>
        <v>-8.3745133063669833E-2</v>
      </c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">
        <f t="shared" ref="AI45:AZ45" si="39">AI36/AI$11</f>
        <v>-0.17762188518370264</v>
      </c>
      <c r="AJ45" s="4">
        <f t="shared" si="39"/>
        <v>-0.24166686739885312</v>
      </c>
      <c r="AK45" s="4">
        <f t="shared" ca="1" si="39"/>
        <v>-0.31656767256368218</v>
      </c>
      <c r="AL45" s="4">
        <f t="shared" ca="1" si="39"/>
        <v>-0.22898357703165192</v>
      </c>
      <c r="AM45" s="4">
        <f t="shared" ca="1" si="39"/>
        <v>-0.21545462423314593</v>
      </c>
      <c r="AN45" s="4">
        <f t="shared" ca="1" si="39"/>
        <v>-0.17771111222743161</v>
      </c>
      <c r="AO45" s="4">
        <f t="shared" ca="1" si="39"/>
        <v>-0.25088151709106138</v>
      </c>
      <c r="AP45" s="4">
        <f t="shared" ca="1" si="39"/>
        <v>-0.37977771466222765</v>
      </c>
      <c r="AQ45" s="4">
        <f t="shared" ca="1" si="39"/>
        <v>-0.25139186307494499</v>
      </c>
      <c r="AR45" s="4">
        <f t="shared" ca="1" si="39"/>
        <v>-0.32217261541433989</v>
      </c>
      <c r="AS45" s="4">
        <f t="shared" ca="1" si="39"/>
        <v>-0.28746281328688383</v>
      </c>
      <c r="AT45" s="4">
        <f t="shared" ca="1" si="39"/>
        <v>-0.27046778986684772</v>
      </c>
      <c r="AU45" s="4">
        <f t="shared" ca="1" si="39"/>
        <v>-0.12631268340422125</v>
      </c>
      <c r="AV45" s="4">
        <f t="shared" ca="1" si="39"/>
        <v>-0.14585383985751027</v>
      </c>
      <c r="AW45" s="4">
        <f t="shared" ca="1" si="39"/>
        <v>-0.16484639284581579</v>
      </c>
      <c r="AX45" s="4">
        <f t="shared" ca="1" si="39"/>
        <v>-0.16952809170071934</v>
      </c>
      <c r="AY45" s="4">
        <f t="shared" ca="1" si="39"/>
        <v>-1.4914312659691103E-2</v>
      </c>
      <c r="AZ45" s="4">
        <f t="shared" ca="1" si="39"/>
        <v>-9.4651509146738682E-3</v>
      </c>
    </row>
    <row r="46" spans="2:52" hidden="1" outlineLevel="1">
      <c r="B46" s="3" t="s">
        <v>382</v>
      </c>
      <c r="E46" s="106"/>
      <c r="F46" s="46"/>
      <c r="G46" s="46"/>
      <c r="H46" s="46"/>
      <c r="I46" s="4">
        <f t="shared" ref="I46:N46" si="40">I37/I$11</f>
        <v>-0.48417247899064875</v>
      </c>
      <c r="J46" s="4">
        <f t="shared" si="40"/>
        <v>-0.27355260871124454</v>
      </c>
      <c r="K46" s="4">
        <f t="shared" ca="1" si="40"/>
        <v>-0.21503376327441875</v>
      </c>
      <c r="L46" s="4">
        <f t="shared" ca="1" si="40"/>
        <v>-0.28867510954482606</v>
      </c>
      <c r="M46" s="4">
        <f t="shared" ca="1" si="40"/>
        <v>-0.19594814259335755</v>
      </c>
      <c r="N46" s="4">
        <f t="shared" ca="1" si="40"/>
        <v>-8.0371045172807937E-2</v>
      </c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">
        <f t="shared" ref="AI46:AZ46" si="41">AI37/AI$11</f>
        <v>-0.17849091494006733</v>
      </c>
      <c r="AJ46" s="4">
        <f t="shared" si="41"/>
        <v>-0.24297870506187408</v>
      </c>
      <c r="AK46" s="4">
        <f t="shared" ca="1" si="41"/>
        <v>-0.31682345554278651</v>
      </c>
      <c r="AL46" s="4">
        <f t="shared" ca="1" si="41"/>
        <v>-0.229146533115103</v>
      </c>
      <c r="AM46" s="4">
        <f t="shared" ca="1" si="41"/>
        <v>-0.2156133934124527</v>
      </c>
      <c r="AN46" s="4">
        <f t="shared" ca="1" si="41"/>
        <v>-0.17565689807851273</v>
      </c>
      <c r="AO46" s="4">
        <f t="shared" ca="1" si="41"/>
        <v>-0.23714655722739936</v>
      </c>
      <c r="AP46" s="4">
        <f t="shared" ca="1" si="41"/>
        <v>-0.36100299258857793</v>
      </c>
      <c r="AQ46" s="4">
        <f t="shared" ca="1" si="41"/>
        <v>-0.2388900873536107</v>
      </c>
      <c r="AR46" s="4">
        <f t="shared" ca="1" si="41"/>
        <v>-0.31273331715263736</v>
      </c>
      <c r="AS46" s="4">
        <f t="shared" ca="1" si="41"/>
        <v>-0.28109760637990044</v>
      </c>
      <c r="AT46" s="4">
        <f t="shared" ca="1" si="41"/>
        <v>-0.26726682071576263</v>
      </c>
      <c r="AU46" s="4">
        <f t="shared" ca="1" si="41"/>
        <v>-0.12213541095304759</v>
      </c>
      <c r="AV46" s="4">
        <f t="shared" ca="1" si="41"/>
        <v>-0.13920731123179714</v>
      </c>
      <c r="AW46" s="4">
        <f t="shared" ca="1" si="41"/>
        <v>-0.15973658145476891</v>
      </c>
      <c r="AX46" s="4">
        <f t="shared" ca="1" si="41"/>
        <v>-0.1657159959794558</v>
      </c>
      <c r="AY46" s="4">
        <f t="shared" ca="1" si="41"/>
        <v>-1.2403427418901183E-2</v>
      </c>
      <c r="AZ46" s="4">
        <f t="shared" ca="1" si="41"/>
        <v>-7.0174096559678699E-3</v>
      </c>
    </row>
    <row r="47" spans="2:52" hidden="1" outlineLevel="1">
      <c r="B47" s="3" t="s">
        <v>603</v>
      </c>
      <c r="E47" s="106"/>
      <c r="F47" s="46"/>
      <c r="G47" s="46"/>
      <c r="H47" s="46"/>
      <c r="I47" s="4">
        <f t="shared" ref="I47:N47" si="42">I38/I$11</f>
        <v>-0.13487480878369135</v>
      </c>
      <c r="J47" s="4">
        <f t="shared" si="42"/>
        <v>-1.6881919467720635E-2</v>
      </c>
      <c r="K47" s="4">
        <f t="shared" si="42"/>
        <v>1.5353586502748478E-3</v>
      </c>
      <c r="L47" s="4">
        <f t="shared" ca="1" si="42"/>
        <v>-9.5386478533060398E-2</v>
      </c>
      <c r="M47" s="4">
        <f t="shared" ca="1" si="42"/>
        <v>-7.0726270113031222E-3</v>
      </c>
      <c r="N47" s="4">
        <f t="shared" ca="1" si="42"/>
        <v>9.7548788675503331E-2</v>
      </c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">
        <f t="shared" ref="AI47:AZ47" si="43">AI38/AI$11</f>
        <v>3.6884496091668356E-2</v>
      </c>
      <c r="AJ47" s="4">
        <f t="shared" si="43"/>
        <v>1.1659159282891702E-2</v>
      </c>
      <c r="AK47" s="4">
        <f t="shared" si="43"/>
        <v>-8.0358181431739006E-2</v>
      </c>
      <c r="AL47" s="4">
        <f t="shared" si="43"/>
        <v>-1.4024393485547262E-2</v>
      </c>
      <c r="AM47" s="4">
        <f t="shared" si="43"/>
        <v>1.2307641342443866E-2</v>
      </c>
      <c r="AN47" s="4">
        <f t="shared" si="43"/>
        <v>6.0265735932182679E-2</v>
      </c>
      <c r="AO47" s="4">
        <f t="shared" ca="1" si="43"/>
        <v>-2.0550502784745194E-2</v>
      </c>
      <c r="AP47" s="4">
        <f t="shared" ca="1" si="43"/>
        <v>-0.17344670035591145</v>
      </c>
      <c r="AQ47" s="4">
        <f t="shared" ca="1" si="43"/>
        <v>-6.5060848768628832E-2</v>
      </c>
      <c r="AR47" s="4">
        <f t="shared" ca="1" si="43"/>
        <v>-0.1118416011080238</v>
      </c>
      <c r="AS47" s="4">
        <f t="shared" ca="1" si="43"/>
        <v>-7.0881798980567637E-2</v>
      </c>
      <c r="AT47" s="4">
        <f t="shared" ca="1" si="43"/>
        <v>-7.7136775560531598E-2</v>
      </c>
      <c r="AU47" s="4">
        <f t="shared" ca="1" si="43"/>
        <v>4.7518330902094896E-2</v>
      </c>
      <c r="AV47" s="4">
        <f t="shared" ca="1" si="43"/>
        <v>5.1227174448805854E-2</v>
      </c>
      <c r="AW47" s="4">
        <f t="shared" ca="1" si="43"/>
        <v>3.8272121460500366E-2</v>
      </c>
      <c r="AX47" s="4">
        <f t="shared" ca="1" si="43"/>
        <v>1.10529226055968E-2</v>
      </c>
      <c r="AY47" s="4">
        <f t="shared" ca="1" si="43"/>
        <v>0.14664170164662504</v>
      </c>
      <c r="AZ47" s="4">
        <f t="shared" ca="1" si="43"/>
        <v>0.17462836339164226</v>
      </c>
    </row>
    <row r="48" spans="2:52" hidden="1" outlineLevel="1">
      <c r="B48" s="3" t="s">
        <v>604</v>
      </c>
      <c r="E48" s="106"/>
      <c r="F48" s="46"/>
      <c r="G48" s="46"/>
      <c r="H48" s="46"/>
      <c r="I48" s="4">
        <f t="shared" ref="I48:N48" si="44">I39/I$11</f>
        <v>-0.37386341928603567</v>
      </c>
      <c r="J48" s="4">
        <f t="shared" si="44"/>
        <v>-0.20630782528389338</v>
      </c>
      <c r="K48" s="4">
        <f t="shared" ca="1" si="44"/>
        <v>-0.18746336677532652</v>
      </c>
      <c r="L48" s="4">
        <f t="shared" ca="1" si="44"/>
        <v>-0.26506191172515303</v>
      </c>
      <c r="M48" s="4">
        <f t="shared" ca="1" si="44"/>
        <v>-0.16108035444809471</v>
      </c>
      <c r="N48" s="4">
        <f t="shared" ca="1" si="44"/>
        <v>-4.4391361188607391E-2</v>
      </c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">
        <f t="shared" ref="AI48:AZ48" si="45">AI39/AI$11</f>
        <v>-0.13989713769655235</v>
      </c>
      <c r="AJ48" s="4">
        <f t="shared" si="45"/>
        <v>-0.20408528561231976</v>
      </c>
      <c r="AK48" s="4">
        <f t="shared" ca="1" si="45"/>
        <v>-0.25777466067647276</v>
      </c>
      <c r="AL48" s="4">
        <f t="shared" ca="1" si="45"/>
        <v>-0.19044475222469712</v>
      </c>
      <c r="AM48" s="4">
        <f t="shared" ca="1" si="45"/>
        <v>-0.18146443560283712</v>
      </c>
      <c r="AN48" s="4">
        <f t="shared" ca="1" si="45"/>
        <v>-0.14301941871717902</v>
      </c>
      <c r="AO48" s="4">
        <f t="shared" ca="1" si="45"/>
        <v>-0.21376388390330422</v>
      </c>
      <c r="AP48" s="4">
        <f t="shared" ca="1" si="45"/>
        <v>-0.3442835619808351</v>
      </c>
      <c r="AQ48" s="4">
        <f t="shared" ca="1" si="45"/>
        <v>-0.21559939256060609</v>
      </c>
      <c r="AR48" s="4">
        <f t="shared" ca="1" si="45"/>
        <v>-0.28238565818186029</v>
      </c>
      <c r="AS48" s="4">
        <f t="shared" ca="1" si="45"/>
        <v>-0.24583082892621849</v>
      </c>
      <c r="AT48" s="4">
        <f t="shared" ca="1" si="45"/>
        <v>-0.23133984605842778</v>
      </c>
      <c r="AU48" s="4">
        <f t="shared" ca="1" si="45"/>
        <v>-8.793017175442179E-2</v>
      </c>
      <c r="AV48" s="4">
        <f t="shared" ca="1" si="45"/>
        <v>-0.10494364643473714</v>
      </c>
      <c r="AW48" s="4">
        <f t="shared" ca="1" si="45"/>
        <v>-0.1232686749327009</v>
      </c>
      <c r="AX48" s="4">
        <f t="shared" ca="1" si="45"/>
        <v>-0.1305702179438448</v>
      </c>
      <c r="AY48" s="4">
        <f t="shared" ca="1" si="45"/>
        <v>2.3019085107577667E-2</v>
      </c>
      <c r="AZ48" s="4">
        <f t="shared" ca="1" si="45"/>
        <v>2.988138718288948E-2</v>
      </c>
    </row>
    <row r="49" spans="2:52" hidden="1" outlineLevel="1">
      <c r="B49" s="3" t="s">
        <v>605</v>
      </c>
      <c r="E49" s="106"/>
      <c r="F49" s="46"/>
      <c r="G49" s="46"/>
      <c r="H49" s="46"/>
      <c r="I49" s="4">
        <f t="shared" ref="I49:N49" si="46">I40/I$11</f>
        <v>-0.44812811079039094</v>
      </c>
      <c r="J49" s="4">
        <f t="shared" si="46"/>
        <v>-0.24268071806956895</v>
      </c>
      <c r="K49" s="4">
        <f t="shared" ca="1" si="46"/>
        <v>-0.21403556724314998</v>
      </c>
      <c r="L49" s="4">
        <f t="shared" ca="1" si="46"/>
        <v>-0.29047296660362792</v>
      </c>
      <c r="M49" s="4">
        <f t="shared" ca="1" si="46"/>
        <v>-0.19035171481473159</v>
      </c>
      <c r="N49" s="4">
        <f t="shared" ca="1" si="46"/>
        <v>-7.4079924302288699E-2</v>
      </c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">
        <f t="shared" ref="AI49:AZ49" si="47">AI40/AI$11</f>
        <v>-0.17126455340895416</v>
      </c>
      <c r="AJ49" s="4">
        <f t="shared" si="47"/>
        <v>-0.23647212970933554</v>
      </c>
      <c r="AK49" s="4">
        <f t="shared" ca="1" si="47"/>
        <v>-0.29292814873414813</v>
      </c>
      <c r="AL49" s="4">
        <f t="shared" ca="1" si="47"/>
        <v>-0.21712915760488288</v>
      </c>
      <c r="AM49" s="4">
        <f t="shared" ca="1" si="47"/>
        <v>-0.20478396180813457</v>
      </c>
      <c r="AN49" s="4">
        <f t="shared" ca="1" si="47"/>
        <v>-0.16698357251421619</v>
      </c>
      <c r="AO49" s="4">
        <f t="shared" ca="1" si="47"/>
        <v>-0.23921630832968024</v>
      </c>
      <c r="AP49" s="4">
        <f t="shared" ca="1" si="47"/>
        <v>-0.3681125059008466</v>
      </c>
      <c r="AQ49" s="4">
        <f t="shared" ca="1" si="47"/>
        <v>-0.23972665431356388</v>
      </c>
      <c r="AR49" s="4">
        <f t="shared" ca="1" si="47"/>
        <v>-0.31050740665295878</v>
      </c>
      <c r="AS49" s="4">
        <f t="shared" ca="1" si="47"/>
        <v>-0.27679760452550273</v>
      </c>
      <c r="AT49" s="4">
        <f t="shared" ca="1" si="47"/>
        <v>-0.25980258110546661</v>
      </c>
      <c r="AU49" s="4">
        <f t="shared" ca="1" si="47"/>
        <v>-0.11564747464284017</v>
      </c>
      <c r="AV49" s="4">
        <f t="shared" ca="1" si="47"/>
        <v>-0.13518863109612916</v>
      </c>
      <c r="AW49" s="4">
        <f t="shared" ca="1" si="47"/>
        <v>-0.15518118408443465</v>
      </c>
      <c r="AX49" s="4">
        <f t="shared" ca="1" si="47"/>
        <v>-0.15986288293933823</v>
      </c>
      <c r="AY49" s="4">
        <f t="shared" ca="1" si="47"/>
        <v>-5.2491038983099973E-3</v>
      </c>
      <c r="AZ49" s="4">
        <f t="shared" ca="1" si="47"/>
        <v>2.0005784670723784E-4</v>
      </c>
    </row>
    <row r="50" spans="2:52" hidden="1" outlineLevel="1">
      <c r="B50" s="3" t="s">
        <v>606</v>
      </c>
      <c r="E50" s="106"/>
      <c r="F50" s="46"/>
      <c r="G50" s="46"/>
      <c r="H50" s="46"/>
      <c r="I50" s="4">
        <f t="shared" ref="I50:N50" si="48">I41/I$11</f>
        <v>-0.47586312447072393</v>
      </c>
      <c r="J50" s="4">
        <f t="shared" si="48"/>
        <v>-0.26800043817937719</v>
      </c>
      <c r="K50" s="4">
        <f t="shared" ca="1" si="48"/>
        <v>-0.20160187819902323</v>
      </c>
      <c r="L50" s="4">
        <f t="shared" ca="1" si="48"/>
        <v>-0.27700990078344501</v>
      </c>
      <c r="M50" s="4">
        <f t="shared" ca="1" si="48"/>
        <v>-0.18528293383197622</v>
      </c>
      <c r="N50" s="4">
        <f t="shared" ca="1" si="48"/>
        <v>-7.0705836411426776E-2</v>
      </c>
      <c r="Q50" s="16"/>
      <c r="R50" s="15"/>
      <c r="S50" s="14"/>
      <c r="T50" s="17"/>
      <c r="U50" s="16"/>
      <c r="V50" s="15"/>
      <c r="W50" s="14"/>
      <c r="X50" s="17"/>
      <c r="Y50" s="16"/>
      <c r="Z50" s="15"/>
      <c r="AA50" s="14"/>
      <c r="AB50" s="17"/>
      <c r="AC50" s="16"/>
      <c r="AD50" s="15"/>
      <c r="AE50" s="14"/>
      <c r="AF50" s="17"/>
      <c r="AG50" s="16"/>
      <c r="AH50" s="15"/>
      <c r="AI50" s="4">
        <f t="shared" ref="AI50:AZ50" si="49">AI41/AI$11</f>
        <v>-0.17213358316531885</v>
      </c>
      <c r="AJ50" s="4">
        <f t="shared" si="49"/>
        <v>-0.23778396737235646</v>
      </c>
      <c r="AK50" s="4">
        <f t="shared" ca="1" si="49"/>
        <v>-0.29318393171325247</v>
      </c>
      <c r="AL50" s="4">
        <f t="shared" ca="1" si="49"/>
        <v>-0.21729211368833395</v>
      </c>
      <c r="AM50" s="4">
        <f t="shared" ca="1" si="49"/>
        <v>-0.20494273098744134</v>
      </c>
      <c r="AN50" s="4">
        <f t="shared" ca="1" si="49"/>
        <v>-0.16492935836529729</v>
      </c>
      <c r="AO50" s="4">
        <f t="shared" ca="1" si="49"/>
        <v>-0.22548134846601822</v>
      </c>
      <c r="AP50" s="4">
        <f t="shared" ca="1" si="49"/>
        <v>-0.34933778382719682</v>
      </c>
      <c r="AQ50" s="4">
        <f t="shared" ca="1" si="49"/>
        <v>-0.22722487859222959</v>
      </c>
      <c r="AR50" s="4">
        <f t="shared" ca="1" si="49"/>
        <v>-0.30106810839125625</v>
      </c>
      <c r="AS50" s="4">
        <f t="shared" ca="1" si="49"/>
        <v>-0.27043239761851939</v>
      </c>
      <c r="AT50" s="4">
        <f t="shared" ca="1" si="49"/>
        <v>-0.25660161195438147</v>
      </c>
      <c r="AU50" s="4">
        <f t="shared" ca="1" si="49"/>
        <v>-0.11147020219166646</v>
      </c>
      <c r="AV50" s="4">
        <f t="shared" ca="1" si="49"/>
        <v>-0.12854210247041603</v>
      </c>
      <c r="AW50" s="4">
        <f t="shared" ca="1" si="49"/>
        <v>-0.1500713726933878</v>
      </c>
      <c r="AX50" s="4">
        <f t="shared" ca="1" si="49"/>
        <v>-0.15605078721807469</v>
      </c>
      <c r="AY50" s="4">
        <f t="shared" ca="1" si="49"/>
        <v>-2.7382186575200759E-3</v>
      </c>
      <c r="AZ50" s="4">
        <f t="shared" ca="1" si="49"/>
        <v>2.6477991054132365E-3</v>
      </c>
    </row>
    <row r="51" spans="2:52" hidden="1" outlineLevel="1">
      <c r="B51" s="3"/>
      <c r="E51" s="106"/>
      <c r="F51" s="46"/>
      <c r="G51" s="46"/>
      <c r="H51" s="46"/>
      <c r="I51" s="46"/>
      <c r="J51" s="46"/>
      <c r="K51" s="46"/>
      <c r="L51" s="45"/>
      <c r="M51" s="45"/>
      <c r="N51" s="45"/>
      <c r="Q51" s="16"/>
      <c r="R51" s="15"/>
      <c r="S51" s="14"/>
      <c r="T51" s="17"/>
      <c r="U51" s="16"/>
      <c r="V51" s="15"/>
      <c r="W51" s="14"/>
      <c r="X51" s="17"/>
      <c r="Y51" s="16"/>
      <c r="Z51" s="15"/>
      <c r="AA51" s="14"/>
      <c r="AB51" s="17"/>
      <c r="AC51" s="16"/>
      <c r="AD51" s="15"/>
      <c r="AE51" s="14"/>
      <c r="AF51" s="17"/>
      <c r="AG51" s="16"/>
      <c r="AH51" s="15"/>
      <c r="AI51" s="14"/>
      <c r="AJ51" s="17"/>
      <c r="AK51" s="16"/>
      <c r="AL51" s="15"/>
      <c r="AM51" s="14"/>
      <c r="AN51" s="17"/>
      <c r="AO51" s="44"/>
      <c r="AP51" s="43"/>
      <c r="AQ51" s="42"/>
      <c r="AR51" s="41"/>
      <c r="AS51" s="44"/>
      <c r="AT51" s="43"/>
      <c r="AU51" s="42"/>
      <c r="AV51" s="41"/>
      <c r="AW51" s="41"/>
      <c r="AX51" s="41"/>
      <c r="AY51" s="41"/>
      <c r="AZ51" s="41"/>
    </row>
    <row r="52" spans="2:52" hidden="1" outlineLevel="1">
      <c r="B52" s="1" t="s">
        <v>389</v>
      </c>
      <c r="E52" s="106"/>
      <c r="F52" s="46"/>
      <c r="G52" s="46"/>
      <c r="H52" s="46"/>
      <c r="I52" s="46"/>
      <c r="J52" s="46"/>
      <c r="K52" s="46"/>
      <c r="L52" s="45"/>
      <c r="M52" s="45"/>
      <c r="N52" s="45"/>
      <c r="Q52" s="16"/>
      <c r="R52" s="15"/>
      <c r="S52" s="14"/>
      <c r="T52" s="17"/>
      <c r="U52" s="16"/>
      <c r="V52" s="15"/>
      <c r="W52" s="14"/>
      <c r="X52" s="17"/>
      <c r="Y52" s="16"/>
      <c r="Z52" s="15"/>
      <c r="AA52" s="14"/>
      <c r="AB52" s="17"/>
      <c r="AC52" s="16"/>
      <c r="AD52" s="15"/>
      <c r="AE52" s="14"/>
      <c r="AF52" s="17"/>
      <c r="AG52" s="16"/>
      <c r="AH52" s="15"/>
      <c r="AI52" s="14"/>
      <c r="AJ52" s="17"/>
      <c r="AK52" s="16"/>
      <c r="AL52" s="15"/>
      <c r="AM52" s="14"/>
      <c r="AN52" s="17"/>
      <c r="AO52" s="44"/>
      <c r="AP52" s="43"/>
      <c r="AQ52" s="42"/>
      <c r="AR52" s="41"/>
      <c r="AS52" s="44"/>
      <c r="AT52" s="43"/>
      <c r="AU52" s="42"/>
      <c r="AV52" s="41"/>
      <c r="AW52" s="41"/>
      <c r="AX52" s="41"/>
      <c r="AY52" s="41"/>
      <c r="AZ52" s="41"/>
    </row>
    <row r="53" spans="2:52" hidden="1" outlineLevel="1">
      <c r="B53" s="3" t="s">
        <v>115</v>
      </c>
      <c r="E53" s="106"/>
      <c r="F53" s="46"/>
      <c r="G53" s="46"/>
      <c r="H53" s="46"/>
      <c r="I53" s="46"/>
      <c r="J53" s="183" t="str">
        <f>IF(J35&lt;0,"N.M.",IF(I35&lt;0,"N.M.",J35/I35-1))</f>
        <v>N.M.</v>
      </c>
      <c r="K53" s="183" t="str">
        <f t="shared" ref="K53:N53" si="50">IF(K35&lt;0,"N.M.",IF(J35&lt;0,"N.M.",K35/J35-1))</f>
        <v>N.M.</v>
      </c>
      <c r="L53" s="183" t="str">
        <f t="shared" ca="1" si="50"/>
        <v>N.M.</v>
      </c>
      <c r="M53" s="183" t="str">
        <f t="shared" ca="1" si="50"/>
        <v>N.M.</v>
      </c>
      <c r="N53" s="183" t="str">
        <f t="shared" ca="1" si="50"/>
        <v>N.M.</v>
      </c>
      <c r="Q53" s="16"/>
      <c r="R53" s="15"/>
      <c r="S53" s="14"/>
      <c r="T53" s="17"/>
      <c r="U53" s="16"/>
      <c r="V53" s="15"/>
      <c r="W53" s="14"/>
      <c r="X53" s="17"/>
      <c r="Y53" s="16"/>
      <c r="Z53" s="15"/>
      <c r="AA53" s="14"/>
      <c r="AB53" s="17"/>
      <c r="AC53" s="16"/>
      <c r="AD53" s="15"/>
      <c r="AE53" s="14"/>
      <c r="AF53" s="17"/>
      <c r="AG53" s="16"/>
      <c r="AH53" s="15"/>
      <c r="AI53" s="14"/>
      <c r="AJ53" s="17"/>
      <c r="AK53" s="16"/>
      <c r="AL53" s="15"/>
      <c r="AM53" s="183">
        <f>IF(AM35&lt;0,"N.M.",IF(AI35&lt;0,"N.M.",AM35/AI35-1))</f>
        <v>-0.54793639909141734</v>
      </c>
      <c r="AN53" s="183">
        <f t="shared" ref="AN53:AZ59" si="51">IF(AN35&lt;0,"N.M.",IF(AJ35&lt;0,"N.M.",AN35/AJ35-1))</f>
        <v>7.3516655819181924</v>
      </c>
      <c r="AO53" s="183" t="str">
        <f t="shared" ca="1" si="51"/>
        <v>N.M.</v>
      </c>
      <c r="AP53" s="183" t="str">
        <f t="shared" ca="1" si="51"/>
        <v>N.M.</v>
      </c>
      <c r="AQ53" s="183" t="str">
        <f t="shared" ca="1" si="51"/>
        <v>N.M.</v>
      </c>
      <c r="AR53" s="183" t="str">
        <f t="shared" ca="1" si="51"/>
        <v>N.M.</v>
      </c>
      <c r="AS53" s="183" t="str">
        <f t="shared" ca="1" si="51"/>
        <v>N.M.</v>
      </c>
      <c r="AT53" s="183" t="str">
        <f t="shared" ca="1" si="51"/>
        <v>N.M.</v>
      </c>
      <c r="AU53" s="183" t="str">
        <f t="shared" ca="1" si="51"/>
        <v>N.M.</v>
      </c>
      <c r="AV53" s="183" t="str">
        <f t="shared" ca="1" si="51"/>
        <v>N.M.</v>
      </c>
      <c r="AW53" s="183" t="str">
        <f t="shared" ca="1" si="51"/>
        <v>N.M.</v>
      </c>
      <c r="AX53" s="183" t="str">
        <f t="shared" ca="1" si="51"/>
        <v>N.M.</v>
      </c>
      <c r="AY53" s="183">
        <f t="shared" ca="1" si="51"/>
        <v>2.967657340812583</v>
      </c>
      <c r="AZ53" s="183">
        <f t="shared" ca="1" si="51"/>
        <v>3.4426339353288302</v>
      </c>
    </row>
    <row r="54" spans="2:52" hidden="1" outlineLevel="1">
      <c r="B54" s="3" t="s">
        <v>81</v>
      </c>
      <c r="E54" s="106"/>
      <c r="F54" s="46"/>
      <c r="G54" s="46"/>
      <c r="H54" s="46"/>
      <c r="I54" s="46"/>
      <c r="J54" s="183" t="str">
        <f t="shared" ref="J54:N54" si="52">IF(J36&lt;0,"N.M.",IF(I36&lt;0,"N.M.",J36/I36-1))</f>
        <v>N.M.</v>
      </c>
      <c r="K54" s="183" t="str">
        <f t="shared" ca="1" si="52"/>
        <v>N.M.</v>
      </c>
      <c r="L54" s="183" t="str">
        <f t="shared" ca="1" si="52"/>
        <v>N.M.</v>
      </c>
      <c r="M54" s="183" t="str">
        <f t="shared" ca="1" si="52"/>
        <v>N.M.</v>
      </c>
      <c r="N54" s="183" t="str">
        <f t="shared" ca="1" si="52"/>
        <v>N.M.</v>
      </c>
      <c r="Q54" s="16"/>
      <c r="R54" s="15"/>
      <c r="S54" s="14"/>
      <c r="T54" s="17"/>
      <c r="U54" s="16"/>
      <c r="V54" s="15"/>
      <c r="W54" s="14"/>
      <c r="X54" s="17"/>
      <c r="Y54" s="16"/>
      <c r="Z54" s="15"/>
      <c r="AA54" s="14"/>
      <c r="AB54" s="17"/>
      <c r="AC54" s="16"/>
      <c r="AD54" s="15"/>
      <c r="AE54" s="14"/>
      <c r="AF54" s="17"/>
      <c r="AG54" s="16"/>
      <c r="AH54" s="15"/>
      <c r="AI54" s="14"/>
      <c r="AJ54" s="17"/>
      <c r="AK54" s="16"/>
      <c r="AL54" s="15"/>
      <c r="AM54" s="183" t="str">
        <f t="shared" ref="AM54:AM59" ca="1" si="53">IF(AM36&lt;0,"N.M.",IF(AI36&lt;0,"N.M.",AM36/AI36-1))</f>
        <v>N.M.</v>
      </c>
      <c r="AN54" s="183" t="str">
        <f t="shared" ca="1" si="51"/>
        <v>N.M.</v>
      </c>
      <c r="AO54" s="183" t="str">
        <f t="shared" ca="1" si="51"/>
        <v>N.M.</v>
      </c>
      <c r="AP54" s="183" t="str">
        <f t="shared" ca="1" si="51"/>
        <v>N.M.</v>
      </c>
      <c r="AQ54" s="183" t="str">
        <f t="shared" ca="1" si="51"/>
        <v>N.M.</v>
      </c>
      <c r="AR54" s="183" t="str">
        <f t="shared" ca="1" si="51"/>
        <v>N.M.</v>
      </c>
      <c r="AS54" s="183" t="str">
        <f t="shared" ca="1" si="51"/>
        <v>N.M.</v>
      </c>
      <c r="AT54" s="183" t="str">
        <f t="shared" ca="1" si="51"/>
        <v>N.M.</v>
      </c>
      <c r="AU54" s="183" t="str">
        <f t="shared" ca="1" si="51"/>
        <v>N.M.</v>
      </c>
      <c r="AV54" s="183" t="str">
        <f t="shared" ca="1" si="51"/>
        <v>N.M.</v>
      </c>
      <c r="AW54" s="183" t="str">
        <f t="shared" ca="1" si="51"/>
        <v>N.M.</v>
      </c>
      <c r="AX54" s="183" t="str">
        <f t="shared" ca="1" si="51"/>
        <v>N.M.</v>
      </c>
      <c r="AY54" s="183" t="str">
        <f t="shared" ca="1" si="51"/>
        <v>N.M.</v>
      </c>
      <c r="AZ54" s="183" t="str">
        <f t="shared" ca="1" si="51"/>
        <v>N.M.</v>
      </c>
    </row>
    <row r="55" spans="2:52" hidden="1" outlineLevel="1">
      <c r="B55" s="3" t="s">
        <v>382</v>
      </c>
      <c r="E55" s="106"/>
      <c r="F55" s="46"/>
      <c r="G55" s="46"/>
      <c r="H55" s="46"/>
      <c r="I55" s="46"/>
      <c r="J55" s="183" t="str">
        <f t="shared" ref="J55:N55" si="54">IF(J37&lt;0,"N.M.",IF(I37&lt;0,"N.M.",J37/I37-1))</f>
        <v>N.M.</v>
      </c>
      <c r="K55" s="183" t="str">
        <f t="shared" ca="1" si="54"/>
        <v>N.M.</v>
      </c>
      <c r="L55" s="183" t="str">
        <f t="shared" ca="1" si="54"/>
        <v>N.M.</v>
      </c>
      <c r="M55" s="183" t="str">
        <f t="shared" ca="1" si="54"/>
        <v>N.M.</v>
      </c>
      <c r="N55" s="183" t="str">
        <f t="shared" ca="1" si="54"/>
        <v>N.M.</v>
      </c>
      <c r="Q55" s="16"/>
      <c r="R55" s="15"/>
      <c r="S55" s="14"/>
      <c r="T55" s="17"/>
      <c r="U55" s="16"/>
      <c r="V55" s="15"/>
      <c r="W55" s="14"/>
      <c r="X55" s="17"/>
      <c r="Y55" s="16"/>
      <c r="Z55" s="15"/>
      <c r="AA55" s="14"/>
      <c r="AB55" s="17"/>
      <c r="AC55" s="16"/>
      <c r="AD55" s="15"/>
      <c r="AE55" s="14"/>
      <c r="AF55" s="17"/>
      <c r="AG55" s="16"/>
      <c r="AH55" s="15"/>
      <c r="AI55" s="14"/>
      <c r="AJ55" s="17"/>
      <c r="AK55" s="16"/>
      <c r="AL55" s="15"/>
      <c r="AM55" s="183" t="str">
        <f t="shared" ca="1" si="53"/>
        <v>N.M.</v>
      </c>
      <c r="AN55" s="183" t="str">
        <f t="shared" ca="1" si="51"/>
        <v>N.M.</v>
      </c>
      <c r="AO55" s="183" t="str">
        <f t="shared" ca="1" si="51"/>
        <v>N.M.</v>
      </c>
      <c r="AP55" s="183" t="str">
        <f t="shared" ca="1" si="51"/>
        <v>N.M.</v>
      </c>
      <c r="AQ55" s="183" t="str">
        <f t="shared" ca="1" si="51"/>
        <v>N.M.</v>
      </c>
      <c r="AR55" s="183" t="str">
        <f t="shared" ca="1" si="51"/>
        <v>N.M.</v>
      </c>
      <c r="AS55" s="183" t="str">
        <f t="shared" ca="1" si="51"/>
        <v>N.M.</v>
      </c>
      <c r="AT55" s="183" t="str">
        <f t="shared" ca="1" si="51"/>
        <v>N.M.</v>
      </c>
      <c r="AU55" s="183" t="str">
        <f t="shared" ca="1" si="51"/>
        <v>N.M.</v>
      </c>
      <c r="AV55" s="183" t="str">
        <f t="shared" ca="1" si="51"/>
        <v>N.M.</v>
      </c>
      <c r="AW55" s="183" t="str">
        <f t="shared" ca="1" si="51"/>
        <v>N.M.</v>
      </c>
      <c r="AX55" s="183" t="str">
        <f t="shared" ca="1" si="51"/>
        <v>N.M.</v>
      </c>
      <c r="AY55" s="183" t="str">
        <f t="shared" ca="1" si="51"/>
        <v>N.M.</v>
      </c>
      <c r="AZ55" s="183" t="str">
        <f t="shared" ca="1" si="51"/>
        <v>N.M.</v>
      </c>
    </row>
    <row r="56" spans="2:52" hidden="1" outlineLevel="1">
      <c r="B56" s="3" t="s">
        <v>603</v>
      </c>
      <c r="E56" s="106"/>
      <c r="F56" s="46"/>
      <c r="G56" s="46"/>
      <c r="H56" s="46"/>
      <c r="I56" s="46"/>
      <c r="J56" s="183" t="str">
        <f t="shared" ref="J56:N56" si="55">IF(J38&lt;0,"N.M.",IF(I38&lt;0,"N.M.",J38/I38-1))</f>
        <v>N.M.</v>
      </c>
      <c r="K56" s="183" t="str">
        <f t="shared" si="55"/>
        <v>N.M.</v>
      </c>
      <c r="L56" s="183" t="str">
        <f t="shared" ca="1" si="55"/>
        <v>N.M.</v>
      </c>
      <c r="M56" s="183" t="str">
        <f t="shared" ca="1" si="55"/>
        <v>N.M.</v>
      </c>
      <c r="N56" s="183" t="str">
        <f t="shared" ca="1" si="55"/>
        <v>N.M.</v>
      </c>
      <c r="Q56" s="16"/>
      <c r="R56" s="15"/>
      <c r="S56" s="14"/>
      <c r="T56" s="17"/>
      <c r="U56" s="16"/>
      <c r="V56" s="15"/>
      <c r="W56" s="14"/>
      <c r="X56" s="17"/>
      <c r="Y56" s="16"/>
      <c r="Z56" s="15"/>
      <c r="AA56" s="14"/>
      <c r="AB56" s="17"/>
      <c r="AC56" s="16"/>
      <c r="AD56" s="15"/>
      <c r="AE56" s="14"/>
      <c r="AF56" s="17"/>
      <c r="AG56" s="16"/>
      <c r="AH56" s="15"/>
      <c r="AI56" s="14"/>
      <c r="AJ56" s="17"/>
      <c r="AK56" s="16"/>
      <c r="AL56" s="15"/>
      <c r="AM56" s="183">
        <f t="shared" si="53"/>
        <v>-0.49291343825162248</v>
      </c>
      <c r="AN56" s="183">
        <f t="shared" si="51"/>
        <v>6.8922687979122168</v>
      </c>
      <c r="AO56" s="183" t="str">
        <f t="shared" ca="1" si="51"/>
        <v>N.M.</v>
      </c>
      <c r="AP56" s="183" t="str">
        <f t="shared" ca="1" si="51"/>
        <v>N.M.</v>
      </c>
      <c r="AQ56" s="183" t="str">
        <f t="shared" ca="1" si="51"/>
        <v>N.M.</v>
      </c>
      <c r="AR56" s="183" t="str">
        <f t="shared" ca="1" si="51"/>
        <v>N.M.</v>
      </c>
      <c r="AS56" s="183" t="str">
        <f t="shared" ca="1" si="51"/>
        <v>N.M.</v>
      </c>
      <c r="AT56" s="183" t="str">
        <f t="shared" ca="1" si="51"/>
        <v>N.M.</v>
      </c>
      <c r="AU56" s="183" t="str">
        <f t="shared" ca="1" si="51"/>
        <v>N.M.</v>
      </c>
      <c r="AV56" s="183" t="str">
        <f t="shared" ca="1" si="51"/>
        <v>N.M.</v>
      </c>
      <c r="AW56" s="183" t="str">
        <f t="shared" ca="1" si="51"/>
        <v>N.M.</v>
      </c>
      <c r="AX56" s="183" t="str">
        <f t="shared" ca="1" si="51"/>
        <v>N.M.</v>
      </c>
      <c r="AY56" s="183">
        <f t="shared" ca="1" si="51"/>
        <v>2.8725924529384197</v>
      </c>
      <c r="AZ56" s="183">
        <f t="shared" ca="1" si="51"/>
        <v>3.3396013585848303</v>
      </c>
    </row>
    <row r="57" spans="2:52" hidden="1" outlineLevel="1">
      <c r="B57" s="3" t="s">
        <v>604</v>
      </c>
      <c r="E57" s="106"/>
      <c r="F57" s="46"/>
      <c r="G57" s="46"/>
      <c r="H57" s="46"/>
      <c r="I57" s="46"/>
      <c r="J57" s="183" t="str">
        <f t="shared" ref="J57:N57" si="56">IF(J39&lt;0,"N.M.",IF(I39&lt;0,"N.M.",J39/I39-1))</f>
        <v>N.M.</v>
      </c>
      <c r="K57" s="183" t="str">
        <f t="shared" ca="1" si="56"/>
        <v>N.M.</v>
      </c>
      <c r="L57" s="183" t="str">
        <f t="shared" ca="1" si="56"/>
        <v>N.M.</v>
      </c>
      <c r="M57" s="183" t="str">
        <f t="shared" ca="1" si="56"/>
        <v>N.M.</v>
      </c>
      <c r="N57" s="183" t="str">
        <f t="shared" ca="1" si="56"/>
        <v>N.M.</v>
      </c>
      <c r="Q57" s="16"/>
      <c r="R57" s="15"/>
      <c r="S57" s="14"/>
      <c r="T57" s="17"/>
      <c r="U57" s="16"/>
      <c r="V57" s="15"/>
      <c r="W57" s="14"/>
      <c r="X57" s="17"/>
      <c r="Y57" s="16"/>
      <c r="Z57" s="15"/>
      <c r="AA57" s="14"/>
      <c r="AB57" s="17"/>
      <c r="AC57" s="16"/>
      <c r="AD57" s="15"/>
      <c r="AE57" s="14"/>
      <c r="AF57" s="17"/>
      <c r="AG57" s="16"/>
      <c r="AH57" s="15"/>
      <c r="AI57" s="14"/>
      <c r="AJ57" s="17"/>
      <c r="AK57" s="16"/>
      <c r="AL57" s="15"/>
      <c r="AM57" s="183" t="str">
        <f t="shared" ca="1" si="53"/>
        <v>N.M.</v>
      </c>
      <c r="AN57" s="183" t="str">
        <f t="shared" ca="1" si="51"/>
        <v>N.M.</v>
      </c>
      <c r="AO57" s="183" t="str">
        <f t="shared" ca="1" si="51"/>
        <v>N.M.</v>
      </c>
      <c r="AP57" s="183" t="str">
        <f t="shared" ca="1" si="51"/>
        <v>N.M.</v>
      </c>
      <c r="AQ57" s="183" t="str">
        <f t="shared" ca="1" si="51"/>
        <v>N.M.</v>
      </c>
      <c r="AR57" s="183" t="str">
        <f t="shared" ca="1" si="51"/>
        <v>N.M.</v>
      </c>
      <c r="AS57" s="183" t="str">
        <f t="shared" ca="1" si="51"/>
        <v>N.M.</v>
      </c>
      <c r="AT57" s="183" t="str">
        <f t="shared" ca="1" si="51"/>
        <v>N.M.</v>
      </c>
      <c r="AU57" s="183" t="str">
        <f t="shared" ca="1" si="51"/>
        <v>N.M.</v>
      </c>
      <c r="AV57" s="183" t="str">
        <f t="shared" ca="1" si="51"/>
        <v>N.M.</v>
      </c>
      <c r="AW57" s="183" t="str">
        <f t="shared" ca="1" si="51"/>
        <v>N.M.</v>
      </c>
      <c r="AX57" s="183" t="str">
        <f t="shared" ca="1" si="51"/>
        <v>N.M.</v>
      </c>
      <c r="AY57" s="183" t="str">
        <f t="shared" ca="1" si="51"/>
        <v>N.M.</v>
      </c>
      <c r="AZ57" s="183" t="str">
        <f t="shared" ca="1" si="51"/>
        <v>N.M.</v>
      </c>
    </row>
    <row r="58" spans="2:52" hidden="1" outlineLevel="1">
      <c r="B58" s="3" t="s">
        <v>605</v>
      </c>
      <c r="E58" s="106"/>
      <c r="F58" s="46"/>
      <c r="G58" s="46"/>
      <c r="H58" s="46"/>
      <c r="I58" s="46"/>
      <c r="J58" s="183" t="str">
        <f t="shared" ref="J58:N58" si="57">IF(J40&lt;0,"N.M.",IF(I40&lt;0,"N.M.",J40/I40-1))</f>
        <v>N.M.</v>
      </c>
      <c r="K58" s="183" t="str">
        <f t="shared" ca="1" si="57"/>
        <v>N.M.</v>
      </c>
      <c r="L58" s="183" t="str">
        <f t="shared" ca="1" si="57"/>
        <v>N.M.</v>
      </c>
      <c r="M58" s="183" t="str">
        <f t="shared" ca="1" si="57"/>
        <v>N.M.</v>
      </c>
      <c r="N58" s="183" t="str">
        <f t="shared" ca="1" si="57"/>
        <v>N.M.</v>
      </c>
      <c r="Q58" s="16"/>
      <c r="R58" s="15"/>
      <c r="S58" s="14"/>
      <c r="T58" s="17"/>
      <c r="U58" s="16"/>
      <c r="V58" s="15"/>
      <c r="W58" s="14"/>
      <c r="X58" s="17"/>
      <c r="Y58" s="16"/>
      <c r="Z58" s="15"/>
      <c r="AA58" s="14"/>
      <c r="AB58" s="17"/>
      <c r="AC58" s="16"/>
      <c r="AD58" s="15"/>
      <c r="AE58" s="14"/>
      <c r="AF58" s="17"/>
      <c r="AG58" s="16"/>
      <c r="AH58" s="15"/>
      <c r="AI58" s="14"/>
      <c r="AJ58" s="17"/>
      <c r="AK58" s="16"/>
      <c r="AL58" s="15"/>
      <c r="AM58" s="183" t="str">
        <f t="shared" ca="1" si="53"/>
        <v>N.M.</v>
      </c>
      <c r="AN58" s="183" t="str">
        <f t="shared" ca="1" si="51"/>
        <v>N.M.</v>
      </c>
      <c r="AO58" s="183" t="str">
        <f t="shared" ca="1" si="51"/>
        <v>N.M.</v>
      </c>
      <c r="AP58" s="183" t="str">
        <f t="shared" ca="1" si="51"/>
        <v>N.M.</v>
      </c>
      <c r="AQ58" s="183" t="str">
        <f t="shared" ca="1" si="51"/>
        <v>N.M.</v>
      </c>
      <c r="AR58" s="183" t="str">
        <f t="shared" ca="1" si="51"/>
        <v>N.M.</v>
      </c>
      <c r="AS58" s="183" t="str">
        <f t="shared" ca="1" si="51"/>
        <v>N.M.</v>
      </c>
      <c r="AT58" s="183" t="str">
        <f t="shared" ca="1" si="51"/>
        <v>N.M.</v>
      </c>
      <c r="AU58" s="183" t="str">
        <f t="shared" ca="1" si="51"/>
        <v>N.M.</v>
      </c>
      <c r="AV58" s="183" t="str">
        <f t="shared" ca="1" si="51"/>
        <v>N.M.</v>
      </c>
      <c r="AW58" s="183" t="str">
        <f t="shared" ca="1" si="51"/>
        <v>N.M.</v>
      </c>
      <c r="AX58" s="183" t="str">
        <f t="shared" ca="1" si="51"/>
        <v>N.M.</v>
      </c>
      <c r="AY58" s="183" t="str">
        <f t="shared" ca="1" si="51"/>
        <v>N.M.</v>
      </c>
      <c r="AZ58" s="183" t="str">
        <f t="shared" ca="1" si="51"/>
        <v>N.M.</v>
      </c>
    </row>
    <row r="59" spans="2:52" hidden="1" outlineLevel="1">
      <c r="B59" s="3" t="s">
        <v>606</v>
      </c>
      <c r="E59" s="106"/>
      <c r="F59" s="46"/>
      <c r="G59" s="46"/>
      <c r="H59" s="46"/>
      <c r="I59" s="46"/>
      <c r="J59" s="183" t="str">
        <f t="shared" ref="J59:N59" si="58">IF(J41&lt;0,"N.M.",IF(I41&lt;0,"N.M.",J41/I41-1))</f>
        <v>N.M.</v>
      </c>
      <c r="K59" s="183" t="str">
        <f t="shared" ca="1" si="58"/>
        <v>N.M.</v>
      </c>
      <c r="L59" s="183" t="str">
        <f t="shared" ca="1" si="58"/>
        <v>N.M.</v>
      </c>
      <c r="M59" s="183" t="str">
        <f t="shared" ca="1" si="58"/>
        <v>N.M.</v>
      </c>
      <c r="N59" s="183" t="str">
        <f t="shared" ca="1" si="58"/>
        <v>N.M.</v>
      </c>
      <c r="Q59" s="16"/>
      <c r="R59" s="15"/>
      <c r="S59" s="14"/>
      <c r="T59" s="17"/>
      <c r="U59" s="16"/>
      <c r="V59" s="15"/>
      <c r="W59" s="14"/>
      <c r="X59" s="17"/>
      <c r="Y59" s="16"/>
      <c r="Z59" s="15"/>
      <c r="AA59" s="14"/>
      <c r="AB59" s="17"/>
      <c r="AC59" s="16"/>
      <c r="AD59" s="15"/>
      <c r="AE59" s="14"/>
      <c r="AF59" s="17"/>
      <c r="AG59" s="16"/>
      <c r="AH59" s="15"/>
      <c r="AI59" s="14"/>
      <c r="AJ59" s="17"/>
      <c r="AK59" s="16"/>
      <c r="AL59" s="15"/>
      <c r="AM59" s="183" t="str">
        <f t="shared" ca="1" si="53"/>
        <v>N.M.</v>
      </c>
      <c r="AN59" s="183" t="str">
        <f t="shared" ca="1" si="51"/>
        <v>N.M.</v>
      </c>
      <c r="AO59" s="183" t="str">
        <f t="shared" ca="1" si="51"/>
        <v>N.M.</v>
      </c>
      <c r="AP59" s="183" t="str">
        <f t="shared" ca="1" si="51"/>
        <v>N.M.</v>
      </c>
      <c r="AQ59" s="183" t="str">
        <f t="shared" ca="1" si="51"/>
        <v>N.M.</v>
      </c>
      <c r="AR59" s="183" t="str">
        <f t="shared" ca="1" si="51"/>
        <v>N.M.</v>
      </c>
      <c r="AS59" s="183" t="str">
        <f t="shared" ca="1" si="51"/>
        <v>N.M.</v>
      </c>
      <c r="AT59" s="183" t="str">
        <f t="shared" ca="1" si="51"/>
        <v>N.M.</v>
      </c>
      <c r="AU59" s="183" t="str">
        <f t="shared" ca="1" si="51"/>
        <v>N.M.</v>
      </c>
      <c r="AV59" s="183" t="str">
        <f t="shared" ca="1" si="51"/>
        <v>N.M.</v>
      </c>
      <c r="AW59" s="183" t="str">
        <f t="shared" ca="1" si="51"/>
        <v>N.M.</v>
      </c>
      <c r="AX59" s="183" t="str">
        <f t="shared" ca="1" si="51"/>
        <v>N.M.</v>
      </c>
      <c r="AY59" s="183" t="str">
        <f t="shared" ca="1" si="51"/>
        <v>N.M.</v>
      </c>
      <c r="AZ59" s="183" t="str">
        <f t="shared" ca="1" si="51"/>
        <v>N.M.</v>
      </c>
    </row>
    <row r="60" spans="2:52" hidden="1" outlineLevel="1">
      <c r="B60" s="3"/>
      <c r="E60" s="106"/>
      <c r="F60" s="46"/>
      <c r="G60" s="46"/>
      <c r="H60" s="46"/>
      <c r="I60" s="46"/>
      <c r="J60" s="46"/>
      <c r="K60" s="46"/>
      <c r="L60" s="45"/>
      <c r="M60" s="45"/>
      <c r="N60" s="45"/>
      <c r="Q60" s="16"/>
      <c r="R60" s="15"/>
      <c r="S60" s="14"/>
      <c r="T60" s="17"/>
      <c r="U60" s="16"/>
      <c r="V60" s="15"/>
      <c r="W60" s="14"/>
      <c r="X60" s="17"/>
      <c r="Y60" s="16"/>
      <c r="Z60" s="15"/>
      <c r="AA60" s="14"/>
      <c r="AB60" s="17"/>
      <c r="AC60" s="16"/>
      <c r="AD60" s="15"/>
      <c r="AE60" s="14"/>
      <c r="AF60" s="17"/>
      <c r="AG60" s="16"/>
      <c r="AH60" s="15"/>
      <c r="AI60" s="14"/>
      <c r="AJ60" s="17"/>
      <c r="AK60" s="16"/>
      <c r="AL60" s="15"/>
      <c r="AM60" s="14"/>
      <c r="AN60" s="17"/>
      <c r="AO60" s="44"/>
      <c r="AP60" s="43"/>
      <c r="AQ60" s="42"/>
      <c r="AR60" s="41"/>
      <c r="AS60" s="44"/>
      <c r="AT60" s="43"/>
      <c r="AU60" s="42"/>
      <c r="AV60" s="41"/>
      <c r="AW60" s="41"/>
      <c r="AX60" s="41"/>
      <c r="AY60" s="41"/>
      <c r="AZ60" s="41"/>
    </row>
    <row r="61" spans="2:52" hidden="1" outlineLevel="1">
      <c r="B61" s="1" t="s">
        <v>390</v>
      </c>
      <c r="E61" s="106"/>
      <c r="F61" s="46"/>
      <c r="G61" s="46"/>
      <c r="H61" s="46"/>
      <c r="I61" s="46"/>
      <c r="J61" s="46"/>
      <c r="K61" s="46"/>
      <c r="L61" s="45"/>
      <c r="M61" s="45"/>
      <c r="N61" s="45"/>
      <c r="Q61" s="16"/>
      <c r="R61" s="15"/>
      <c r="S61" s="14"/>
      <c r="T61" s="17"/>
      <c r="U61" s="16"/>
      <c r="V61" s="15"/>
      <c r="W61" s="14"/>
      <c r="X61" s="17"/>
      <c r="Y61" s="16"/>
      <c r="Z61" s="15"/>
      <c r="AA61" s="14"/>
      <c r="AB61" s="17"/>
      <c r="AC61" s="16"/>
      <c r="AD61" s="15"/>
      <c r="AE61" s="14"/>
      <c r="AF61" s="17"/>
      <c r="AG61" s="16"/>
      <c r="AH61" s="15"/>
      <c r="AI61" s="14"/>
      <c r="AJ61" s="17"/>
      <c r="AK61" s="16"/>
      <c r="AL61" s="15"/>
      <c r="AM61" s="14"/>
      <c r="AN61" s="17"/>
      <c r="AO61" s="44"/>
      <c r="AP61" s="43"/>
      <c r="AQ61" s="42"/>
      <c r="AR61" s="41"/>
      <c r="AS61" s="44"/>
      <c r="AT61" s="43"/>
      <c r="AU61" s="42"/>
      <c r="AV61" s="41"/>
      <c r="AW61" s="41"/>
      <c r="AX61" s="41"/>
      <c r="AY61" s="41"/>
      <c r="AZ61" s="41"/>
    </row>
    <row r="62" spans="2:52" hidden="1" outlineLevel="1">
      <c r="B62" s="3" t="s">
        <v>115</v>
      </c>
      <c r="E62" s="106"/>
      <c r="F62" s="46"/>
      <c r="G62" s="46"/>
      <c r="H62" s="46"/>
      <c r="I62" s="46"/>
      <c r="J62" s="46"/>
      <c r="K62" s="46"/>
      <c r="L62" s="45"/>
      <c r="M62" s="45"/>
      <c r="N62" s="45"/>
      <c r="Q62" s="16"/>
      <c r="R62" s="15"/>
      <c r="S62" s="14"/>
      <c r="T62" s="17"/>
      <c r="U62" s="16"/>
      <c r="V62" s="15"/>
      <c r="W62" s="14"/>
      <c r="X62" s="17"/>
      <c r="Y62" s="16"/>
      <c r="Z62" s="15"/>
      <c r="AA62" s="14"/>
      <c r="AB62" s="17"/>
      <c r="AC62" s="16"/>
      <c r="AD62" s="15"/>
      <c r="AE62" s="14"/>
      <c r="AF62" s="17"/>
      <c r="AG62" s="16"/>
      <c r="AH62" s="15"/>
      <c r="AI62" s="14"/>
      <c r="AJ62" s="183">
        <f>IF(AJ35&lt;0,"N.M.",IF(AI35&lt;0,"N.M.",AJ35/AI35-1))</f>
        <v>-0.71026443234903236</v>
      </c>
      <c r="AK62" s="183" t="str">
        <f t="shared" ref="AK62:AZ68" si="59">IF(AK35&lt;0,"N.M.",IF(AJ35&lt;0,"N.M.",AK35/AJ35-1))</f>
        <v>N.M.</v>
      </c>
      <c r="AL62" s="183" t="str">
        <f t="shared" si="59"/>
        <v>N.M.</v>
      </c>
      <c r="AM62" s="183" t="str">
        <f t="shared" si="59"/>
        <v>N.M.</v>
      </c>
      <c r="AN62" s="183">
        <f t="shared" si="59"/>
        <v>4.3527303754266411</v>
      </c>
      <c r="AO62" s="183" t="str">
        <f t="shared" ca="1" si="59"/>
        <v>N.M.</v>
      </c>
      <c r="AP62" s="183" t="str">
        <f t="shared" ca="1" si="59"/>
        <v>N.M.</v>
      </c>
      <c r="AQ62" s="183" t="str">
        <f t="shared" ca="1" si="59"/>
        <v>N.M.</v>
      </c>
      <c r="AR62" s="183" t="str">
        <f t="shared" ca="1" si="59"/>
        <v>N.M.</v>
      </c>
      <c r="AS62" s="183" t="str">
        <f t="shared" ca="1" si="59"/>
        <v>N.M.</v>
      </c>
      <c r="AT62" s="183" t="str">
        <f t="shared" ca="1" si="59"/>
        <v>N.M.</v>
      </c>
      <c r="AU62" s="183" t="str">
        <f t="shared" ca="1" si="59"/>
        <v>N.M.</v>
      </c>
      <c r="AV62" s="183">
        <f t="shared" ca="1" si="59"/>
        <v>7.5014036858009225E-2</v>
      </c>
      <c r="AW62" s="183">
        <f t="shared" ca="1" si="59"/>
        <v>-0.24992590655042624</v>
      </c>
      <c r="AX62" s="183">
        <f t="shared" ca="1" si="59"/>
        <v>-0.70842805023286015</v>
      </c>
      <c r="AY62" s="183">
        <f t="shared" ca="1" si="59"/>
        <v>15.876023297451873</v>
      </c>
      <c r="AZ62" s="183">
        <f t="shared" ca="1" si="59"/>
        <v>0.20370622532693772</v>
      </c>
    </row>
    <row r="63" spans="2:52" hidden="1" outlineLevel="1">
      <c r="B63" s="3" t="s">
        <v>81</v>
      </c>
      <c r="E63" s="106"/>
      <c r="F63" s="46"/>
      <c r="G63" s="46"/>
      <c r="H63" s="46"/>
      <c r="I63" s="46"/>
      <c r="J63" s="46"/>
      <c r="K63" s="46"/>
      <c r="L63" s="45"/>
      <c r="M63" s="45"/>
      <c r="N63" s="45"/>
      <c r="Q63" s="16"/>
      <c r="R63" s="15"/>
      <c r="S63" s="14"/>
      <c r="T63" s="17"/>
      <c r="U63" s="16"/>
      <c r="V63" s="15"/>
      <c r="W63" s="14"/>
      <c r="X63" s="17"/>
      <c r="Y63" s="16"/>
      <c r="Z63" s="15"/>
      <c r="AA63" s="14"/>
      <c r="AB63" s="17"/>
      <c r="AC63" s="16"/>
      <c r="AD63" s="15"/>
      <c r="AE63" s="14"/>
      <c r="AF63" s="17"/>
      <c r="AG63" s="16"/>
      <c r="AH63" s="15"/>
      <c r="AI63" s="14"/>
      <c r="AJ63" s="183" t="str">
        <f t="shared" ref="AJ63:AY68" si="60">IF(AJ36&lt;0,"N.M.",IF(AI36&lt;0,"N.M.",AJ36/AI36-1))</f>
        <v>N.M.</v>
      </c>
      <c r="AK63" s="183" t="str">
        <f t="shared" ca="1" si="60"/>
        <v>N.M.</v>
      </c>
      <c r="AL63" s="183" t="str">
        <f t="shared" ca="1" si="60"/>
        <v>N.M.</v>
      </c>
      <c r="AM63" s="183" t="str">
        <f t="shared" ca="1" si="60"/>
        <v>N.M.</v>
      </c>
      <c r="AN63" s="183" t="str">
        <f t="shared" ca="1" si="60"/>
        <v>N.M.</v>
      </c>
      <c r="AO63" s="183" t="str">
        <f t="shared" ca="1" si="60"/>
        <v>N.M.</v>
      </c>
      <c r="AP63" s="183" t="str">
        <f t="shared" ca="1" si="60"/>
        <v>N.M.</v>
      </c>
      <c r="AQ63" s="183" t="str">
        <f t="shared" ca="1" si="60"/>
        <v>N.M.</v>
      </c>
      <c r="AR63" s="183" t="str">
        <f t="shared" ca="1" si="60"/>
        <v>N.M.</v>
      </c>
      <c r="AS63" s="183" t="str">
        <f t="shared" ca="1" si="60"/>
        <v>N.M.</v>
      </c>
      <c r="AT63" s="183" t="str">
        <f t="shared" ca="1" si="60"/>
        <v>N.M.</v>
      </c>
      <c r="AU63" s="183" t="str">
        <f t="shared" ca="1" si="60"/>
        <v>N.M.</v>
      </c>
      <c r="AV63" s="183" t="str">
        <f t="shared" ca="1" si="60"/>
        <v>N.M.</v>
      </c>
      <c r="AW63" s="183" t="str">
        <f t="shared" ca="1" si="60"/>
        <v>N.M.</v>
      </c>
      <c r="AX63" s="183" t="str">
        <f t="shared" ca="1" si="60"/>
        <v>N.M.</v>
      </c>
      <c r="AY63" s="183" t="str">
        <f t="shared" ca="1" si="60"/>
        <v>N.M.</v>
      </c>
      <c r="AZ63" s="183" t="str">
        <f t="shared" ca="1" si="59"/>
        <v>N.M.</v>
      </c>
    </row>
    <row r="64" spans="2:52" hidden="1" outlineLevel="1">
      <c r="B64" s="3" t="s">
        <v>382</v>
      </c>
      <c r="E64" s="106"/>
      <c r="F64" s="46"/>
      <c r="G64" s="46"/>
      <c r="H64" s="46"/>
      <c r="I64" s="46"/>
      <c r="J64" s="46"/>
      <c r="K64" s="46"/>
      <c r="L64" s="45"/>
      <c r="M64" s="45"/>
      <c r="N64" s="45"/>
      <c r="Q64" s="16"/>
      <c r="R64" s="15"/>
      <c r="S64" s="14"/>
      <c r="T64" s="17"/>
      <c r="U64" s="16"/>
      <c r="V64" s="15"/>
      <c r="W64" s="14"/>
      <c r="X64" s="17"/>
      <c r="Y64" s="16"/>
      <c r="Z64" s="15"/>
      <c r="AA64" s="14"/>
      <c r="AB64" s="17"/>
      <c r="AC64" s="16"/>
      <c r="AD64" s="15"/>
      <c r="AE64" s="14"/>
      <c r="AF64" s="17"/>
      <c r="AG64" s="16"/>
      <c r="AH64" s="15"/>
      <c r="AI64" s="14"/>
      <c r="AJ64" s="183" t="str">
        <f t="shared" si="60"/>
        <v>N.M.</v>
      </c>
      <c r="AK64" s="183" t="str">
        <f t="shared" ca="1" si="59"/>
        <v>N.M.</v>
      </c>
      <c r="AL64" s="183" t="str">
        <f t="shared" ca="1" si="59"/>
        <v>N.M.</v>
      </c>
      <c r="AM64" s="183" t="str">
        <f t="shared" ca="1" si="59"/>
        <v>N.M.</v>
      </c>
      <c r="AN64" s="183" t="str">
        <f t="shared" ca="1" si="59"/>
        <v>N.M.</v>
      </c>
      <c r="AO64" s="183" t="str">
        <f t="shared" ca="1" si="59"/>
        <v>N.M.</v>
      </c>
      <c r="AP64" s="183" t="str">
        <f t="shared" ca="1" si="59"/>
        <v>N.M.</v>
      </c>
      <c r="AQ64" s="183" t="str">
        <f t="shared" ca="1" si="59"/>
        <v>N.M.</v>
      </c>
      <c r="AR64" s="183" t="str">
        <f t="shared" ca="1" si="59"/>
        <v>N.M.</v>
      </c>
      <c r="AS64" s="183" t="str">
        <f t="shared" ca="1" si="59"/>
        <v>N.M.</v>
      </c>
      <c r="AT64" s="183" t="str">
        <f t="shared" ca="1" si="59"/>
        <v>N.M.</v>
      </c>
      <c r="AU64" s="183" t="str">
        <f t="shared" ca="1" si="59"/>
        <v>N.M.</v>
      </c>
      <c r="AV64" s="183" t="str">
        <f t="shared" ca="1" si="59"/>
        <v>N.M.</v>
      </c>
      <c r="AW64" s="183" t="str">
        <f t="shared" ca="1" si="59"/>
        <v>N.M.</v>
      </c>
      <c r="AX64" s="183" t="str">
        <f t="shared" ca="1" si="59"/>
        <v>N.M.</v>
      </c>
      <c r="AY64" s="183" t="str">
        <f t="shared" ca="1" si="59"/>
        <v>N.M.</v>
      </c>
      <c r="AZ64" s="183" t="str">
        <f t="shared" ca="1" si="59"/>
        <v>N.M.</v>
      </c>
    </row>
    <row r="65" spans="2:52" hidden="1" outlineLevel="1">
      <c r="B65" s="3" t="s">
        <v>603</v>
      </c>
      <c r="E65" s="106"/>
      <c r="F65" s="46"/>
      <c r="G65" s="46"/>
      <c r="H65" s="46"/>
      <c r="I65" s="46"/>
      <c r="J65" s="46"/>
      <c r="K65" s="46"/>
      <c r="L65" s="45"/>
      <c r="M65" s="45"/>
      <c r="N65" s="45"/>
      <c r="Q65" s="16"/>
      <c r="R65" s="15"/>
      <c r="S65" s="14"/>
      <c r="T65" s="17"/>
      <c r="U65" s="16"/>
      <c r="V65" s="15"/>
      <c r="W65" s="14"/>
      <c r="X65" s="17"/>
      <c r="Y65" s="16"/>
      <c r="Z65" s="15"/>
      <c r="AA65" s="14"/>
      <c r="AB65" s="17"/>
      <c r="AC65" s="16"/>
      <c r="AD65" s="15"/>
      <c r="AE65" s="14"/>
      <c r="AF65" s="17"/>
      <c r="AG65" s="16"/>
      <c r="AH65" s="15"/>
      <c r="AI65" s="14"/>
      <c r="AJ65" s="183">
        <f t="shared" si="60"/>
        <v>-0.69385054553625558</v>
      </c>
      <c r="AK65" s="183" t="str">
        <f t="shared" si="59"/>
        <v>N.M.</v>
      </c>
      <c r="AL65" s="183" t="str">
        <f t="shared" si="59"/>
        <v>N.M.</v>
      </c>
      <c r="AM65" s="183" t="str">
        <f t="shared" si="59"/>
        <v>N.M.</v>
      </c>
      <c r="AN65" s="183">
        <f t="shared" si="59"/>
        <v>3.7648941408173462</v>
      </c>
      <c r="AO65" s="183" t="str">
        <f t="shared" ca="1" si="59"/>
        <v>N.M.</v>
      </c>
      <c r="AP65" s="183" t="str">
        <f t="shared" ca="1" si="59"/>
        <v>N.M.</v>
      </c>
      <c r="AQ65" s="183" t="str">
        <f t="shared" ca="1" si="59"/>
        <v>N.M.</v>
      </c>
      <c r="AR65" s="183" t="str">
        <f t="shared" ca="1" si="59"/>
        <v>N.M.</v>
      </c>
      <c r="AS65" s="183" t="str">
        <f t="shared" ca="1" si="59"/>
        <v>N.M.</v>
      </c>
      <c r="AT65" s="183" t="str">
        <f t="shared" ca="1" si="59"/>
        <v>N.M.</v>
      </c>
      <c r="AU65" s="183" t="str">
        <f t="shared" ca="1" si="59"/>
        <v>N.M.</v>
      </c>
      <c r="AV65" s="183">
        <f t="shared" ca="1" si="59"/>
        <v>7.2194929367090044E-2</v>
      </c>
      <c r="AW65" s="183">
        <f t="shared" ca="1" si="59"/>
        <v>-0.24129714354241782</v>
      </c>
      <c r="AX65" s="183">
        <f t="shared" ca="1" si="59"/>
        <v>-0.67164502988144648</v>
      </c>
      <c r="AY65" s="183">
        <f t="shared" ca="1" si="59"/>
        <v>13.498154791272867</v>
      </c>
      <c r="AZ65" s="183">
        <f t="shared" ca="1" si="59"/>
        <v>0.20149451012297859</v>
      </c>
    </row>
    <row r="66" spans="2:52" hidden="1" outlineLevel="1">
      <c r="B66" s="3" t="s">
        <v>604</v>
      </c>
      <c r="E66" s="106"/>
      <c r="F66" s="46"/>
      <c r="G66" s="46"/>
      <c r="H66" s="46"/>
      <c r="I66" s="46"/>
      <c r="J66" s="46"/>
      <c r="K66" s="46"/>
      <c r="L66" s="45"/>
      <c r="M66" s="45"/>
      <c r="N66" s="45"/>
      <c r="Q66" s="16"/>
      <c r="R66" s="15"/>
      <c r="S66" s="14"/>
      <c r="T66" s="17"/>
      <c r="U66" s="16"/>
      <c r="V66" s="15"/>
      <c r="W66" s="14"/>
      <c r="X66" s="17"/>
      <c r="Y66" s="16"/>
      <c r="Z66" s="15"/>
      <c r="AA66" s="14"/>
      <c r="AB66" s="17"/>
      <c r="AC66" s="16"/>
      <c r="AD66" s="15"/>
      <c r="AE66" s="14"/>
      <c r="AF66" s="17"/>
      <c r="AG66" s="16"/>
      <c r="AH66" s="15"/>
      <c r="AI66" s="14"/>
      <c r="AJ66" s="183" t="str">
        <f t="shared" si="60"/>
        <v>N.M.</v>
      </c>
      <c r="AK66" s="183" t="str">
        <f t="shared" ca="1" si="59"/>
        <v>N.M.</v>
      </c>
      <c r="AL66" s="183" t="str">
        <f t="shared" ca="1" si="59"/>
        <v>N.M.</v>
      </c>
      <c r="AM66" s="183" t="str">
        <f t="shared" ca="1" si="59"/>
        <v>N.M.</v>
      </c>
      <c r="AN66" s="183" t="str">
        <f t="shared" ca="1" si="59"/>
        <v>N.M.</v>
      </c>
      <c r="AO66" s="183" t="str">
        <f t="shared" ca="1" si="59"/>
        <v>N.M.</v>
      </c>
      <c r="AP66" s="183" t="str">
        <f t="shared" ca="1" si="59"/>
        <v>N.M.</v>
      </c>
      <c r="AQ66" s="183" t="str">
        <f t="shared" ca="1" si="59"/>
        <v>N.M.</v>
      </c>
      <c r="AR66" s="183" t="str">
        <f t="shared" ca="1" si="59"/>
        <v>N.M.</v>
      </c>
      <c r="AS66" s="183" t="str">
        <f t="shared" ca="1" si="59"/>
        <v>N.M.</v>
      </c>
      <c r="AT66" s="183" t="str">
        <f t="shared" ca="1" si="59"/>
        <v>N.M.</v>
      </c>
      <c r="AU66" s="183" t="str">
        <f t="shared" ca="1" si="59"/>
        <v>N.M.</v>
      </c>
      <c r="AV66" s="183" t="str">
        <f t="shared" ca="1" si="59"/>
        <v>N.M.</v>
      </c>
      <c r="AW66" s="183" t="str">
        <f t="shared" ca="1" si="59"/>
        <v>N.M.</v>
      </c>
      <c r="AX66" s="183" t="str">
        <f t="shared" ca="1" si="59"/>
        <v>N.M.</v>
      </c>
      <c r="AY66" s="183" t="str">
        <f t="shared" ca="1" si="59"/>
        <v>N.M.</v>
      </c>
      <c r="AZ66" s="183">
        <f t="shared" ca="1" si="59"/>
        <v>0.30971618602045958</v>
      </c>
    </row>
    <row r="67" spans="2:52" hidden="1" outlineLevel="1">
      <c r="B67" s="3" t="s">
        <v>605</v>
      </c>
      <c r="E67" s="106"/>
      <c r="F67" s="46"/>
      <c r="G67" s="46"/>
      <c r="H67" s="46"/>
      <c r="I67" s="46"/>
      <c r="J67" s="46"/>
      <c r="K67" s="46"/>
      <c r="L67" s="45"/>
      <c r="M67" s="45"/>
      <c r="N67" s="45"/>
      <c r="Q67" s="16"/>
      <c r="R67" s="15"/>
      <c r="S67" s="14"/>
      <c r="T67" s="17"/>
      <c r="U67" s="16"/>
      <c r="V67" s="15"/>
      <c r="W67" s="14"/>
      <c r="X67" s="17"/>
      <c r="Y67" s="16"/>
      <c r="Z67" s="15"/>
      <c r="AA67" s="14"/>
      <c r="AB67" s="17"/>
      <c r="AC67" s="16"/>
      <c r="AD67" s="15"/>
      <c r="AE67" s="14"/>
      <c r="AF67" s="17"/>
      <c r="AG67" s="16"/>
      <c r="AH67" s="15"/>
      <c r="AI67" s="14"/>
      <c r="AJ67" s="183" t="str">
        <f t="shared" si="60"/>
        <v>N.M.</v>
      </c>
      <c r="AK67" s="183" t="str">
        <f t="shared" ca="1" si="59"/>
        <v>N.M.</v>
      </c>
      <c r="AL67" s="183" t="str">
        <f t="shared" ca="1" si="59"/>
        <v>N.M.</v>
      </c>
      <c r="AM67" s="183" t="str">
        <f t="shared" ca="1" si="59"/>
        <v>N.M.</v>
      </c>
      <c r="AN67" s="183" t="str">
        <f t="shared" ca="1" si="59"/>
        <v>N.M.</v>
      </c>
      <c r="AO67" s="183" t="str">
        <f t="shared" ca="1" si="59"/>
        <v>N.M.</v>
      </c>
      <c r="AP67" s="183" t="str">
        <f t="shared" ca="1" si="59"/>
        <v>N.M.</v>
      </c>
      <c r="AQ67" s="183" t="str">
        <f t="shared" ca="1" si="59"/>
        <v>N.M.</v>
      </c>
      <c r="AR67" s="183" t="str">
        <f t="shared" ca="1" si="59"/>
        <v>N.M.</v>
      </c>
      <c r="AS67" s="183" t="str">
        <f t="shared" ca="1" si="59"/>
        <v>N.M.</v>
      </c>
      <c r="AT67" s="183" t="str">
        <f t="shared" ca="1" si="59"/>
        <v>N.M.</v>
      </c>
      <c r="AU67" s="183" t="str">
        <f t="shared" ca="1" si="59"/>
        <v>N.M.</v>
      </c>
      <c r="AV67" s="183" t="str">
        <f t="shared" ca="1" si="59"/>
        <v>N.M.</v>
      </c>
      <c r="AW67" s="183" t="str">
        <f t="shared" ca="1" si="59"/>
        <v>N.M.</v>
      </c>
      <c r="AX67" s="183" t="str">
        <f t="shared" ca="1" si="59"/>
        <v>N.M.</v>
      </c>
      <c r="AY67" s="183" t="str">
        <f t="shared" ca="1" si="59"/>
        <v>N.M.</v>
      </c>
      <c r="AZ67" s="183" t="str">
        <f t="shared" ca="1" si="59"/>
        <v>N.M.</v>
      </c>
    </row>
    <row r="68" spans="2:52" hidden="1" outlineLevel="1">
      <c r="B68" s="3" t="s">
        <v>606</v>
      </c>
      <c r="E68" s="106"/>
      <c r="F68" s="46"/>
      <c r="G68" s="46"/>
      <c r="H68" s="46"/>
      <c r="I68" s="46"/>
      <c r="J68" s="46"/>
      <c r="K68" s="46"/>
      <c r="L68" s="45"/>
      <c r="M68" s="45"/>
      <c r="N68" s="45"/>
      <c r="Q68" s="16"/>
      <c r="R68" s="15"/>
      <c r="S68" s="14"/>
      <c r="T68" s="17"/>
      <c r="U68" s="16"/>
      <c r="V68" s="15"/>
      <c r="W68" s="14"/>
      <c r="X68" s="17"/>
      <c r="Y68" s="16"/>
      <c r="Z68" s="15"/>
      <c r="AA68" s="14"/>
      <c r="AB68" s="17"/>
      <c r="AC68" s="16"/>
      <c r="AD68" s="15"/>
      <c r="AE68" s="14"/>
      <c r="AF68" s="17"/>
      <c r="AG68" s="16"/>
      <c r="AH68" s="15"/>
      <c r="AI68" s="14"/>
      <c r="AJ68" s="183" t="str">
        <f t="shared" si="60"/>
        <v>N.M.</v>
      </c>
      <c r="AK68" s="183" t="str">
        <f t="shared" ca="1" si="59"/>
        <v>N.M.</v>
      </c>
      <c r="AL68" s="183" t="str">
        <f t="shared" ca="1" si="59"/>
        <v>N.M.</v>
      </c>
      <c r="AM68" s="183" t="str">
        <f t="shared" ca="1" si="59"/>
        <v>N.M.</v>
      </c>
      <c r="AN68" s="183" t="str">
        <f t="shared" ca="1" si="59"/>
        <v>N.M.</v>
      </c>
      <c r="AO68" s="183" t="str">
        <f t="shared" ca="1" si="59"/>
        <v>N.M.</v>
      </c>
      <c r="AP68" s="183" t="str">
        <f t="shared" ca="1" si="59"/>
        <v>N.M.</v>
      </c>
      <c r="AQ68" s="183" t="str">
        <f t="shared" ca="1" si="59"/>
        <v>N.M.</v>
      </c>
      <c r="AR68" s="183" t="str">
        <f t="shared" ca="1" si="59"/>
        <v>N.M.</v>
      </c>
      <c r="AS68" s="183" t="str">
        <f t="shared" ca="1" si="59"/>
        <v>N.M.</v>
      </c>
      <c r="AT68" s="183" t="str">
        <f t="shared" ca="1" si="59"/>
        <v>N.M.</v>
      </c>
      <c r="AU68" s="183" t="str">
        <f t="shared" ca="1" si="59"/>
        <v>N.M.</v>
      </c>
      <c r="AV68" s="183" t="str">
        <f t="shared" ca="1" si="59"/>
        <v>N.M.</v>
      </c>
      <c r="AW68" s="183" t="str">
        <f t="shared" ca="1" si="59"/>
        <v>N.M.</v>
      </c>
      <c r="AX68" s="183" t="str">
        <f t="shared" ca="1" si="59"/>
        <v>N.M.</v>
      </c>
      <c r="AY68" s="183" t="str">
        <f t="shared" ca="1" si="59"/>
        <v>N.M.</v>
      </c>
      <c r="AZ68" s="183" t="str">
        <f t="shared" ca="1" si="59"/>
        <v>N.M.</v>
      </c>
    </row>
    <row r="69" spans="2:52" hidden="1" outlineLevel="1">
      <c r="B69" s="3"/>
      <c r="E69" s="106"/>
      <c r="F69" s="46"/>
      <c r="G69" s="46"/>
      <c r="H69" s="46"/>
      <c r="I69" s="46"/>
      <c r="J69" s="46"/>
      <c r="K69" s="46"/>
      <c r="L69" s="45"/>
      <c r="M69" s="45"/>
      <c r="N69" s="45"/>
      <c r="Q69" s="16"/>
      <c r="R69" s="15"/>
      <c r="S69" s="14"/>
      <c r="T69" s="17"/>
      <c r="U69" s="16"/>
      <c r="V69" s="15"/>
      <c r="W69" s="14"/>
      <c r="X69" s="17"/>
      <c r="Y69" s="16"/>
      <c r="Z69" s="15"/>
      <c r="AA69" s="14"/>
      <c r="AB69" s="17"/>
      <c r="AC69" s="16"/>
      <c r="AD69" s="15"/>
      <c r="AE69" s="14"/>
      <c r="AF69" s="17"/>
      <c r="AG69" s="16"/>
      <c r="AH69" s="15"/>
      <c r="AI69" s="14"/>
      <c r="AJ69" s="17"/>
      <c r="AK69" s="16"/>
      <c r="AL69" s="15"/>
      <c r="AM69" s="14"/>
      <c r="AN69" s="17"/>
      <c r="AO69" s="44"/>
      <c r="AP69" s="43"/>
      <c r="AQ69" s="42"/>
      <c r="AR69" s="41"/>
      <c r="AS69" s="44"/>
      <c r="AT69" s="43"/>
      <c r="AU69" s="42"/>
      <c r="AV69" s="41"/>
      <c r="AW69" s="41"/>
      <c r="AX69" s="41"/>
      <c r="AY69" s="41"/>
      <c r="AZ69" s="41"/>
    </row>
    <row r="70" spans="2:52" hidden="1" outlineLevel="1">
      <c r="B70" s="6" t="s">
        <v>137</v>
      </c>
      <c r="C70" s="6"/>
      <c r="D70" s="6"/>
      <c r="E70" s="105"/>
      <c r="F70" s="105"/>
      <c r="G70" s="105"/>
      <c r="H70" s="105"/>
      <c r="I70" s="105"/>
      <c r="J70" s="105"/>
      <c r="K70" s="104"/>
      <c r="L70" s="104"/>
      <c r="M70" s="104"/>
      <c r="N70" s="104"/>
      <c r="O70" s="6"/>
      <c r="P70" s="6"/>
      <c r="Q70" s="103"/>
      <c r="R70" s="102"/>
      <c r="S70" s="101"/>
      <c r="T70" s="100"/>
      <c r="U70" s="103"/>
      <c r="V70" s="102"/>
      <c r="W70" s="101"/>
      <c r="X70" s="100"/>
      <c r="Y70" s="103"/>
      <c r="Z70" s="102"/>
      <c r="AA70" s="101"/>
      <c r="AB70" s="100"/>
      <c r="AC70" s="103"/>
      <c r="AD70" s="102"/>
      <c r="AE70" s="101"/>
      <c r="AF70" s="100"/>
      <c r="AG70" s="103"/>
      <c r="AH70" s="102"/>
      <c r="AI70" s="101"/>
      <c r="AJ70" s="100"/>
      <c r="AK70" s="99"/>
      <c r="AL70" s="98"/>
      <c r="AM70" s="97"/>
      <c r="AN70" s="96"/>
      <c r="AO70" s="99"/>
      <c r="AP70" s="98"/>
      <c r="AQ70" s="97"/>
      <c r="AR70" s="96"/>
      <c r="AS70" s="99"/>
      <c r="AT70" s="98"/>
      <c r="AU70" s="97"/>
      <c r="AV70" s="96"/>
      <c r="AW70" s="96"/>
      <c r="AX70" s="96"/>
      <c r="AY70" s="96"/>
      <c r="AZ70" s="96"/>
    </row>
    <row r="71" spans="2:52" collapsed="1">
      <c r="B71" s="8" t="s">
        <v>136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2:52">
      <c r="B72" s="3" t="s">
        <v>135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2:52">
      <c r="B73" s="3" t="s">
        <v>134</v>
      </c>
      <c r="C73" s="1" t="s">
        <v>88</v>
      </c>
      <c r="E73" s="10"/>
      <c r="F73" s="67"/>
      <c r="G73" s="67"/>
      <c r="H73" s="67"/>
      <c r="I73" s="58">
        <f>I79</f>
        <v>3399.9349999999999</v>
      </c>
      <c r="J73" s="58">
        <f t="shared" ref="J73:K73" si="61">J79</f>
        <v>5650.366</v>
      </c>
      <c r="K73" s="58">
        <f t="shared" si="61"/>
        <v>8158.924</v>
      </c>
      <c r="L73" s="58">
        <f t="shared" ref="L73:N74" ca="1" si="62">SUM(OFFSET($P73,0,L$1,1,4))</f>
        <v>10696.29486206006</v>
      </c>
      <c r="M73" s="58">
        <f t="shared" ca="1" si="62"/>
        <v>15232.921348608612</v>
      </c>
      <c r="N73" s="58">
        <f t="shared" ca="1" si="62"/>
        <v>21169.588845374641</v>
      </c>
      <c r="O73" s="85"/>
      <c r="P73" s="58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58">
        <f>AI79</f>
        <v>1625.8019999999999</v>
      </c>
      <c r="AJ73" s="58">
        <f t="shared" ref="AJ73:AN73" si="63">AJ79</f>
        <v>1340.261</v>
      </c>
      <c r="AK73" s="58">
        <f t="shared" si="63"/>
        <v>1473.4449999999999</v>
      </c>
      <c r="AL73" s="58">
        <f t="shared" si="63"/>
        <v>1908.453</v>
      </c>
      <c r="AM73" s="58">
        <f t="shared" si="63"/>
        <v>2634.1869999999999</v>
      </c>
      <c r="AN73" s="58">
        <f t="shared" si="63"/>
        <v>2142.8389999999999</v>
      </c>
      <c r="AO73" s="58">
        <f t="shared" ref="AO73:AZ73" si="64">AO79</f>
        <v>2202.0602628571432</v>
      </c>
      <c r="AP73" s="58">
        <f t="shared" si="64"/>
        <v>2596.6683435000004</v>
      </c>
      <c r="AQ73" s="58">
        <f t="shared" si="64"/>
        <v>2842.4142718766666</v>
      </c>
      <c r="AR73" s="58">
        <f t="shared" si="64"/>
        <v>3055.1519838262507</v>
      </c>
      <c r="AS73" s="58">
        <f t="shared" si="64"/>
        <v>3171.8105529555078</v>
      </c>
      <c r="AT73" s="58">
        <f t="shared" si="64"/>
        <v>3723.1964957914643</v>
      </c>
      <c r="AU73" s="58">
        <f t="shared" si="64"/>
        <v>4023.5367388196373</v>
      </c>
      <c r="AV73" s="58">
        <f t="shared" si="64"/>
        <v>4314.3775610420025</v>
      </c>
      <c r="AW73" s="58">
        <f t="shared" si="64"/>
        <v>4456.9248345520255</v>
      </c>
      <c r="AX73" s="58">
        <f t="shared" si="64"/>
        <v>5209.0197428555721</v>
      </c>
      <c r="AY73" s="58">
        <f t="shared" si="64"/>
        <v>5557.708941812275</v>
      </c>
      <c r="AZ73" s="58">
        <f t="shared" si="64"/>
        <v>5945.9353261547685</v>
      </c>
    </row>
    <row r="74" spans="2:52">
      <c r="B74" s="3" t="s">
        <v>133</v>
      </c>
      <c r="C74" s="1" t="s">
        <v>88</v>
      </c>
      <c r="E74" s="10"/>
      <c r="F74" s="67"/>
      <c r="G74" s="67"/>
      <c r="H74" s="67"/>
      <c r="I74" s="58">
        <f>SUM(I78,I80:I81)</f>
        <v>1918.6490000000001</v>
      </c>
      <c r="J74" s="58">
        <f t="shared" ref="J74:K74" si="65">SUM(J78,J80:J81)</f>
        <v>5587.0410000000002</v>
      </c>
      <c r="K74" s="58">
        <f t="shared" si="65"/>
        <v>9219.4259999999995</v>
      </c>
      <c r="L74" s="58">
        <f t="shared" ca="1" si="62"/>
        <v>14390.494251397891</v>
      </c>
      <c r="M74" s="58">
        <f t="shared" ca="1" si="62"/>
        <v>17348.857808293898</v>
      </c>
      <c r="N74" s="58">
        <f t="shared" ca="1" si="62"/>
        <v>20367.449506104909</v>
      </c>
      <c r="O74" s="58"/>
      <c r="P74" s="58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58">
        <f>SUM(AI78,AI80:AI81)</f>
        <v>1631.854</v>
      </c>
      <c r="AJ74" s="58">
        <f t="shared" ref="AJ74:AN74" si="66">SUM(AJ78,AJ80:AJ81)</f>
        <v>1814.855</v>
      </c>
      <c r="AK74" s="58">
        <f t="shared" si="66"/>
        <v>1810.5890000000002</v>
      </c>
      <c r="AL74" s="58">
        <f t="shared" si="66"/>
        <v>2417.866</v>
      </c>
      <c r="AM74" s="58">
        <f t="shared" si="66"/>
        <v>2316.3959999999997</v>
      </c>
      <c r="AN74" s="58">
        <f t="shared" si="66"/>
        <v>2674.5749999999998</v>
      </c>
      <c r="AO74" s="58">
        <f t="shared" ref="AO74:AZ74" si="67">SUM(AO78,AO80:AO81)</f>
        <v>2911.3343370176362</v>
      </c>
      <c r="AP74" s="58">
        <f t="shared" si="67"/>
        <v>3575.5995332450316</v>
      </c>
      <c r="AQ74" s="58">
        <f t="shared" si="67"/>
        <v>4131.4358589603589</v>
      </c>
      <c r="AR74" s="58">
        <f t="shared" si="67"/>
        <v>3772.1245221748636</v>
      </c>
      <c r="AS74" s="58">
        <f t="shared" si="67"/>
        <v>3708.6287396660541</v>
      </c>
      <c r="AT74" s="58">
        <f t="shared" si="67"/>
        <v>4273.0181143759692</v>
      </c>
      <c r="AU74" s="58">
        <f t="shared" si="67"/>
        <v>4853.1344934082517</v>
      </c>
      <c r="AV74" s="58">
        <f t="shared" si="67"/>
        <v>4514.0764608436248</v>
      </c>
      <c r="AW74" s="58">
        <f t="shared" si="67"/>
        <v>4508.5695838331703</v>
      </c>
      <c r="AX74" s="58">
        <f t="shared" si="67"/>
        <v>4984.478351640113</v>
      </c>
      <c r="AY74" s="58">
        <f t="shared" si="67"/>
        <v>5581.5324595320635</v>
      </c>
      <c r="AZ74" s="58">
        <f t="shared" si="67"/>
        <v>5292.8691110995624</v>
      </c>
    </row>
    <row r="75" spans="2:52" s="8" customFormat="1">
      <c r="B75" s="94" t="s">
        <v>130</v>
      </c>
      <c r="C75" s="93" t="s">
        <v>88</v>
      </c>
      <c r="D75" s="93"/>
      <c r="E75" s="92"/>
      <c r="F75" s="91"/>
      <c r="G75" s="91">
        <f>G82</f>
        <v>1345.0419999999999</v>
      </c>
      <c r="H75" s="91">
        <f>H82</f>
        <v>2873.5520000000001</v>
      </c>
      <c r="I75" s="91">
        <f>SUM(I73:I74)</f>
        <v>5318.5839999999998</v>
      </c>
      <c r="J75" s="91">
        <f t="shared" ref="J75:K75" si="68">SUM(J73:J74)</f>
        <v>11237.406999999999</v>
      </c>
      <c r="K75" s="91">
        <f t="shared" si="68"/>
        <v>17378.349999999999</v>
      </c>
      <c r="L75" s="91">
        <f ca="1">+L82</f>
        <v>25086.789113457951</v>
      </c>
      <c r="M75" s="91">
        <f ca="1">+M82</f>
        <v>32581.779156902507</v>
      </c>
      <c r="N75" s="91">
        <f ca="1">+N82</f>
        <v>41537.038351479554</v>
      </c>
      <c r="O75" s="85">
        <f ca="1">(M75/J75)^(1/3)-1</f>
        <v>0.42594539507189411</v>
      </c>
      <c r="P75" s="82"/>
      <c r="Q75" s="91">
        <f t="shared" ref="Q75:AN75" si="69">SUM(Q73:Q74)</f>
        <v>0</v>
      </c>
      <c r="R75" s="91">
        <f t="shared" si="69"/>
        <v>0</v>
      </c>
      <c r="S75" s="91">
        <f t="shared" si="69"/>
        <v>0</v>
      </c>
      <c r="T75" s="91">
        <f t="shared" si="69"/>
        <v>0</v>
      </c>
      <c r="U75" s="91">
        <f t="shared" si="69"/>
        <v>0</v>
      </c>
      <c r="V75" s="91">
        <f t="shared" si="69"/>
        <v>0</v>
      </c>
      <c r="W75" s="91">
        <f t="shared" si="69"/>
        <v>0</v>
      </c>
      <c r="X75" s="91">
        <f t="shared" si="69"/>
        <v>0</v>
      </c>
      <c r="Y75" s="91">
        <f t="shared" si="69"/>
        <v>0</v>
      </c>
      <c r="Z75" s="91">
        <f t="shared" si="69"/>
        <v>0</v>
      </c>
      <c r="AA75" s="91">
        <f t="shared" si="69"/>
        <v>0</v>
      </c>
      <c r="AB75" s="91">
        <f t="shared" si="69"/>
        <v>0</v>
      </c>
      <c r="AC75" s="91">
        <f t="shared" si="69"/>
        <v>0</v>
      </c>
      <c r="AD75" s="91">
        <f t="shared" si="69"/>
        <v>0</v>
      </c>
      <c r="AE75" s="91">
        <f t="shared" si="69"/>
        <v>0</v>
      </c>
      <c r="AF75" s="91">
        <f t="shared" si="69"/>
        <v>0</v>
      </c>
      <c r="AG75" s="91">
        <v>1925.405</v>
      </c>
      <c r="AH75" s="91">
        <f t="shared" si="69"/>
        <v>0</v>
      </c>
      <c r="AI75" s="91">
        <f t="shared" si="69"/>
        <v>3257.6559999999999</v>
      </c>
      <c r="AJ75" s="91">
        <f t="shared" si="69"/>
        <v>3155.116</v>
      </c>
      <c r="AK75" s="91">
        <f t="shared" si="69"/>
        <v>3284.0340000000001</v>
      </c>
      <c r="AL75" s="91">
        <f t="shared" si="69"/>
        <v>4326.3189999999995</v>
      </c>
      <c r="AM75" s="91">
        <f t="shared" si="69"/>
        <v>4950.5829999999996</v>
      </c>
      <c r="AN75" s="91">
        <f t="shared" si="69"/>
        <v>4817.4139999999998</v>
      </c>
      <c r="AO75" s="91">
        <f t="shared" ref="AO75:AZ75" si="70">AO82</f>
        <v>5113.3945998747795</v>
      </c>
      <c r="AP75" s="91">
        <f t="shared" si="70"/>
        <v>6172.2678767450325</v>
      </c>
      <c r="AQ75" s="91">
        <f t="shared" si="70"/>
        <v>6973.8501308370242</v>
      </c>
      <c r="AR75" s="91">
        <f t="shared" si="70"/>
        <v>6827.2765060011143</v>
      </c>
      <c r="AS75" s="91">
        <f t="shared" si="70"/>
        <v>6880.4392926215614</v>
      </c>
      <c r="AT75" s="91">
        <f t="shared" si="70"/>
        <v>7996.2146101674343</v>
      </c>
      <c r="AU75" s="91">
        <f t="shared" si="70"/>
        <v>8876.671232227889</v>
      </c>
      <c r="AV75" s="91">
        <f t="shared" si="70"/>
        <v>8828.4540218856273</v>
      </c>
      <c r="AW75" s="91">
        <f t="shared" si="70"/>
        <v>8965.4944183851949</v>
      </c>
      <c r="AX75" s="91">
        <f t="shared" si="70"/>
        <v>10193.498094495686</v>
      </c>
      <c r="AY75" s="91">
        <f t="shared" si="70"/>
        <v>11139.241401344339</v>
      </c>
      <c r="AZ75" s="91">
        <f t="shared" si="70"/>
        <v>11238.80443725433</v>
      </c>
    </row>
    <row r="76" spans="2:52">
      <c r="E76" s="10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</row>
    <row r="77" spans="2:52">
      <c r="B77" s="3" t="s">
        <v>132</v>
      </c>
      <c r="E77" s="10"/>
      <c r="F77" s="58"/>
      <c r="G77" s="58"/>
      <c r="H77" s="58"/>
      <c r="I77" s="58"/>
      <c r="J77" s="58"/>
      <c r="K77" s="95"/>
      <c r="L77" s="95"/>
      <c r="M77" s="95"/>
      <c r="N77" s="95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165"/>
      <c r="Z77" s="58"/>
      <c r="AA77" s="58"/>
      <c r="AB77" s="58"/>
      <c r="AC77" s="165"/>
      <c r="AD77" s="58"/>
      <c r="AE77" s="58"/>
      <c r="AF77" s="58"/>
      <c r="AG77" s="165"/>
      <c r="AH77" s="58"/>
      <c r="AI77" s="58"/>
      <c r="AJ77" s="58"/>
      <c r="AK77" s="165"/>
      <c r="AL77" s="58"/>
      <c r="AM77" s="58"/>
      <c r="AN77" s="165"/>
      <c r="AO77" s="165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</row>
    <row r="78" spans="2:52">
      <c r="B78" s="3" t="s">
        <v>407</v>
      </c>
      <c r="C78" s="1" t="s">
        <v>88</v>
      </c>
      <c r="F78" s="58"/>
      <c r="G78" s="67"/>
      <c r="H78" s="67"/>
      <c r="I78" s="67">
        <v>996.68200000000002</v>
      </c>
      <c r="J78" s="67">
        <v>3762.183</v>
      </c>
      <c r="K78" s="67">
        <v>6536.0280000000002</v>
      </c>
      <c r="L78" s="58">
        <f t="shared" ref="L78:N81" ca="1" si="71">SUM(OFFSET($P78,0,L$1,1,4))</f>
        <v>10915.234782045021</v>
      </c>
      <c r="M78" s="58">
        <f t="shared" ca="1" si="71"/>
        <v>13190.127015535158</v>
      </c>
      <c r="N78" s="58">
        <f t="shared" ca="1" si="71"/>
        <v>15528.412000985743</v>
      </c>
      <c r="O78" s="85">
        <f ca="1">(M78/K78)^(1/2)-1</f>
        <v>0.42058602114437216</v>
      </c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67"/>
      <c r="AH78" s="58"/>
      <c r="AI78" s="67">
        <v>1168.433</v>
      </c>
      <c r="AJ78" s="67">
        <v>1262.952</v>
      </c>
      <c r="AK78" s="67">
        <v>1329.9760000000001</v>
      </c>
      <c r="AL78" s="67">
        <v>1579.53</v>
      </c>
      <c r="AM78" s="67">
        <v>1696.6969999999999</v>
      </c>
      <c r="AN78" s="67">
        <v>1929.825</v>
      </c>
      <c r="AO78" s="58">
        <f>Operating_Model!AO216</f>
        <v>2245.4265812647359</v>
      </c>
      <c r="AP78" s="58">
        <f>Operating_Model!AP216</f>
        <v>2437.622387541242</v>
      </c>
      <c r="AQ78" s="58">
        <f>Operating_Model!AQ216</f>
        <v>3348.9166937539621</v>
      </c>
      <c r="AR78" s="58">
        <f>Operating_Model!AR216</f>
        <v>2883.2691194850809</v>
      </c>
      <c r="AS78" s="58">
        <f>Operating_Model!AS216</f>
        <v>2901.9699343344996</v>
      </c>
      <c r="AT78" s="58">
        <f>Operating_Model!AT216</f>
        <v>2884.1422887085369</v>
      </c>
      <c r="AU78" s="58">
        <f>Operating_Model!AU216</f>
        <v>3922.022286898778</v>
      </c>
      <c r="AV78" s="58">
        <f>Operating_Model!AV216</f>
        <v>3481.992505593344</v>
      </c>
      <c r="AW78" s="58">
        <f>Operating_Model!AW216</f>
        <v>3560.0909472151843</v>
      </c>
      <c r="AX78" s="58">
        <f>Operating_Model!AX216</f>
        <v>3342.0056322533937</v>
      </c>
      <c r="AY78" s="58">
        <f>Operating_Model!AY216</f>
        <v>4503.5889700173184</v>
      </c>
      <c r="AZ78" s="58">
        <f>Operating_Model!AZ216</f>
        <v>4122.7264514998451</v>
      </c>
    </row>
    <row r="79" spans="2:52">
      <c r="B79" s="3" t="s">
        <v>408</v>
      </c>
      <c r="C79" s="1" t="s">
        <v>88</v>
      </c>
      <c r="F79" s="58"/>
      <c r="G79" s="67"/>
      <c r="H79" s="67"/>
      <c r="I79" s="67">
        <v>3399.9349999999999</v>
      </c>
      <c r="J79" s="67">
        <v>5650.366</v>
      </c>
      <c r="K79" s="67">
        <v>8158.924</v>
      </c>
      <c r="L79" s="58">
        <f t="shared" ca="1" si="71"/>
        <v>10696.29486206006</v>
      </c>
      <c r="M79" s="58">
        <f t="shared" ca="1" si="71"/>
        <v>15232.921348608612</v>
      </c>
      <c r="N79" s="58">
        <f t="shared" ca="1" si="71"/>
        <v>21169.588845374641</v>
      </c>
      <c r="O79" s="85">
        <f ca="1">(M79/K79)^(1/2)-1</f>
        <v>0.36639151350494337</v>
      </c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67"/>
      <c r="AH79" s="58"/>
      <c r="AI79" s="67">
        <v>1625.8019999999999</v>
      </c>
      <c r="AJ79" s="67">
        <v>1340.261</v>
      </c>
      <c r="AK79" s="67">
        <v>1473.4449999999999</v>
      </c>
      <c r="AL79" s="67">
        <v>1908.453</v>
      </c>
      <c r="AM79" s="67">
        <v>2634.1869999999999</v>
      </c>
      <c r="AN79" s="67">
        <v>2142.8389999999999</v>
      </c>
      <c r="AO79" s="58">
        <f>Operating_Model!AO218</f>
        <v>2202.0602628571432</v>
      </c>
      <c r="AP79" s="58">
        <f>Operating_Model!AP218</f>
        <v>2596.6683435000004</v>
      </c>
      <c r="AQ79" s="58">
        <f>Operating_Model!AQ218</f>
        <v>2842.4142718766666</v>
      </c>
      <c r="AR79" s="58">
        <f>Operating_Model!AR218</f>
        <v>3055.1519838262507</v>
      </c>
      <c r="AS79" s="58">
        <f>Operating_Model!AS218</f>
        <v>3171.8105529555078</v>
      </c>
      <c r="AT79" s="58">
        <f>Operating_Model!AT218</f>
        <v>3723.1964957914643</v>
      </c>
      <c r="AU79" s="58">
        <f>Operating_Model!AU218</f>
        <v>4023.5367388196373</v>
      </c>
      <c r="AV79" s="58">
        <f>Operating_Model!AV218</f>
        <v>4314.3775610420025</v>
      </c>
      <c r="AW79" s="58">
        <f>Operating_Model!AW218</f>
        <v>4456.9248345520255</v>
      </c>
      <c r="AX79" s="58">
        <f>Operating_Model!AX218</f>
        <v>5209.0197428555721</v>
      </c>
      <c r="AY79" s="58">
        <f>Operating_Model!AY218</f>
        <v>5557.708941812275</v>
      </c>
      <c r="AZ79" s="58">
        <f>Operating_Model!AZ218</f>
        <v>5945.9353261547685</v>
      </c>
    </row>
    <row r="80" spans="2:52">
      <c r="B80" s="3" t="s">
        <v>409</v>
      </c>
      <c r="C80" s="1" t="s">
        <v>88</v>
      </c>
      <c r="F80" s="58"/>
      <c r="G80" s="67"/>
      <c r="H80" s="67"/>
      <c r="I80" s="67">
        <v>387.68700000000001</v>
      </c>
      <c r="J80" s="67">
        <v>500.952</v>
      </c>
      <c r="K80" s="67">
        <v>1191.816</v>
      </c>
      <c r="L80" s="58">
        <f t="shared" ca="1" si="71"/>
        <v>1752.625</v>
      </c>
      <c r="M80" s="58">
        <f t="shared" ca="1" si="71"/>
        <v>2218.6521947396877</v>
      </c>
      <c r="N80" s="58">
        <f t="shared" ca="1" si="71"/>
        <v>2699.4175796917543</v>
      </c>
      <c r="O80" s="85">
        <f ca="1">(M80/K80)^(1/2)-1</f>
        <v>0.36439464787127962</v>
      </c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67"/>
      <c r="AH80" s="58"/>
      <c r="AI80" s="67">
        <v>118.58799999999999</v>
      </c>
      <c r="AJ80" s="67">
        <v>117.83499999999999</v>
      </c>
      <c r="AK80" s="67">
        <v>196.01599999999999</v>
      </c>
      <c r="AL80" s="67">
        <v>486.26299999999998</v>
      </c>
      <c r="AM80" s="67">
        <v>276.05200000000002</v>
      </c>
      <c r="AN80" s="67">
        <v>233.48500000000001</v>
      </c>
      <c r="AO80" s="58">
        <f>Operating_Model!AO220</f>
        <v>333.22719999999998</v>
      </c>
      <c r="AP80" s="58">
        <f>Operating_Model!AP220</f>
        <v>729.39449999999999</v>
      </c>
      <c r="AQ80" s="58">
        <f>Operating_Model!AQ220</f>
        <v>386.47280000000001</v>
      </c>
      <c r="AR80" s="58">
        <f>Operating_Model!AR220</f>
        <v>303.53050000000002</v>
      </c>
      <c r="AS80" s="58">
        <f>Operating_Model!AS220</f>
        <v>428.19695199999995</v>
      </c>
      <c r="AT80" s="58">
        <f>Operating_Model!AT220</f>
        <v>926.87806087500007</v>
      </c>
      <c r="AU80" s="58">
        <f>Operating_Model!AU220</f>
        <v>485.87843507000002</v>
      </c>
      <c r="AV80" s="58">
        <f>Operating_Model!AV220</f>
        <v>377.69874679468751</v>
      </c>
      <c r="AW80" s="58">
        <f>Operating_Model!AW220</f>
        <v>527.59614368596067</v>
      </c>
      <c r="AX80" s="58">
        <f>Operating_Model!AX220</f>
        <v>1131.2802247192315</v>
      </c>
      <c r="AY80" s="58">
        <f>Operating_Model!AY220</f>
        <v>587.67054484311393</v>
      </c>
      <c r="AZ80" s="58">
        <f>Operating_Model!AZ220</f>
        <v>452.87066644344844</v>
      </c>
    </row>
    <row r="81" spans="2:52">
      <c r="B81" s="3" t="s">
        <v>410</v>
      </c>
      <c r="C81" s="1" t="s">
        <v>88</v>
      </c>
      <c r="F81" s="58"/>
      <c r="G81" s="58"/>
      <c r="H81" s="58"/>
      <c r="I81" s="67">
        <v>534.28</v>
      </c>
      <c r="J81" s="67">
        <v>1323.9059999999999</v>
      </c>
      <c r="K81" s="67">
        <v>1491.5820000000001</v>
      </c>
      <c r="L81" s="58">
        <f t="shared" ca="1" si="71"/>
        <v>1722.6344693528695</v>
      </c>
      <c r="M81" s="58">
        <f t="shared" ca="1" si="71"/>
        <v>1940.078598019054</v>
      </c>
      <c r="N81" s="58">
        <f t="shared" ca="1" si="71"/>
        <v>2139.6199254274134</v>
      </c>
      <c r="O81" s="8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67">
        <v>344.83300000000003</v>
      </c>
      <c r="AJ81" s="67">
        <v>434.06799999999998</v>
      </c>
      <c r="AK81" s="67">
        <v>284.59699999999998</v>
      </c>
      <c r="AL81" s="67">
        <v>352.07299999999998</v>
      </c>
      <c r="AM81" s="67">
        <v>343.64699999999999</v>
      </c>
      <c r="AN81" s="67">
        <v>511.26499999999999</v>
      </c>
      <c r="AO81" s="58">
        <f>Operating_Model!AO226</f>
        <v>332.68055575290043</v>
      </c>
      <c r="AP81" s="58">
        <f>Operating_Model!AP226</f>
        <v>408.58264570378952</v>
      </c>
      <c r="AQ81" s="58">
        <f>Operating_Model!AQ226</f>
        <v>396.04636520639656</v>
      </c>
      <c r="AR81" s="58">
        <f>Operating_Model!AR226</f>
        <v>585.32490268978302</v>
      </c>
      <c r="AS81" s="58">
        <f>Operating_Model!AS226</f>
        <v>378.46185333155461</v>
      </c>
      <c r="AT81" s="58">
        <f>Operating_Model!AT226</f>
        <v>461.99776479243241</v>
      </c>
      <c r="AU81" s="58">
        <f>Operating_Model!AU226</f>
        <v>445.2337714394734</v>
      </c>
      <c r="AV81" s="58">
        <f>Operating_Model!AV226</f>
        <v>654.38520845559356</v>
      </c>
      <c r="AW81" s="58">
        <f>Operating_Model!AW226</f>
        <v>420.8824929320254</v>
      </c>
      <c r="AX81" s="58">
        <f>Operating_Model!AX226</f>
        <v>511.19249466748784</v>
      </c>
      <c r="AY81" s="58">
        <f>Operating_Model!AY226</f>
        <v>490.27294467163154</v>
      </c>
      <c r="AZ81" s="58">
        <f>Operating_Model!AZ226</f>
        <v>717.27199315626865</v>
      </c>
    </row>
    <row r="82" spans="2:52" s="8" customFormat="1">
      <c r="B82" s="94" t="s">
        <v>130</v>
      </c>
      <c r="C82" s="93" t="s">
        <v>88</v>
      </c>
      <c r="D82" s="93"/>
      <c r="E82" s="92"/>
      <c r="F82" s="171"/>
      <c r="G82" s="171">
        <v>1345.0419999999999</v>
      </c>
      <c r="H82" s="171">
        <v>2873.5520000000001</v>
      </c>
      <c r="I82" s="91">
        <f>SUM(I78:I81)</f>
        <v>5318.5839999999998</v>
      </c>
      <c r="J82" s="91">
        <f t="shared" ref="J82:K82" si="72">SUM(J78:J81)</f>
        <v>11237.406999999999</v>
      </c>
      <c r="K82" s="91">
        <f t="shared" si="72"/>
        <v>17378.350000000002</v>
      </c>
      <c r="L82" s="91">
        <f ca="1">SUM(L78:L81)</f>
        <v>25086.789113457951</v>
      </c>
      <c r="M82" s="91">
        <f ca="1">SUM(M78:M81)</f>
        <v>32581.779156902507</v>
      </c>
      <c r="N82" s="91">
        <f ca="1">SUM(N78:N81)</f>
        <v>41537.038351479554</v>
      </c>
      <c r="O82" s="85"/>
      <c r="P82" s="58"/>
      <c r="Q82" s="91">
        <f t="shared" ref="Q82:AH82" si="73">+Q75</f>
        <v>0</v>
      </c>
      <c r="R82" s="91">
        <f t="shared" si="73"/>
        <v>0</v>
      </c>
      <c r="S82" s="91">
        <f t="shared" si="73"/>
        <v>0</v>
      </c>
      <c r="T82" s="91">
        <f t="shared" si="73"/>
        <v>0</v>
      </c>
      <c r="U82" s="91">
        <f t="shared" si="73"/>
        <v>0</v>
      </c>
      <c r="V82" s="91">
        <f t="shared" si="73"/>
        <v>0</v>
      </c>
      <c r="W82" s="91">
        <f t="shared" si="73"/>
        <v>0</v>
      </c>
      <c r="X82" s="91">
        <f t="shared" si="73"/>
        <v>0</v>
      </c>
      <c r="Y82" s="91">
        <f t="shared" si="73"/>
        <v>0</v>
      </c>
      <c r="Z82" s="91">
        <f t="shared" si="73"/>
        <v>0</v>
      </c>
      <c r="AA82" s="91">
        <f t="shared" si="73"/>
        <v>0</v>
      </c>
      <c r="AB82" s="91">
        <f t="shared" si="73"/>
        <v>0</v>
      </c>
      <c r="AC82" s="91">
        <f t="shared" si="73"/>
        <v>0</v>
      </c>
      <c r="AD82" s="91">
        <f t="shared" si="73"/>
        <v>0</v>
      </c>
      <c r="AE82" s="91">
        <f t="shared" si="73"/>
        <v>0</v>
      </c>
      <c r="AF82" s="91">
        <f t="shared" si="73"/>
        <v>0</v>
      </c>
      <c r="AG82" s="91">
        <f t="shared" si="73"/>
        <v>1925.405</v>
      </c>
      <c r="AH82" s="91">
        <f t="shared" si="73"/>
        <v>0</v>
      </c>
      <c r="AI82" s="91">
        <f>SUM(AI78:AI81)</f>
        <v>3257.6559999999999</v>
      </c>
      <c r="AJ82" s="91">
        <f t="shared" ref="AJ82:AN82" si="74">SUM(AJ78:AJ81)</f>
        <v>3155.116</v>
      </c>
      <c r="AK82" s="91">
        <f t="shared" si="74"/>
        <v>3284.0340000000006</v>
      </c>
      <c r="AL82" s="91">
        <f t="shared" si="74"/>
        <v>4326.3190000000004</v>
      </c>
      <c r="AM82" s="91">
        <f t="shared" si="74"/>
        <v>4950.5829999999996</v>
      </c>
      <c r="AN82" s="91">
        <f t="shared" si="74"/>
        <v>4817.4139999999998</v>
      </c>
      <c r="AO82" s="91">
        <f t="shared" ref="AO82" si="75">SUM(AO78:AO81)</f>
        <v>5113.3945998747795</v>
      </c>
      <c r="AP82" s="91">
        <f t="shared" ref="AP82:AZ82" si="76">SUM(AP78:AP81)</f>
        <v>6172.2678767450325</v>
      </c>
      <c r="AQ82" s="91">
        <f t="shared" si="76"/>
        <v>6973.8501308370242</v>
      </c>
      <c r="AR82" s="91">
        <f t="shared" si="76"/>
        <v>6827.2765060011143</v>
      </c>
      <c r="AS82" s="91">
        <f t="shared" si="76"/>
        <v>6880.4392926215614</v>
      </c>
      <c r="AT82" s="91">
        <f t="shared" si="76"/>
        <v>7996.2146101674343</v>
      </c>
      <c r="AU82" s="91">
        <f t="shared" si="76"/>
        <v>8876.671232227889</v>
      </c>
      <c r="AV82" s="91">
        <f t="shared" si="76"/>
        <v>8828.4540218856273</v>
      </c>
      <c r="AW82" s="91">
        <f t="shared" si="76"/>
        <v>8965.4944183851949</v>
      </c>
      <c r="AX82" s="91">
        <f t="shared" si="76"/>
        <v>10193.498094495686</v>
      </c>
      <c r="AY82" s="91">
        <f t="shared" si="76"/>
        <v>11139.241401344339</v>
      </c>
      <c r="AZ82" s="91">
        <f t="shared" si="76"/>
        <v>11238.80443725433</v>
      </c>
    </row>
    <row r="83" spans="2:52">
      <c r="B83" s="52" t="s">
        <v>128</v>
      </c>
      <c r="E83" s="10"/>
      <c r="F83" s="10"/>
      <c r="G83" s="4"/>
      <c r="H83" s="4">
        <f t="shared" ref="H83:N83" si="77">H82/G82-1</f>
        <v>1.1364031755142219</v>
      </c>
      <c r="I83" s="4">
        <f t="shared" si="77"/>
        <v>0.85087445781388316</v>
      </c>
      <c r="J83" s="4">
        <f t="shared" si="77"/>
        <v>1.1128569183075796</v>
      </c>
      <c r="K83" s="4">
        <f t="shared" si="77"/>
        <v>0.54647331007945188</v>
      </c>
      <c r="L83" s="4">
        <f t="shared" ca="1" si="77"/>
        <v>0.44356564998736636</v>
      </c>
      <c r="M83" s="4">
        <f t="shared" ca="1" si="77"/>
        <v>0.29876242868497771</v>
      </c>
      <c r="N83" s="4">
        <f t="shared" ca="1" si="77"/>
        <v>0.27485482457700172</v>
      </c>
      <c r="O83" s="58"/>
      <c r="P83" s="58"/>
      <c r="Q83" s="71"/>
      <c r="R83" s="71"/>
      <c r="S83" s="71"/>
      <c r="T83" s="71"/>
      <c r="U83" s="183" t="str">
        <f>IFERROR(U82/Q82-1,"-")</f>
        <v>-</v>
      </c>
      <c r="V83" s="183" t="str">
        <f t="shared" ref="V83:AZ83" si="78">IFERROR(V82/R82-1,"-")</f>
        <v>-</v>
      </c>
      <c r="W83" s="183" t="str">
        <f t="shared" si="78"/>
        <v>-</v>
      </c>
      <c r="X83" s="183" t="str">
        <f t="shared" si="78"/>
        <v>-</v>
      </c>
      <c r="Y83" s="183" t="str">
        <f t="shared" si="78"/>
        <v>-</v>
      </c>
      <c r="Z83" s="183" t="str">
        <f t="shared" si="78"/>
        <v>-</v>
      </c>
      <c r="AA83" s="183" t="str">
        <f t="shared" si="78"/>
        <v>-</v>
      </c>
      <c r="AB83" s="183" t="str">
        <f t="shared" si="78"/>
        <v>-</v>
      </c>
      <c r="AC83" s="183" t="str">
        <f t="shared" si="78"/>
        <v>-</v>
      </c>
      <c r="AD83" s="183" t="str">
        <f t="shared" si="78"/>
        <v>-</v>
      </c>
      <c r="AE83" s="183" t="str">
        <f t="shared" si="78"/>
        <v>-</v>
      </c>
      <c r="AF83" s="183" t="str">
        <f t="shared" si="78"/>
        <v>-</v>
      </c>
      <c r="AG83" s="183" t="str">
        <f t="shared" si="78"/>
        <v>-</v>
      </c>
      <c r="AH83" s="183" t="str">
        <f t="shared" si="78"/>
        <v>-</v>
      </c>
      <c r="AI83" s="183" t="str">
        <f t="shared" si="78"/>
        <v>-</v>
      </c>
      <c r="AJ83" s="183" t="str">
        <f t="shared" si="78"/>
        <v>-</v>
      </c>
      <c r="AK83" s="183">
        <f t="shared" si="78"/>
        <v>0.70563284088282763</v>
      </c>
      <c r="AL83" s="183" t="str">
        <f t="shared" si="78"/>
        <v>-</v>
      </c>
      <c r="AM83" s="183">
        <f t="shared" si="78"/>
        <v>0.51967641764507966</v>
      </c>
      <c r="AN83" s="183">
        <f t="shared" si="78"/>
        <v>0.52685796655336903</v>
      </c>
      <c r="AO83" s="183">
        <f t="shared" si="78"/>
        <v>0.55704679058584006</v>
      </c>
      <c r="AP83" s="183">
        <f t="shared" si="78"/>
        <v>0.42667886412098421</v>
      </c>
      <c r="AQ83" s="183">
        <f t="shared" si="78"/>
        <v>0.40869269959457788</v>
      </c>
      <c r="AR83" s="183">
        <f t="shared" si="78"/>
        <v>0.41720776042937446</v>
      </c>
      <c r="AS83" s="183">
        <f t="shared" si="78"/>
        <v>0.34557174460779039</v>
      </c>
      <c r="AT83" s="183">
        <f t="shared" si="78"/>
        <v>0.29550673591053966</v>
      </c>
      <c r="AU83" s="183">
        <f t="shared" si="78"/>
        <v>0.27285087371994932</v>
      </c>
      <c r="AV83" s="183">
        <f t="shared" si="78"/>
        <v>0.29311505314388486</v>
      </c>
      <c r="AW83" s="183">
        <f t="shared" si="78"/>
        <v>0.30304098867634854</v>
      </c>
      <c r="AX83" s="183">
        <f t="shared" si="78"/>
        <v>0.27479045916730871</v>
      </c>
      <c r="AY83" s="183">
        <f t="shared" si="78"/>
        <v>0.25488948615128382</v>
      </c>
      <c r="AZ83" s="183">
        <f t="shared" si="78"/>
        <v>0.27302066810264569</v>
      </c>
    </row>
    <row r="84" spans="2:52">
      <c r="B84" s="3"/>
      <c r="E84" s="10"/>
      <c r="F84" s="10"/>
      <c r="G84" s="38"/>
      <c r="H84" s="38"/>
      <c r="I84" s="38"/>
      <c r="J84" s="38"/>
      <c r="K84" s="38"/>
      <c r="L84" s="38"/>
      <c r="M84" s="38"/>
      <c r="N84" s="38"/>
      <c r="Q84" s="10"/>
      <c r="R84" s="10"/>
      <c r="S84" s="10"/>
      <c r="T84" s="10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2:52">
      <c r="B85" s="3" t="s">
        <v>395</v>
      </c>
      <c r="E85" s="10"/>
      <c r="F85" s="58">
        <f>F92</f>
        <v>0</v>
      </c>
      <c r="G85" s="58">
        <f t="shared" ref="G85:K85" si="79">G92</f>
        <v>0</v>
      </c>
      <c r="H85" s="58">
        <f t="shared" si="79"/>
        <v>0</v>
      </c>
      <c r="I85" s="58">
        <f t="shared" ca="1" si="79"/>
        <v>297.84070400000002</v>
      </c>
      <c r="J85" s="58">
        <f t="shared" ca="1" si="79"/>
        <v>629.29479199999992</v>
      </c>
      <c r="K85" s="58">
        <f t="shared" ca="1" si="79"/>
        <v>973.18760000000009</v>
      </c>
      <c r="L85" s="58">
        <f ca="1">SUM(OFFSET($P85,0,L$1,1,4))</f>
        <v>1404.8601903536451</v>
      </c>
      <c r="M85" s="58">
        <f ca="1">SUM(OFFSET($P85,0,M$1,1,4))</f>
        <v>1824.5796327865407</v>
      </c>
      <c r="N85" s="58">
        <f ca="1">SUM(OFFSET($P85,0,N$1,1,4))</f>
        <v>2326.0741476828553</v>
      </c>
      <c r="Q85" s="58">
        <f t="shared" ref="Q85:AN85" si="80">Q92</f>
        <v>0</v>
      </c>
      <c r="R85" s="58">
        <f t="shared" si="80"/>
        <v>0</v>
      </c>
      <c r="S85" s="58">
        <f t="shared" si="80"/>
        <v>0</v>
      </c>
      <c r="T85" s="58">
        <f t="shared" si="80"/>
        <v>0</v>
      </c>
      <c r="U85" s="58">
        <f t="shared" si="80"/>
        <v>0</v>
      </c>
      <c r="V85" s="58">
        <f t="shared" si="80"/>
        <v>0</v>
      </c>
      <c r="W85" s="58">
        <f t="shared" si="80"/>
        <v>0</v>
      </c>
      <c r="X85" s="58">
        <f t="shared" si="80"/>
        <v>0</v>
      </c>
      <c r="Y85" s="58">
        <f t="shared" si="80"/>
        <v>0</v>
      </c>
      <c r="Z85" s="58">
        <f t="shared" si="80"/>
        <v>0</v>
      </c>
      <c r="AA85" s="58">
        <f t="shared" si="80"/>
        <v>0</v>
      </c>
      <c r="AB85" s="58">
        <f t="shared" si="80"/>
        <v>0</v>
      </c>
      <c r="AC85" s="58">
        <f t="shared" si="80"/>
        <v>0</v>
      </c>
      <c r="AD85" s="58">
        <f t="shared" si="80"/>
        <v>0</v>
      </c>
      <c r="AE85" s="58">
        <f t="shared" si="80"/>
        <v>0</v>
      </c>
      <c r="AF85" s="58">
        <f t="shared" si="80"/>
        <v>0</v>
      </c>
      <c r="AG85" s="58">
        <f t="shared" si="80"/>
        <v>0</v>
      </c>
      <c r="AH85" s="58">
        <f t="shared" si="80"/>
        <v>0</v>
      </c>
      <c r="AI85" s="58">
        <f t="shared" si="80"/>
        <v>182.42873600000001</v>
      </c>
      <c r="AJ85" s="58">
        <f t="shared" si="80"/>
        <v>176.68649600000001</v>
      </c>
      <c r="AK85" s="58">
        <f t="shared" si="80"/>
        <v>183.90590400000005</v>
      </c>
      <c r="AL85" s="58">
        <f t="shared" si="80"/>
        <v>242.27386400000003</v>
      </c>
      <c r="AM85" s="58">
        <f t="shared" si="80"/>
        <v>277.23264799999998</v>
      </c>
      <c r="AN85" s="58">
        <f t="shared" si="80"/>
        <v>269.77518399999997</v>
      </c>
      <c r="AO85" s="58">
        <f>Operating_Model!AO237</f>
        <v>286.35009759298765</v>
      </c>
      <c r="AP85" s="58">
        <f>Operating_Model!AP237</f>
        <v>345.64700109772184</v>
      </c>
      <c r="AQ85" s="58">
        <f>Operating_Model!AQ237</f>
        <v>390.53560732687333</v>
      </c>
      <c r="AR85" s="58">
        <f>Operating_Model!AR237</f>
        <v>382.32748433606241</v>
      </c>
      <c r="AS85" s="58">
        <f>Operating_Model!AS237</f>
        <v>385.30460038680746</v>
      </c>
      <c r="AT85" s="58">
        <f>Operating_Model!AT237</f>
        <v>447.78801816937636</v>
      </c>
      <c r="AU85" s="58">
        <f>Operating_Model!AU237</f>
        <v>497.09358900476178</v>
      </c>
      <c r="AV85" s="58">
        <f>Operating_Model!AV237</f>
        <v>494.39342522559514</v>
      </c>
      <c r="AW85" s="58">
        <f>Operating_Model!AW237</f>
        <v>502.06768742957092</v>
      </c>
      <c r="AX85" s="58">
        <f>Operating_Model!AX237</f>
        <v>570.83589329175845</v>
      </c>
      <c r="AY85" s="58">
        <f>Operating_Model!AY237</f>
        <v>623.79751847528303</v>
      </c>
      <c r="AZ85" s="58">
        <f>Operating_Model!AZ237</f>
        <v>629.37304848624251</v>
      </c>
    </row>
    <row r="86" spans="2:52">
      <c r="B86" s="3"/>
      <c r="E86" s="10"/>
      <c r="F86" s="10"/>
      <c r="G86" s="38"/>
      <c r="H86" s="38"/>
      <c r="I86" s="38"/>
      <c r="J86" s="38"/>
      <c r="K86" s="38"/>
      <c r="L86" s="38"/>
      <c r="M86" s="38"/>
      <c r="N86" s="38"/>
      <c r="Q86" s="10"/>
      <c r="R86" s="10"/>
      <c r="S86" s="10"/>
      <c r="T86" s="10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2:52" s="8" customFormat="1">
      <c r="B87" s="8" t="s">
        <v>129</v>
      </c>
      <c r="E87" s="81"/>
      <c r="F87" s="82">
        <f>F82-F85</f>
        <v>0</v>
      </c>
      <c r="G87" s="82">
        <f t="shared" ref="G87:N87" si="81">G82-G85</f>
        <v>1345.0419999999999</v>
      </c>
      <c r="H87" s="82">
        <f t="shared" si="81"/>
        <v>2873.5520000000001</v>
      </c>
      <c r="I87" s="82">
        <f t="shared" ca="1" si="81"/>
        <v>5020.7432959999996</v>
      </c>
      <c r="J87" s="82">
        <f t="shared" ca="1" si="81"/>
        <v>10608.112207999999</v>
      </c>
      <c r="K87" s="82">
        <f t="shared" ca="1" si="81"/>
        <v>16405.162400000001</v>
      </c>
      <c r="L87" s="82">
        <f t="shared" ca="1" si="81"/>
        <v>23681.928923104308</v>
      </c>
      <c r="M87" s="82">
        <f t="shared" ca="1" si="81"/>
        <v>30757.199524115968</v>
      </c>
      <c r="N87" s="82">
        <f t="shared" ca="1" si="81"/>
        <v>39210.964203796699</v>
      </c>
      <c r="O87" s="85">
        <f ca="1">(M87/J87)^(1/3)-1</f>
        <v>0.42594539507189411</v>
      </c>
      <c r="P87" s="82"/>
      <c r="Q87" s="82">
        <f>Q82-Q85</f>
        <v>0</v>
      </c>
      <c r="R87" s="82">
        <f t="shared" ref="R87:AZ87" si="82">R82-R85</f>
        <v>0</v>
      </c>
      <c r="S87" s="82">
        <f t="shared" si="82"/>
        <v>0</v>
      </c>
      <c r="T87" s="82">
        <f t="shared" si="82"/>
        <v>0</v>
      </c>
      <c r="U87" s="82">
        <f t="shared" si="82"/>
        <v>0</v>
      </c>
      <c r="V87" s="82">
        <f t="shared" si="82"/>
        <v>0</v>
      </c>
      <c r="W87" s="82">
        <f t="shared" si="82"/>
        <v>0</v>
      </c>
      <c r="X87" s="82">
        <f t="shared" si="82"/>
        <v>0</v>
      </c>
      <c r="Y87" s="82">
        <f t="shared" si="82"/>
        <v>0</v>
      </c>
      <c r="Z87" s="82">
        <f t="shared" si="82"/>
        <v>0</v>
      </c>
      <c r="AA87" s="82">
        <f t="shared" si="82"/>
        <v>0</v>
      </c>
      <c r="AB87" s="82">
        <f t="shared" si="82"/>
        <v>0</v>
      </c>
      <c r="AC87" s="82">
        <f t="shared" si="82"/>
        <v>0</v>
      </c>
      <c r="AD87" s="82">
        <f t="shared" si="82"/>
        <v>0</v>
      </c>
      <c r="AE87" s="82">
        <f t="shared" si="82"/>
        <v>0</v>
      </c>
      <c r="AF87" s="82">
        <f t="shared" si="82"/>
        <v>0</v>
      </c>
      <c r="AG87" s="82">
        <f t="shared" si="82"/>
        <v>1925.405</v>
      </c>
      <c r="AH87" s="82">
        <f t="shared" si="82"/>
        <v>0</v>
      </c>
      <c r="AI87" s="82">
        <f t="shared" si="82"/>
        <v>3075.2272640000001</v>
      </c>
      <c r="AJ87" s="82">
        <f t="shared" si="82"/>
        <v>2978.4295040000002</v>
      </c>
      <c r="AK87" s="82">
        <f t="shared" si="82"/>
        <v>3100.1280960000004</v>
      </c>
      <c r="AL87" s="82">
        <f t="shared" si="82"/>
        <v>4084.0451360000002</v>
      </c>
      <c r="AM87" s="82">
        <f t="shared" si="82"/>
        <v>4673.3503519999995</v>
      </c>
      <c r="AN87" s="82">
        <f t="shared" si="82"/>
        <v>4547.6388159999997</v>
      </c>
      <c r="AO87" s="82">
        <f t="shared" si="82"/>
        <v>4827.0445022817921</v>
      </c>
      <c r="AP87" s="82">
        <f t="shared" si="82"/>
        <v>5826.6208756473106</v>
      </c>
      <c r="AQ87" s="82">
        <f t="shared" si="82"/>
        <v>6583.314523510151</v>
      </c>
      <c r="AR87" s="82">
        <f t="shared" si="82"/>
        <v>6444.949021665052</v>
      </c>
      <c r="AS87" s="82">
        <f t="shared" si="82"/>
        <v>6495.1346922347539</v>
      </c>
      <c r="AT87" s="82">
        <f t="shared" si="82"/>
        <v>7548.426591998058</v>
      </c>
      <c r="AU87" s="82">
        <f t="shared" si="82"/>
        <v>8379.5776432231269</v>
      </c>
      <c r="AV87" s="82">
        <f t="shared" si="82"/>
        <v>8334.0605966600324</v>
      </c>
      <c r="AW87" s="82">
        <f t="shared" si="82"/>
        <v>8463.4267309556235</v>
      </c>
      <c r="AX87" s="82">
        <f t="shared" si="82"/>
        <v>9622.6622012039279</v>
      </c>
      <c r="AY87" s="82">
        <f t="shared" si="82"/>
        <v>10515.443882869056</v>
      </c>
      <c r="AZ87" s="82">
        <f t="shared" si="82"/>
        <v>10609.431388768087</v>
      </c>
    </row>
    <row r="88" spans="2:52">
      <c r="B88" s="3" t="s">
        <v>128</v>
      </c>
      <c r="E88" s="10"/>
      <c r="F88" s="10"/>
      <c r="G88" s="4"/>
      <c r="H88" s="4">
        <f t="shared" ref="H88:N88" si="83">H87/G87-1</f>
        <v>1.1364031755142219</v>
      </c>
      <c r="I88" s="4">
        <f t="shared" ca="1" si="83"/>
        <v>0.74722548817630563</v>
      </c>
      <c r="J88" s="4">
        <f t="shared" ca="1" si="83"/>
        <v>1.1128569183075796</v>
      </c>
      <c r="K88" s="4">
        <f t="shared" ca="1" si="83"/>
        <v>0.54647331007945188</v>
      </c>
      <c r="L88" s="4">
        <f t="shared" ca="1" si="83"/>
        <v>0.44356564998736658</v>
      </c>
      <c r="M88" s="4">
        <f t="shared" ca="1" si="83"/>
        <v>0.29876242868497771</v>
      </c>
      <c r="N88" s="4">
        <f t="shared" ca="1" si="83"/>
        <v>0.2748548245770015</v>
      </c>
      <c r="Q88" s="10"/>
      <c r="R88" s="10"/>
      <c r="S88" s="10"/>
      <c r="T88" s="10"/>
      <c r="U88" s="183" t="str">
        <f>IFERROR(U87/Q87-1,"-")</f>
        <v>-</v>
      </c>
      <c r="V88" s="183" t="str">
        <f t="shared" ref="V88" si="84">IFERROR(V87/R87-1,"-")</f>
        <v>-</v>
      </c>
      <c r="W88" s="183" t="str">
        <f t="shared" ref="W88" si="85">IFERROR(W87/S87-1,"-")</f>
        <v>-</v>
      </c>
      <c r="X88" s="183" t="str">
        <f t="shared" ref="X88" si="86">IFERROR(X87/T87-1,"-")</f>
        <v>-</v>
      </c>
      <c r="Y88" s="183" t="str">
        <f t="shared" ref="Y88" si="87">IFERROR(Y87/U87-1,"-")</f>
        <v>-</v>
      </c>
      <c r="Z88" s="183" t="str">
        <f t="shared" ref="Z88" si="88">IFERROR(Z87/V87-1,"-")</f>
        <v>-</v>
      </c>
      <c r="AA88" s="183" t="str">
        <f t="shared" ref="AA88" si="89">IFERROR(AA87/W87-1,"-")</f>
        <v>-</v>
      </c>
      <c r="AB88" s="183" t="str">
        <f t="shared" ref="AB88" si="90">IFERROR(AB87/X87-1,"-")</f>
        <v>-</v>
      </c>
      <c r="AC88" s="183" t="str">
        <f t="shared" ref="AC88" si="91">IFERROR(AC87/Y87-1,"-")</f>
        <v>-</v>
      </c>
      <c r="AD88" s="183" t="str">
        <f t="shared" ref="AD88" si="92">IFERROR(AD87/Z87-1,"-")</f>
        <v>-</v>
      </c>
      <c r="AE88" s="183" t="str">
        <f t="shared" ref="AE88" si="93">IFERROR(AE87/AA87-1,"-")</f>
        <v>-</v>
      </c>
      <c r="AF88" s="183" t="str">
        <f t="shared" ref="AF88" si="94">IFERROR(AF87/AB87-1,"-")</f>
        <v>-</v>
      </c>
      <c r="AG88" s="183" t="str">
        <f t="shared" ref="AG88" si="95">IFERROR(AG87/AC87-1,"-")</f>
        <v>-</v>
      </c>
      <c r="AH88" s="183" t="str">
        <f t="shared" ref="AH88" si="96">IFERROR(AH87/AD87-1,"-")</f>
        <v>-</v>
      </c>
      <c r="AI88" s="183" t="str">
        <f t="shared" ref="AI88" si="97">IFERROR(AI87/AE87-1,"-")</f>
        <v>-</v>
      </c>
      <c r="AJ88" s="183" t="str">
        <f t="shared" ref="AJ88" si="98">IFERROR(AJ87/AF87-1,"-")</f>
        <v>-</v>
      </c>
      <c r="AK88" s="183">
        <f t="shared" ref="AK88" si="99">IFERROR(AK87/AG87-1,"-")</f>
        <v>0.61011740179338925</v>
      </c>
      <c r="AL88" s="183" t="str">
        <f t="shared" ref="AL88" si="100">IFERROR(AL87/AH87-1,"-")</f>
        <v>-</v>
      </c>
      <c r="AM88" s="183">
        <f t="shared" ref="AM88" si="101">IFERROR(AM87/AI87-1,"-")</f>
        <v>0.51967641764507966</v>
      </c>
      <c r="AN88" s="183">
        <f t="shared" ref="AN88" si="102">IFERROR(AN87/AJ87-1,"-")</f>
        <v>0.52685796655336903</v>
      </c>
      <c r="AO88" s="183">
        <f t="shared" ref="AO88" si="103">IFERROR(AO87/AK87-1,"-")</f>
        <v>0.55704679058584028</v>
      </c>
      <c r="AP88" s="183">
        <f t="shared" ref="AP88" si="104">IFERROR(AP87/AL87-1,"-")</f>
        <v>0.42667886412098421</v>
      </c>
      <c r="AQ88" s="183">
        <f t="shared" ref="AQ88" si="105">IFERROR(AQ87/AM87-1,"-")</f>
        <v>0.4086926995945781</v>
      </c>
      <c r="AR88" s="183">
        <f t="shared" ref="AR88" si="106">IFERROR(AR87/AN87-1,"-")</f>
        <v>0.41720776042937446</v>
      </c>
      <c r="AS88" s="183">
        <f t="shared" ref="AS88" si="107">IFERROR(AS87/AO87-1,"-")</f>
        <v>0.34557174460779039</v>
      </c>
      <c r="AT88" s="183">
        <f t="shared" ref="AT88" si="108">IFERROR(AT87/AP87-1,"-")</f>
        <v>0.29550673591053966</v>
      </c>
      <c r="AU88" s="183">
        <f t="shared" ref="AU88" si="109">IFERROR(AU87/AQ87-1,"-")</f>
        <v>0.27285087371994932</v>
      </c>
      <c r="AV88" s="183">
        <f t="shared" ref="AV88" si="110">IFERROR(AV87/AR87-1,"-")</f>
        <v>0.29311505314388486</v>
      </c>
      <c r="AW88" s="183">
        <f t="shared" ref="AW88" si="111">IFERROR(AW87/AS87-1,"-")</f>
        <v>0.30304098867634832</v>
      </c>
      <c r="AX88" s="183">
        <f t="shared" ref="AX88" si="112">IFERROR(AX87/AT87-1,"-")</f>
        <v>0.27479045916730871</v>
      </c>
      <c r="AY88" s="183">
        <f t="shared" ref="AY88" si="113">IFERROR(AY87/AU87-1,"-")</f>
        <v>0.25488948615128382</v>
      </c>
      <c r="AZ88" s="183">
        <f t="shared" ref="AZ88" si="114">IFERROR(AZ87/AV87-1,"-")</f>
        <v>0.27302066810264547</v>
      </c>
    </row>
    <row r="89" spans="2:52">
      <c r="G89" s="10"/>
      <c r="J89" s="40"/>
      <c r="K89" s="40"/>
      <c r="L89" s="40"/>
      <c r="M89" s="40"/>
      <c r="N89" s="40"/>
      <c r="X89" s="10"/>
      <c r="AM89" s="70"/>
      <c r="AN89" s="70"/>
      <c r="AO89" s="70"/>
      <c r="AP89" s="4"/>
      <c r="AQ89" s="4"/>
      <c r="AR89" s="4"/>
    </row>
    <row r="90" spans="2:52">
      <c r="B90" s="8" t="s">
        <v>127</v>
      </c>
      <c r="J90" s="40"/>
      <c r="K90" s="40"/>
      <c r="L90" s="40"/>
      <c r="M90" s="40"/>
      <c r="N90" s="40"/>
      <c r="AF90" s="10"/>
      <c r="AM90" s="70"/>
      <c r="AN90" s="167"/>
      <c r="AO90" s="70"/>
      <c r="AP90" s="70"/>
    </row>
    <row r="91" spans="2:52">
      <c r="B91" s="3" t="s">
        <v>38</v>
      </c>
      <c r="C91" s="1" t="s">
        <v>88</v>
      </c>
      <c r="F91" s="67"/>
      <c r="G91" s="67"/>
      <c r="H91" s="67"/>
      <c r="I91" s="67">
        <v>448.43</v>
      </c>
      <c r="J91" s="67">
        <v>823.74900000000002</v>
      </c>
      <c r="K91" s="67">
        <v>1272.2950000000001</v>
      </c>
      <c r="L91" s="58">
        <f t="shared" ref="L91:N97" ca="1" si="115">SUM(OFFSET($P91,0,L$1,1,4))</f>
        <v>431.78116829703112</v>
      </c>
      <c r="M91" s="58">
        <f t="shared" ca="1" si="115"/>
        <v>560.78115879788925</v>
      </c>
      <c r="N91" s="58">
        <f t="shared" ca="1" si="115"/>
        <v>714.91456582537069</v>
      </c>
      <c r="O91" s="85">
        <f>K91/K82</f>
        <v>7.3211495913018204E-2</v>
      </c>
      <c r="P91" s="58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58"/>
      <c r="AD91" s="58"/>
      <c r="AE91" s="58"/>
      <c r="AF91" s="58"/>
      <c r="AG91" s="58"/>
      <c r="AH91" s="58"/>
      <c r="AI91" s="58">
        <f ca="1">Operating_Model!AI235</f>
        <v>238.79982920828627</v>
      </c>
      <c r="AJ91" s="58">
        <f ca="1">Operating_Model!AJ235</f>
        <v>231.28321772843151</v>
      </c>
      <c r="AK91" s="58">
        <f ca="1">Operating_Model!AK235</f>
        <v>240.42904176921286</v>
      </c>
      <c r="AL91" s="58">
        <f ca="1">Operating_Model!AL235</f>
        <v>316.73628578691302</v>
      </c>
      <c r="AM91" s="58">
        <f ca="1">Operating_Model!AM235</f>
        <v>362.43958707155736</v>
      </c>
      <c r="AN91" s="58">
        <f ca="1">Operating_Model!AN235</f>
        <v>352.69008537231667</v>
      </c>
      <c r="AO91" s="58">
        <f ca="1">SUM(AO92:AO93)</f>
        <v>88.009170257394146</v>
      </c>
      <c r="AP91" s="58">
        <f t="shared" ref="AP91:AZ91" ca="1" si="116">SUM(AP92:AP93)</f>
        <v>106.23396333465064</v>
      </c>
      <c r="AQ91" s="58">
        <f t="shared" ca="1" si="116"/>
        <v>120.03039302490293</v>
      </c>
      <c r="AR91" s="58">
        <f t="shared" ca="1" si="116"/>
        <v>117.5076416800834</v>
      </c>
      <c r="AS91" s="58">
        <f t="shared" ca="1" si="116"/>
        <v>118.42265276472585</v>
      </c>
      <c r="AT91" s="58">
        <f t="shared" ca="1" si="116"/>
        <v>137.62681508251325</v>
      </c>
      <c r="AU91" s="58">
        <f t="shared" ca="1" si="116"/>
        <v>152.78079063469653</v>
      </c>
      <c r="AV91" s="58">
        <f t="shared" ca="1" si="116"/>
        <v>151.95090031595362</v>
      </c>
      <c r="AW91" s="58">
        <f t="shared" ca="1" si="116"/>
        <v>154.30957054022429</v>
      </c>
      <c r="AX91" s="58">
        <f t="shared" ca="1" si="116"/>
        <v>175.44535079277136</v>
      </c>
      <c r="AY91" s="58">
        <f t="shared" ca="1" si="116"/>
        <v>191.72300785336131</v>
      </c>
      <c r="AZ91" s="58">
        <f t="shared" ca="1" si="116"/>
        <v>193.43663663901373</v>
      </c>
    </row>
    <row r="92" spans="2:52">
      <c r="B92" s="52" t="s">
        <v>395</v>
      </c>
      <c r="C92" s="1" t="s">
        <v>88</v>
      </c>
      <c r="F92" s="58"/>
      <c r="G92" s="58"/>
      <c r="H92" s="58"/>
      <c r="I92" s="58">
        <f ca="1">Operating_Model!I237</f>
        <v>297.84070400000002</v>
      </c>
      <c r="J92" s="58">
        <f ca="1">Operating_Model!J237</f>
        <v>629.29479199999992</v>
      </c>
      <c r="K92" s="58">
        <f ca="1">Operating_Model!K237</f>
        <v>973.18760000000009</v>
      </c>
      <c r="L92" s="58">
        <f t="shared" ca="1" si="115"/>
        <v>0</v>
      </c>
      <c r="M92" s="58">
        <f t="shared" ca="1" si="115"/>
        <v>0</v>
      </c>
      <c r="N92" s="58">
        <f t="shared" ca="1" si="115"/>
        <v>0</v>
      </c>
      <c r="O92" s="85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>
        <f>Operating_Model!AI237</f>
        <v>182.42873600000001</v>
      </c>
      <c r="AJ92" s="58">
        <f>Operating_Model!AJ237</f>
        <v>176.68649600000001</v>
      </c>
      <c r="AK92" s="58">
        <f>Operating_Model!AK237</f>
        <v>183.90590400000005</v>
      </c>
      <c r="AL92" s="58">
        <f>Operating_Model!AL237</f>
        <v>242.27386400000003</v>
      </c>
      <c r="AM92" s="58">
        <f>Operating_Model!AM237</f>
        <v>277.23264799999998</v>
      </c>
      <c r="AN92" s="58">
        <f>Operating_Model!AN237</f>
        <v>269.77518399999997</v>
      </c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</row>
    <row r="93" spans="2:52">
      <c r="B93" s="52" t="s">
        <v>396</v>
      </c>
      <c r="C93" s="1" t="s">
        <v>88</v>
      </c>
      <c r="F93" s="58"/>
      <c r="G93" s="58"/>
      <c r="H93" s="58"/>
      <c r="I93" s="58">
        <f ca="1">Operating_Model!I239</f>
        <v>150.58929599999999</v>
      </c>
      <c r="J93" s="58">
        <f ca="1">Operating_Model!J239</f>
        <v>194.45420800000011</v>
      </c>
      <c r="K93" s="58">
        <f ca="1">Operating_Model!K239</f>
        <v>299.10739999999998</v>
      </c>
      <c r="L93" s="58">
        <f t="shared" ca="1" si="115"/>
        <v>431.78116829703112</v>
      </c>
      <c r="M93" s="58">
        <f t="shared" ca="1" si="115"/>
        <v>560.78115879788925</v>
      </c>
      <c r="N93" s="58">
        <f t="shared" ca="1" si="115"/>
        <v>714.91456582537069</v>
      </c>
      <c r="O93" s="85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>
        <f ca="1">Operating_Model!AI239</f>
        <v>56.371093208286254</v>
      </c>
      <c r="AJ93" s="58">
        <f ca="1">Operating_Model!AJ239</f>
        <v>54.596721728431504</v>
      </c>
      <c r="AK93" s="58">
        <f ca="1">Operating_Model!AK239</f>
        <v>56.523137769212809</v>
      </c>
      <c r="AL93" s="58">
        <f ca="1">Operating_Model!AL239</f>
        <v>74.462421786912984</v>
      </c>
      <c r="AM93" s="58">
        <f ca="1">Operating_Model!AM239</f>
        <v>85.206939071557372</v>
      </c>
      <c r="AN93" s="58">
        <f ca="1">Operating_Model!AN239</f>
        <v>82.914901372316706</v>
      </c>
      <c r="AO93" s="58">
        <f ca="1">Operating_Model!AO239</f>
        <v>88.009170257394146</v>
      </c>
      <c r="AP93" s="58">
        <f ca="1">Operating_Model!AP239</f>
        <v>106.23396333465064</v>
      </c>
      <c r="AQ93" s="58">
        <f ca="1">Operating_Model!AQ239</f>
        <v>120.03039302490293</v>
      </c>
      <c r="AR93" s="58">
        <f ca="1">Operating_Model!AR239</f>
        <v>117.5076416800834</v>
      </c>
      <c r="AS93" s="58">
        <f ca="1">Operating_Model!AS239</f>
        <v>118.42265276472585</v>
      </c>
      <c r="AT93" s="58">
        <f ca="1">Operating_Model!AT239</f>
        <v>137.62681508251325</v>
      </c>
      <c r="AU93" s="58">
        <f ca="1">Operating_Model!AU239</f>
        <v>152.78079063469653</v>
      </c>
      <c r="AV93" s="58">
        <f ca="1">Operating_Model!AV239</f>
        <v>151.95090031595362</v>
      </c>
      <c r="AW93" s="58">
        <f ca="1">Operating_Model!AW239</f>
        <v>154.30957054022429</v>
      </c>
      <c r="AX93" s="58">
        <f ca="1">Operating_Model!AX239</f>
        <v>175.44535079277136</v>
      </c>
      <c r="AY93" s="58">
        <f ca="1">Operating_Model!AY239</f>
        <v>191.72300785336131</v>
      </c>
      <c r="AZ93" s="58">
        <f ca="1">Operating_Model!AZ239</f>
        <v>193.43663663901373</v>
      </c>
    </row>
    <row r="94" spans="2:52">
      <c r="B94" s="3" t="s">
        <v>37</v>
      </c>
      <c r="C94" s="1" t="s">
        <v>88</v>
      </c>
      <c r="F94" s="67"/>
      <c r="G94" s="67"/>
      <c r="H94" s="67"/>
      <c r="I94" s="67">
        <v>1167</v>
      </c>
      <c r="J94" s="67">
        <v>1874.6</v>
      </c>
      <c r="K94" s="67">
        <v>2190.1999999999998</v>
      </c>
      <c r="L94" s="58">
        <f t="shared" ca="1" si="115"/>
        <v>2438.6955084412475</v>
      </c>
      <c r="M94" s="58">
        <f t="shared" ca="1" si="115"/>
        <v>2721.0453612659048</v>
      </c>
      <c r="N94" s="58">
        <f t="shared" ca="1" si="115"/>
        <v>2983.6098642352426</v>
      </c>
      <c r="O94" s="58"/>
      <c r="P94" s="58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58">
        <f>Operating_Model!AI241</f>
        <v>521.22496000000001</v>
      </c>
      <c r="AJ94" s="58">
        <f>Operating_Model!AJ241</f>
        <v>485.05196499999988</v>
      </c>
      <c r="AK94" s="58">
        <f>Operating_Model!AK241</f>
        <v>476.18493000000007</v>
      </c>
      <c r="AL94" s="58">
        <f>Operating_Model!AL241</f>
        <v>562.42147000000011</v>
      </c>
      <c r="AM94" s="58">
        <f>Operating_Model!AM241</f>
        <v>594.06995999999992</v>
      </c>
      <c r="AN94" s="58">
        <f>Operating_Model!AN241</f>
        <v>557.52363999999989</v>
      </c>
      <c r="AO94" s="58">
        <f>Operating_Model!AO241</f>
        <v>515.22065239580195</v>
      </c>
      <c r="AP94" s="58">
        <f>Operating_Model!AP241</f>
        <v>620.17909342445284</v>
      </c>
      <c r="AQ94" s="58">
        <f>Operating_Model!AQ241</f>
        <v>659.51961664694829</v>
      </c>
      <c r="AR94" s="58">
        <f>Operating_Model!AR241</f>
        <v>643.77614597404477</v>
      </c>
      <c r="AS94" s="58">
        <f>Operating_Model!AS241</f>
        <v>576.66216417433952</v>
      </c>
      <c r="AT94" s="58">
        <f>Operating_Model!AT241</f>
        <v>693.40053808961079</v>
      </c>
      <c r="AU94" s="58">
        <f>Operating_Model!AU241</f>
        <v>728.2151799168945</v>
      </c>
      <c r="AV94" s="58">
        <f>Operating_Model!AV241</f>
        <v>722.76747908506013</v>
      </c>
      <c r="AW94" s="58">
        <f>Operating_Model!AW241</f>
        <v>634.06752871393553</v>
      </c>
      <c r="AX94" s="58">
        <f>Operating_Model!AX241</f>
        <v>761.69286368551855</v>
      </c>
      <c r="AY94" s="58">
        <f>Operating_Model!AY241</f>
        <v>790.91159404701955</v>
      </c>
      <c r="AZ94" s="58">
        <f>Operating_Model!AZ241</f>
        <v>796.9378777887689</v>
      </c>
    </row>
    <row r="95" spans="2:52">
      <c r="B95" s="3" t="s">
        <v>30</v>
      </c>
      <c r="C95" s="1" t="s">
        <v>88</v>
      </c>
      <c r="F95" s="67"/>
      <c r="G95" s="67"/>
      <c r="H95" s="67"/>
      <c r="I95" s="67">
        <v>3694.4</v>
      </c>
      <c r="J95" s="67">
        <v>7541</v>
      </c>
      <c r="K95" s="67">
        <v>12616.9</v>
      </c>
      <c r="L95" s="58">
        <f t="shared" ca="1" si="115"/>
        <v>21454.363793391116</v>
      </c>
      <c r="M95" s="58">
        <f t="shared" ca="1" si="115"/>
        <v>25542.969888122345</v>
      </c>
      <c r="N95" s="58">
        <f t="shared" ca="1" si="115"/>
        <v>28837.936670780251</v>
      </c>
      <c r="O95" s="58"/>
      <c r="P95" s="58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58">
        <f ca="1">Operating_Model!AI245</f>
        <v>2186.0900736264157</v>
      </c>
      <c r="AJ95" s="58">
        <f ca="1">Operating_Model!AJ245</f>
        <v>2117.2793470949305</v>
      </c>
      <c r="AK95" s="58">
        <f ca="1">Operating_Model!AK245</f>
        <v>2565.0350945357932</v>
      </c>
      <c r="AL95" s="58">
        <f ca="1">Operating_Model!AL245</f>
        <v>3033.0190765044817</v>
      </c>
      <c r="AM95" s="58">
        <f ca="1">Operating_Model!AM245</f>
        <v>3619.1845117380603</v>
      </c>
      <c r="AN95" s="58">
        <f ca="1">Operating_Model!AN245</f>
        <v>3399.6613172216639</v>
      </c>
      <c r="AO95" s="58">
        <f ca="1">Operating_Model!AO245</f>
        <v>3935.0117924656797</v>
      </c>
      <c r="AP95" s="200">
        <f ca="1">Operating_Model!AP245</f>
        <v>5527.2276345502696</v>
      </c>
      <c r="AQ95" s="200">
        <f ca="1">Operating_Model!AQ245</f>
        <v>5837.3310375298015</v>
      </c>
      <c r="AR95" s="200">
        <f ca="1">Operating_Model!AR245</f>
        <v>6154.793328845366</v>
      </c>
      <c r="AS95" s="200">
        <f ca="1">Operating_Model!AS245</f>
        <v>5784.2463731409698</v>
      </c>
      <c r="AT95" s="200">
        <f ca="1">Operating_Model!AT245</f>
        <v>6542.1769582261604</v>
      </c>
      <c r="AU95" s="200">
        <f ca="1">Operating_Model!AU245</f>
        <v>6568.7184154290935</v>
      </c>
      <c r="AV95" s="200">
        <f ca="1">Operating_Model!AV245</f>
        <v>6647.8281413261202</v>
      </c>
      <c r="AW95" s="200">
        <f ca="1">Operating_Model!AW245</f>
        <v>6708.6423053798526</v>
      </c>
      <c r="AX95" s="200">
        <f ca="1">Operating_Model!AX245</f>
        <v>7613.6740382846274</v>
      </c>
      <c r="AY95" s="200">
        <f ca="1">Operating_Model!AY245</f>
        <v>7293.6523739667009</v>
      </c>
      <c r="AZ95" s="200">
        <f ca="1">Operating_Model!AZ245</f>
        <v>7221.9679531490729</v>
      </c>
    </row>
    <row r="96" spans="2:52">
      <c r="B96" s="3" t="s">
        <v>552</v>
      </c>
      <c r="C96" s="1" t="s">
        <v>88</v>
      </c>
      <c r="F96" s="67"/>
      <c r="G96" s="67"/>
      <c r="H96" s="67"/>
      <c r="I96" s="58">
        <f>I98-SUM(I97,I94:I95,I91)</f>
        <v>726.09699999999975</v>
      </c>
      <c r="J96" s="58">
        <f t="shared" ref="J96:K96" si="117">J98-SUM(J97,J94:J95,J91)</f>
        <v>1187.7669999999998</v>
      </c>
      <c r="K96" s="58">
        <f t="shared" si="117"/>
        <v>1272.2729999999992</v>
      </c>
      <c r="L96" s="58">
        <f t="shared" ca="1" si="115"/>
        <v>1750.0289242091822</v>
      </c>
      <c r="M96" s="58">
        <f t="shared" ca="1" si="115"/>
        <v>2162.8418872712568</v>
      </c>
      <c r="N96" s="58">
        <f t="shared" ca="1" si="115"/>
        <v>2622.6153266010729</v>
      </c>
      <c r="O96" s="58"/>
      <c r="P96" s="58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58">
        <f ca="1">AI98-SUM(AI97,AI94:AI95,AI91)</f>
        <v>191.3841371652984</v>
      </c>
      <c r="AJ96" s="58">
        <f t="shared" ref="AJ96:AN96" ca="1" si="118">AJ98-SUM(AJ97,AJ94:AJ95,AJ91)</f>
        <v>284.71547017663806</v>
      </c>
      <c r="AK96" s="58">
        <f t="shared" ca="1" si="118"/>
        <v>266.28393369499418</v>
      </c>
      <c r="AL96" s="58">
        <f t="shared" ca="1" si="118"/>
        <v>474.81616770860501</v>
      </c>
      <c r="AM96" s="58">
        <f t="shared" ca="1" si="118"/>
        <v>313.95894119038257</v>
      </c>
      <c r="AN96" s="58">
        <f t="shared" ca="1" si="118"/>
        <v>217.21395740601929</v>
      </c>
      <c r="AO96" s="58">
        <f ca="1">Operating_Model!AO247</f>
        <v>393.88571712714509</v>
      </c>
      <c r="AP96" s="58">
        <f ca="1">Operating_Model!AP247</f>
        <v>643.5396812721516</v>
      </c>
      <c r="AQ96" s="58">
        <f ca="1">Operating_Model!AQ247</f>
        <v>420.15808500596859</v>
      </c>
      <c r="AR96" s="58">
        <f ca="1">Operating_Model!AR247</f>
        <v>292.44544080391682</v>
      </c>
      <c r="AS96" s="58">
        <f ca="1">Operating_Model!AS247</f>
        <v>503.50141699232006</v>
      </c>
      <c r="AT96" s="58">
        <f ca="1">Operating_Model!AT247</f>
        <v>792.02449231810442</v>
      </c>
      <c r="AU96" s="58">
        <f ca="1">Operating_Model!AU247</f>
        <v>508.0586563203305</v>
      </c>
      <c r="AV96" s="58">
        <f ca="1">Operating_Model!AV247</f>
        <v>359.25732164050157</v>
      </c>
      <c r="AW96" s="58">
        <f ca="1">Operating_Model!AW247</f>
        <v>623.27883498773429</v>
      </c>
      <c r="AX96" s="58">
        <f ca="1">Operating_Model!AX247</f>
        <v>959.18200292225333</v>
      </c>
      <c r="AY96" s="58">
        <f ca="1">Operating_Model!AY247</f>
        <v>605.67959285630468</v>
      </c>
      <c r="AZ96" s="58">
        <f ca="1">Operating_Model!AZ247</f>
        <v>434.47489583478034</v>
      </c>
    </row>
    <row r="97" spans="2:52">
      <c r="B97" s="3" t="s">
        <v>99</v>
      </c>
      <c r="C97" s="1" t="s">
        <v>88</v>
      </c>
      <c r="F97" s="58"/>
      <c r="G97" s="58"/>
      <c r="H97" s="58"/>
      <c r="I97" s="58">
        <f>+I172</f>
        <v>5.8369999999999997</v>
      </c>
      <c r="J97" s="58">
        <f>+J172</f>
        <v>9.4789999999999992</v>
      </c>
      <c r="K97" s="58">
        <f>+K172</f>
        <v>34.895000000000003</v>
      </c>
      <c r="L97" s="58">
        <f t="shared" ca="1" si="115"/>
        <v>41.774741026650332</v>
      </c>
      <c r="M97" s="58">
        <f t="shared" ca="1" si="115"/>
        <v>54.255464113458373</v>
      </c>
      <c r="N97" s="58">
        <f t="shared" ca="1" si="115"/>
        <v>69.167840184706762</v>
      </c>
      <c r="O97" s="58"/>
      <c r="P97" s="58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58">
        <f>AI172</f>
        <v>3.492</v>
      </c>
      <c r="AJ97" s="58">
        <f t="shared" ref="AJ97:AZ97" si="119">AJ172</f>
        <v>2.984</v>
      </c>
      <c r="AK97" s="58">
        <f t="shared" si="119"/>
        <v>10.695</v>
      </c>
      <c r="AL97" s="58">
        <f t="shared" si="119"/>
        <v>7.9880000000000004</v>
      </c>
      <c r="AM97" s="58">
        <f t="shared" si="119"/>
        <v>8.19</v>
      </c>
      <c r="AN97" s="58">
        <f t="shared" si="119"/>
        <v>8.0220000000000002</v>
      </c>
      <c r="AO97" s="58">
        <f t="shared" si="119"/>
        <v>8.5148694881103193</v>
      </c>
      <c r="AP97" s="58">
        <f t="shared" si="119"/>
        <v>10.278114545946986</v>
      </c>
      <c r="AQ97" s="58">
        <f t="shared" si="119"/>
        <v>11.612916338428587</v>
      </c>
      <c r="AR97" s="58">
        <f t="shared" si="119"/>
        <v>11.368840654164442</v>
      </c>
      <c r="AS97" s="58">
        <f t="shared" si="119"/>
        <v>11.457367792224245</v>
      </c>
      <c r="AT97" s="58">
        <f t="shared" si="119"/>
        <v>13.315366626734418</v>
      </c>
      <c r="AU97" s="58">
        <f t="shared" si="119"/>
        <v>14.7815107078055</v>
      </c>
      <c r="AV97" s="58">
        <f t="shared" si="119"/>
        <v>14.701218986694212</v>
      </c>
      <c r="AW97" s="58">
        <f t="shared" si="119"/>
        <v>14.929419855608431</v>
      </c>
      <c r="AX97" s="58">
        <f t="shared" si="119"/>
        <v>16.974302336075827</v>
      </c>
      <c r="AY97" s="58">
        <f t="shared" si="119"/>
        <v>18.549162376657744</v>
      </c>
      <c r="AZ97" s="58">
        <f t="shared" si="119"/>
        <v>18.714955616364762</v>
      </c>
    </row>
    <row r="98" spans="2:52">
      <c r="B98" s="74" t="s">
        <v>87</v>
      </c>
      <c r="C98" s="36" t="s">
        <v>88</v>
      </c>
      <c r="D98" s="36"/>
      <c r="E98" s="90"/>
      <c r="F98" s="72"/>
      <c r="G98" s="72"/>
      <c r="H98" s="72"/>
      <c r="I98" s="172">
        <v>6041.7640000000001</v>
      </c>
      <c r="J98" s="172">
        <v>11436.594999999999</v>
      </c>
      <c r="K98" s="172">
        <v>17386.562999999998</v>
      </c>
      <c r="L98" s="72">
        <f t="shared" ref="L98:N98" ca="1" si="120">SUM(L91:L97)-SUM(L92:L93)</f>
        <v>26116.644135365226</v>
      </c>
      <c r="M98" s="72">
        <f t="shared" ca="1" si="120"/>
        <v>31041.893759570856</v>
      </c>
      <c r="N98" s="72">
        <f t="shared" ca="1" si="120"/>
        <v>35228.244267626651</v>
      </c>
      <c r="O98" s="58"/>
      <c r="P98" s="58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172">
        <v>3140.991</v>
      </c>
      <c r="AJ98" s="172">
        <v>3121.3139999999999</v>
      </c>
      <c r="AK98" s="172">
        <v>3558.6280000000002</v>
      </c>
      <c r="AL98" s="172">
        <v>4394.9809999999998</v>
      </c>
      <c r="AM98" s="172">
        <v>4897.8429999999998</v>
      </c>
      <c r="AN98" s="172">
        <v>4535.1109999999999</v>
      </c>
      <c r="AO98" s="72">
        <f t="shared" ref="AO98:AZ98" ca="1" si="121">SUM(AO91:AO97)-SUM(AO92:AO93)</f>
        <v>4940.6422017341301</v>
      </c>
      <c r="AP98" s="72">
        <f t="shared" ca="1" si="121"/>
        <v>6907.458487127471</v>
      </c>
      <c r="AQ98" s="72">
        <f t="shared" ca="1" si="121"/>
        <v>7048.6520485460496</v>
      </c>
      <c r="AR98" s="72">
        <f t="shared" ca="1" si="121"/>
        <v>7219.8913979575755</v>
      </c>
      <c r="AS98" s="72">
        <f t="shared" ca="1" si="121"/>
        <v>6994.2899748645787</v>
      </c>
      <c r="AT98" s="72">
        <f t="shared" ca="1" si="121"/>
        <v>8178.5441703431216</v>
      </c>
      <c r="AU98" s="72">
        <f t="shared" ca="1" si="121"/>
        <v>7972.5545530088211</v>
      </c>
      <c r="AV98" s="72">
        <f t="shared" ca="1" si="121"/>
        <v>7896.5050613543299</v>
      </c>
      <c r="AW98" s="72">
        <f t="shared" ca="1" si="121"/>
        <v>8135.2276594773557</v>
      </c>
      <c r="AX98" s="72">
        <f t="shared" ca="1" si="121"/>
        <v>9526.9685580212445</v>
      </c>
      <c r="AY98" s="72">
        <f t="shared" ca="1" si="121"/>
        <v>8900.5157311000439</v>
      </c>
      <c r="AZ98" s="72">
        <f t="shared" ca="1" si="121"/>
        <v>8665.5323190280014</v>
      </c>
    </row>
    <row r="99" spans="2:52">
      <c r="B99" s="11"/>
      <c r="E99" s="10"/>
      <c r="F99" s="58"/>
      <c r="G99" s="58"/>
      <c r="H99" s="58"/>
      <c r="I99" s="58"/>
      <c r="J99" s="58"/>
      <c r="K99" s="165"/>
      <c r="L99" s="165"/>
      <c r="M99" s="165"/>
      <c r="N99" s="165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</row>
    <row r="100" spans="2:52" s="8" customFormat="1">
      <c r="B100" s="68" t="s">
        <v>115</v>
      </c>
      <c r="C100" s="8" t="s">
        <v>88</v>
      </c>
      <c r="E100" s="81"/>
      <c r="F100" s="82"/>
      <c r="G100" s="82"/>
      <c r="H100" s="82"/>
      <c r="I100" s="82">
        <f>+I82-I98</f>
        <v>-723.18000000000029</v>
      </c>
      <c r="J100" s="82">
        <f>+J82-J98</f>
        <v>-199.1880000000001</v>
      </c>
      <c r="K100" s="82">
        <f>+K82-K98</f>
        <v>-8.2129999999961001</v>
      </c>
      <c r="L100" s="169">
        <f t="shared" ref="L100:N100" ca="1" si="122">L87-L98</f>
        <v>-2434.7152122609186</v>
      </c>
      <c r="M100" s="169">
        <f t="shared" ca="1" si="122"/>
        <v>-284.69423545488826</v>
      </c>
      <c r="N100" s="169">
        <f t="shared" ca="1" si="122"/>
        <v>3982.7199361700477</v>
      </c>
      <c r="O100" s="58"/>
      <c r="P100" s="58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>
        <f t="shared" ref="AI100:AN100" si="123">+AI82-AI98</f>
        <v>116.66499999999996</v>
      </c>
      <c r="AJ100" s="82">
        <f t="shared" si="123"/>
        <v>33.802000000000135</v>
      </c>
      <c r="AK100" s="82">
        <f t="shared" si="123"/>
        <v>-274.5939999999996</v>
      </c>
      <c r="AL100" s="82">
        <f t="shared" si="123"/>
        <v>-68.661999999999352</v>
      </c>
      <c r="AM100" s="82">
        <f t="shared" si="123"/>
        <v>52.739999999999782</v>
      </c>
      <c r="AN100" s="82">
        <f t="shared" si="123"/>
        <v>282.30299999999988</v>
      </c>
      <c r="AO100" s="169">
        <f t="shared" ref="AO100:AZ100" ca="1" si="124">AO87-AO98</f>
        <v>-113.59769945233802</v>
      </c>
      <c r="AP100" s="169">
        <f t="shared" ca="1" si="124"/>
        <v>-1080.8376114801604</v>
      </c>
      <c r="AQ100" s="169">
        <f t="shared" ca="1" si="124"/>
        <v>-465.33752503589858</v>
      </c>
      <c r="AR100" s="169">
        <f t="shared" ca="1" si="124"/>
        <v>-774.94237629252348</v>
      </c>
      <c r="AS100" s="169">
        <f t="shared" ca="1" si="124"/>
        <v>-499.1552826298248</v>
      </c>
      <c r="AT100" s="169">
        <f t="shared" ca="1" si="124"/>
        <v>-630.11757834506352</v>
      </c>
      <c r="AU100" s="169">
        <f t="shared" ca="1" si="124"/>
        <v>407.02309021430574</v>
      </c>
      <c r="AV100" s="169">
        <f t="shared" ca="1" si="124"/>
        <v>437.55553530570251</v>
      </c>
      <c r="AW100" s="169">
        <f t="shared" ca="1" si="124"/>
        <v>328.1990714782678</v>
      </c>
      <c r="AX100" s="169">
        <f t="shared" ca="1" si="124"/>
        <v>95.693643182683445</v>
      </c>
      <c r="AY100" s="169">
        <f t="shared" ca="1" si="124"/>
        <v>1614.9281517690124</v>
      </c>
      <c r="AZ100" s="169">
        <f t="shared" ca="1" si="124"/>
        <v>1943.8990697400859</v>
      </c>
    </row>
    <row r="101" spans="2:52">
      <c r="B101" s="3" t="s">
        <v>111</v>
      </c>
      <c r="E101" s="10"/>
      <c r="F101" s="4"/>
      <c r="G101" s="4"/>
      <c r="H101" s="4"/>
      <c r="I101" s="4">
        <f t="shared" ref="I101:N101" ca="1" si="125">I100/I$87</f>
        <v>-0.14403843362717908</v>
      </c>
      <c r="J101" s="4">
        <f t="shared" ca="1" si="125"/>
        <v>-1.877695070474316E-2</v>
      </c>
      <c r="K101" s="4">
        <f t="shared" ca="1" si="125"/>
        <v>-5.0063509276787772E-4</v>
      </c>
      <c r="L101" s="4">
        <f t="shared" ca="1" si="125"/>
        <v>-0.10280899077800998</v>
      </c>
      <c r="M101" s="4">
        <f t="shared" ca="1" si="125"/>
        <v>-9.2561819625894895E-3</v>
      </c>
      <c r="N101" s="4">
        <f t="shared" ca="1" si="125"/>
        <v>0.10157158889207858</v>
      </c>
      <c r="O101" s="58"/>
      <c r="P101" s="58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>
        <f t="shared" ref="AI101:AZ101" si="126">AI100/AI$87</f>
        <v>3.7937033586341137E-2</v>
      </c>
      <c r="AJ101" s="4">
        <f t="shared" si="126"/>
        <v>1.1348934045477457E-2</v>
      </c>
      <c r="AK101" s="4">
        <f t="shared" si="126"/>
        <v>-8.8575049642077616E-2</v>
      </c>
      <c r="AL101" s="4">
        <f t="shared" si="126"/>
        <v>-1.6812252977999251E-2</v>
      </c>
      <c r="AM101" s="4">
        <f t="shared" si="126"/>
        <v>1.1285265607666083E-2</v>
      </c>
      <c r="AN101" s="4">
        <f t="shared" si="126"/>
        <v>6.2076829630086414E-2</v>
      </c>
      <c r="AO101" s="4">
        <f t="shared" ca="1" si="126"/>
        <v>-2.3533592739540574E-2</v>
      </c>
      <c r="AP101" s="4">
        <f t="shared" ca="1" si="126"/>
        <v>-0.18549990372594549</v>
      </c>
      <c r="AQ101" s="4">
        <f t="shared" ca="1" si="126"/>
        <v>-7.0684382976705443E-2</v>
      </c>
      <c r="AR101" s="4">
        <f t="shared" ca="1" si="126"/>
        <v>-0.1202402646921662</v>
      </c>
      <c r="AS101" s="4">
        <f t="shared" ca="1" si="126"/>
        <v>-7.6850643794437234E-2</v>
      </c>
      <c r="AT101" s="4">
        <f t="shared" ca="1" si="126"/>
        <v>-8.3476678307110919E-2</v>
      </c>
      <c r="AU101" s="4">
        <f t="shared" ca="1" si="126"/>
        <v>4.8573222606688338E-2</v>
      </c>
      <c r="AV101" s="4">
        <f t="shared" ca="1" si="126"/>
        <v>5.2502082296000792E-2</v>
      </c>
      <c r="AW101" s="4">
        <f t="shared" ca="1" si="126"/>
        <v>3.8778509215168705E-2</v>
      </c>
      <c r="AX101" s="4">
        <f t="shared" ca="1" si="126"/>
        <v>9.9446121231098455E-3</v>
      </c>
      <c r="AY101" s="4">
        <f t="shared" ca="1" si="126"/>
        <v>0.15357679331063978</v>
      </c>
      <c r="AZ101" s="4">
        <f t="shared" ca="1" si="126"/>
        <v>0.18322368075239528</v>
      </c>
    </row>
    <row r="102" spans="2:52">
      <c r="B102" s="3" t="s">
        <v>110</v>
      </c>
      <c r="E102" s="10"/>
      <c r="F102" s="4"/>
      <c r="G102" s="4"/>
      <c r="H102" s="4"/>
      <c r="I102" s="4">
        <f t="shared" ref="I102:N102" si="127">I100/I$82</f>
        <v>-0.13597228134405706</v>
      </c>
      <c r="J102" s="4">
        <f t="shared" si="127"/>
        <v>-1.7725441465277544E-2</v>
      </c>
      <c r="K102" s="4">
        <f t="shared" si="127"/>
        <v>-4.7259952757287653E-4</v>
      </c>
      <c r="L102" s="4">
        <f t="shared" ca="1" si="127"/>
        <v>-9.7051687294441427E-2</v>
      </c>
      <c r="M102" s="4">
        <f t="shared" ca="1" si="127"/>
        <v>-8.7378357726844783E-3</v>
      </c>
      <c r="N102" s="4">
        <f t="shared" ca="1" si="127"/>
        <v>9.5883579914122177E-2</v>
      </c>
      <c r="O102" s="58"/>
      <c r="P102" s="58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>
        <f t="shared" ref="AI102:AZ102" si="128">AI100/AI$82</f>
        <v>3.5812559705506036E-2</v>
      </c>
      <c r="AJ102" s="4">
        <f t="shared" si="128"/>
        <v>1.0713393738930719E-2</v>
      </c>
      <c r="AK102" s="4">
        <f t="shared" si="128"/>
        <v>-8.361484686212127E-2</v>
      </c>
      <c r="AL102" s="4">
        <f t="shared" si="128"/>
        <v>-1.5870766811231292E-2</v>
      </c>
      <c r="AM102" s="4">
        <f t="shared" si="128"/>
        <v>1.0653290733636783E-2</v>
      </c>
      <c r="AN102" s="4">
        <f t="shared" si="128"/>
        <v>5.8600527170801574E-2</v>
      </c>
      <c r="AO102" s="4">
        <f t="shared" ca="1" si="128"/>
        <v>-2.2215711546126303E-2</v>
      </c>
      <c r="AP102" s="4">
        <f t="shared" ca="1" si="128"/>
        <v>-0.17511190911729255</v>
      </c>
      <c r="AQ102" s="4">
        <f t="shared" ca="1" si="128"/>
        <v>-6.672605753000993E-2</v>
      </c>
      <c r="AR102" s="4">
        <f t="shared" ca="1" si="128"/>
        <v>-0.1135068098694049</v>
      </c>
      <c r="AS102" s="4">
        <f t="shared" ca="1" si="128"/>
        <v>-7.2547007741948749E-2</v>
      </c>
      <c r="AT102" s="4">
        <f t="shared" ca="1" si="128"/>
        <v>-7.880198432191271E-2</v>
      </c>
      <c r="AU102" s="4">
        <f t="shared" ca="1" si="128"/>
        <v>4.5853122140713784E-2</v>
      </c>
      <c r="AV102" s="4">
        <f t="shared" ca="1" si="128"/>
        <v>4.9561965687424749E-2</v>
      </c>
      <c r="AW102" s="4">
        <f t="shared" ca="1" si="128"/>
        <v>3.6606912699119254E-2</v>
      </c>
      <c r="AX102" s="4">
        <f t="shared" ca="1" si="128"/>
        <v>9.3877138442156945E-3</v>
      </c>
      <c r="AY102" s="4">
        <f t="shared" ca="1" si="128"/>
        <v>0.14497649288524395</v>
      </c>
      <c r="AZ102" s="4">
        <f t="shared" ca="1" si="128"/>
        <v>0.17296315463026116</v>
      </c>
    </row>
    <row r="103" spans="2:52">
      <c r="B103" s="3"/>
      <c r="E103" s="10"/>
      <c r="F103" s="10"/>
      <c r="J103" s="10"/>
      <c r="K103" s="10"/>
      <c r="L103" s="10"/>
      <c r="M103" s="10"/>
      <c r="N103" s="10"/>
      <c r="O103" s="58"/>
      <c r="P103" s="58"/>
      <c r="AM103" s="70"/>
      <c r="AN103" s="70"/>
      <c r="AO103" s="70"/>
      <c r="AP103" s="4"/>
      <c r="AQ103" s="4"/>
    </row>
    <row r="104" spans="2:52">
      <c r="B104" s="8" t="s">
        <v>126</v>
      </c>
      <c r="F104" s="10"/>
      <c r="O104" s="58"/>
      <c r="P104" s="58"/>
      <c r="AM104" s="70"/>
      <c r="AN104" s="70"/>
      <c r="AO104" s="70"/>
      <c r="AP104" s="70"/>
    </row>
    <row r="105" spans="2:52">
      <c r="B105" s="3" t="s">
        <v>29</v>
      </c>
      <c r="C105" s="1" t="s">
        <v>88</v>
      </c>
      <c r="F105" s="58"/>
      <c r="G105" s="58"/>
      <c r="H105" s="58"/>
      <c r="I105" s="58">
        <f>I186-I$173*I197</f>
        <v>1013.724186027976</v>
      </c>
      <c r="J105" s="58">
        <f>J186-J$173*J197</f>
        <v>1498.2139989602588</v>
      </c>
      <c r="K105" s="58">
        <f t="shared" ref="K105:N106" ca="1" si="129">SUM(OFFSET($P105,0,K$1,1,4))</f>
        <v>1946.2107609515958</v>
      </c>
      <c r="L105" s="58">
        <f t="shared" ca="1" si="129"/>
        <v>2549.7777115655517</v>
      </c>
      <c r="M105" s="58">
        <f t="shared" ca="1" si="129"/>
        <v>3150.9220597233875</v>
      </c>
      <c r="N105" s="58">
        <f t="shared" ca="1" si="129"/>
        <v>3820.2715432858963</v>
      </c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>
        <f t="shared" ref="AI105:AN105" si="130">AI186-AI$173*AI197</f>
        <v>335.2849964792274</v>
      </c>
      <c r="AJ105" s="58">
        <f t="shared" si="130"/>
        <v>426.69686474584921</v>
      </c>
      <c r="AK105" s="58">
        <f t="shared" ca="1" si="130"/>
        <v>341.51508664451723</v>
      </c>
      <c r="AL105" s="58">
        <f t="shared" ca="1" si="130"/>
        <v>450.02839002799459</v>
      </c>
      <c r="AM105" s="58">
        <f t="shared" ca="1" si="130"/>
        <v>576.17482123253171</v>
      </c>
      <c r="AN105" s="58">
        <f t="shared" ca="1" si="130"/>
        <v>578.4924630465523</v>
      </c>
      <c r="AO105" s="58">
        <f>Operating_Model!AO249</f>
        <v>588.04037898559966</v>
      </c>
      <c r="AP105" s="58">
        <f>Operating_Model!AP249</f>
        <v>617.22678767450327</v>
      </c>
      <c r="AQ105" s="58">
        <f>Operating_Model!AQ249</f>
        <v>627.6465117753321</v>
      </c>
      <c r="AR105" s="58">
        <f>Operating_Model!AR249</f>
        <v>716.86403313011692</v>
      </c>
      <c r="AS105" s="58">
        <f>Operating_Model!AS249</f>
        <v>751.68799271890555</v>
      </c>
      <c r="AT105" s="58">
        <f>Operating_Model!AT249</f>
        <v>759.64038796590626</v>
      </c>
      <c r="AU105" s="58">
        <f>Operating_Model!AU249</f>
        <v>758.9553903554845</v>
      </c>
      <c r="AV105" s="58">
        <f>Operating_Model!AV249</f>
        <v>880.63828868309122</v>
      </c>
      <c r="AW105" s="58">
        <f>Operating_Model!AW249</f>
        <v>930.50625194815336</v>
      </c>
      <c r="AX105" s="58">
        <f>Operating_Model!AX249</f>
        <v>919.96320302823563</v>
      </c>
      <c r="AY105" s="58">
        <f>Operating_Model!AY249</f>
        <v>904.78488282419391</v>
      </c>
      <c r="AZ105" s="58">
        <f>Operating_Model!AZ249</f>
        <v>1065.0172054853133</v>
      </c>
    </row>
    <row r="106" spans="2:52">
      <c r="B106" s="3" t="s">
        <v>34</v>
      </c>
      <c r="C106" s="1" t="s">
        <v>88</v>
      </c>
      <c r="F106" s="58"/>
      <c r="G106" s="58"/>
      <c r="H106" s="58"/>
      <c r="I106" s="58">
        <f>I190-I$173*I198</f>
        <v>169.40981397202401</v>
      </c>
      <c r="J106" s="58">
        <f>J190-J$173*J198</f>
        <v>237.16300103974129</v>
      </c>
      <c r="K106" s="58">
        <f t="shared" ca="1" si="129"/>
        <v>597.78523904840426</v>
      </c>
      <c r="L106" s="58">
        <f t="shared" ca="1" si="129"/>
        <v>799.360206788592</v>
      </c>
      <c r="M106" s="58">
        <f t="shared" ca="1" si="129"/>
        <v>973.39694685896711</v>
      </c>
      <c r="N106" s="58">
        <f t="shared" ca="1" si="129"/>
        <v>1158.220683398838</v>
      </c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>
        <f t="shared" ref="AI106:AN106" si="131">AI190-AI$173*AI198</f>
        <v>119.35800352077261</v>
      </c>
      <c r="AJ106" s="58">
        <f t="shared" si="131"/>
        <v>117.37113525415083</v>
      </c>
      <c r="AK106" s="58">
        <f t="shared" ca="1" si="131"/>
        <v>110.76691335548277</v>
      </c>
      <c r="AL106" s="58">
        <f t="shared" ca="1" si="131"/>
        <v>148.53660997200544</v>
      </c>
      <c r="AM106" s="58">
        <f t="shared" ca="1" si="131"/>
        <v>171.48217876746824</v>
      </c>
      <c r="AN106" s="58">
        <f t="shared" ca="1" si="131"/>
        <v>166.99953695344774</v>
      </c>
      <c r="AO106" s="58">
        <f ca="1">Operating_Model!AO251</f>
        <v>167.03315367403053</v>
      </c>
      <c r="AP106" s="58">
        <f ca="1">Operating_Model!AP251</f>
        <v>195.44983435625736</v>
      </c>
      <c r="AQ106" s="58">
        <f ca="1">Operating_Model!AQ251</f>
        <v>213.85873201176807</v>
      </c>
      <c r="AR106" s="58">
        <f ca="1">Operating_Model!AR251</f>
        <v>223.01848674653601</v>
      </c>
      <c r="AS106" s="58">
        <f ca="1">Operating_Model!AS251</f>
        <v>210.9942134112633</v>
      </c>
      <c r="AT106" s="58">
        <f ca="1">Operating_Model!AT251</f>
        <v>237.21414772079575</v>
      </c>
      <c r="AU106" s="58">
        <f ca="1">Operating_Model!AU251</f>
        <v>254.45693142936366</v>
      </c>
      <c r="AV106" s="58">
        <f ca="1">Operating_Model!AV251</f>
        <v>270.73165429754442</v>
      </c>
      <c r="AW106" s="58">
        <f ca="1">Operating_Model!AW251</f>
        <v>257.00311961163055</v>
      </c>
      <c r="AX106" s="58">
        <f ca="1">Operating_Model!AX251</f>
        <v>282.01133610498363</v>
      </c>
      <c r="AY106" s="58">
        <f ca="1">Operating_Model!AY251</f>
        <v>297.03684512633794</v>
      </c>
      <c r="AZ106" s="58">
        <f ca="1">Operating_Model!AZ251</f>
        <v>322.16938255588582</v>
      </c>
    </row>
    <row r="107" spans="2:52">
      <c r="B107" s="3" t="s">
        <v>33</v>
      </c>
      <c r="C107" s="1" t="s">
        <v>88</v>
      </c>
      <c r="F107" s="58"/>
      <c r="G107" s="58"/>
      <c r="H107" s="58"/>
      <c r="I107" s="58">
        <f>+I204-I174</f>
        <v>482.93</v>
      </c>
      <c r="J107" s="58">
        <f>+J204-J174</f>
        <v>802.01599999999996</v>
      </c>
      <c r="K107" s="58">
        <f>+K204-K174</f>
        <v>1202.271</v>
      </c>
      <c r="L107" s="58">
        <f t="shared" ref="L107:N108" ca="1" si="132">SUM(OFFSET($P107,0,L$1,1,4))</f>
        <v>1544.9556667573136</v>
      </c>
      <c r="M107" s="58">
        <f t="shared" ca="1" si="132"/>
        <v>1847.2397563074958</v>
      </c>
      <c r="N107" s="58">
        <f t="shared" ca="1" si="132"/>
        <v>2150.4562064888901</v>
      </c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>
        <f t="shared" ref="AI107:AN107" si="133">+AI204-AI174</f>
        <v>223.435</v>
      </c>
      <c r="AJ107" s="58">
        <f t="shared" si="133"/>
        <v>238.815</v>
      </c>
      <c r="AK107" s="58">
        <f t="shared" si="133"/>
        <v>245.80500000000001</v>
      </c>
      <c r="AL107" s="58">
        <f t="shared" si="133"/>
        <v>280.13099999999997</v>
      </c>
      <c r="AM107" s="58">
        <f t="shared" si="133"/>
        <v>327.07299999999998</v>
      </c>
      <c r="AN107" s="58">
        <f t="shared" si="133"/>
        <v>349.262</v>
      </c>
      <c r="AO107" s="58">
        <f>Operating_Model!AO253</f>
        <v>363.05101659110932</v>
      </c>
      <c r="AP107" s="58">
        <f>Operating_Model!AP253</f>
        <v>388.85287623493707</v>
      </c>
      <c r="AQ107" s="58">
        <f>Operating_Model!AQ253</f>
        <v>376.58790706519932</v>
      </c>
      <c r="AR107" s="58">
        <f>Operating_Model!AR253</f>
        <v>416.46386686606797</v>
      </c>
      <c r="AS107" s="58">
        <f>Operating_Model!AS253</f>
        <v>454.10899331302301</v>
      </c>
      <c r="AT107" s="58">
        <f>Operating_Model!AT253</f>
        <v>463.78044738971124</v>
      </c>
      <c r="AU107" s="58">
        <f>Operating_Model!AU253</f>
        <v>434.95689037916657</v>
      </c>
      <c r="AV107" s="58">
        <f>Operating_Model!AV253</f>
        <v>494.39342522559514</v>
      </c>
      <c r="AW107" s="58">
        <f>Operating_Model!AW253</f>
        <v>546.89515952149679</v>
      </c>
      <c r="AX107" s="58">
        <f>Operating_Model!AX253</f>
        <v>540.25539900827141</v>
      </c>
      <c r="AY107" s="58">
        <f>Operating_Model!AY253</f>
        <v>490.126621659151</v>
      </c>
      <c r="AZ107" s="58">
        <f>Operating_Model!AZ253</f>
        <v>573.17902629997081</v>
      </c>
    </row>
    <row r="108" spans="2:52">
      <c r="B108" s="3" t="s">
        <v>99</v>
      </c>
      <c r="C108" s="1" t="s">
        <v>88</v>
      </c>
      <c r="F108" s="58"/>
      <c r="G108" s="58"/>
      <c r="H108" s="58"/>
      <c r="I108" s="58">
        <f>SUM(I173:I174)</f>
        <v>38.356999999999999</v>
      </c>
      <c r="J108" s="58">
        <f>SUM(J173:J174)</f>
        <v>52.912999999999997</v>
      </c>
      <c r="K108" s="58">
        <f ca="1">SUM(OFFSET($P108,0,K$1,1,4))</f>
        <v>198.529</v>
      </c>
      <c r="L108" s="58">
        <f t="shared" ca="1" si="132"/>
        <v>250.86789113457951</v>
      </c>
      <c r="M108" s="58">
        <f t="shared" ca="1" si="132"/>
        <v>293.23601241212265</v>
      </c>
      <c r="N108" s="58">
        <f t="shared" ca="1" si="132"/>
        <v>332.29630681183642</v>
      </c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>
        <f t="shared" ref="AI108:AM108" si="134">+SUM(AI173:AI174)</f>
        <v>17.218</v>
      </c>
      <c r="AJ108" s="58">
        <f t="shared" si="134"/>
        <v>13.406000000000001</v>
      </c>
      <c r="AK108" s="58">
        <f t="shared" si="134"/>
        <v>66.938000000000002</v>
      </c>
      <c r="AL108" s="58">
        <f t="shared" si="134"/>
        <v>43.298000000000002</v>
      </c>
      <c r="AM108" s="58">
        <f t="shared" si="134"/>
        <v>44.636000000000003</v>
      </c>
      <c r="AN108" s="58">
        <f t="shared" ref="AN108:AZ108" si="135">+SUM(AN173:AN174)</f>
        <v>43.656999999999996</v>
      </c>
      <c r="AO108" s="58">
        <f t="shared" si="135"/>
        <v>51.133945998747798</v>
      </c>
      <c r="AP108" s="58">
        <f t="shared" si="135"/>
        <v>61.722678767450326</v>
      </c>
      <c r="AQ108" s="58">
        <f t="shared" si="135"/>
        <v>69.738501308370246</v>
      </c>
      <c r="AR108" s="58">
        <f t="shared" si="135"/>
        <v>68.272765060011139</v>
      </c>
      <c r="AS108" s="58">
        <f t="shared" si="135"/>
        <v>61.923953633594053</v>
      </c>
      <c r="AT108" s="58">
        <f t="shared" si="135"/>
        <v>71.965931491506922</v>
      </c>
      <c r="AU108" s="58">
        <f t="shared" si="135"/>
        <v>79.890041090051</v>
      </c>
      <c r="AV108" s="58">
        <f t="shared" si="135"/>
        <v>79.456086196970659</v>
      </c>
      <c r="AW108" s="58">
        <f t="shared" si="135"/>
        <v>71.723955347081557</v>
      </c>
      <c r="AX108" s="58">
        <f t="shared" si="135"/>
        <v>81.547984755965473</v>
      </c>
      <c r="AY108" s="58">
        <f t="shared" si="135"/>
        <v>89.113931210754714</v>
      </c>
      <c r="AZ108" s="58">
        <f t="shared" si="135"/>
        <v>89.910435498034644</v>
      </c>
    </row>
    <row r="109" spans="2:52">
      <c r="B109" s="74" t="s">
        <v>87</v>
      </c>
      <c r="C109" s="36" t="s">
        <v>88</v>
      </c>
      <c r="D109" s="36"/>
      <c r="E109" s="36"/>
      <c r="F109" s="72"/>
      <c r="G109" s="72"/>
      <c r="H109" s="72"/>
      <c r="I109" s="72">
        <f t="shared" ref="I109:N109" si="136">SUM(I105:I108)</f>
        <v>1704.421</v>
      </c>
      <c r="J109" s="72">
        <f t="shared" si="136"/>
        <v>2590.306</v>
      </c>
      <c r="K109" s="72">
        <f t="shared" ref="K109" ca="1" si="137">SUM(K105:K108)</f>
        <v>3944.7959999999998</v>
      </c>
      <c r="L109" s="72">
        <f t="shared" ca="1" si="136"/>
        <v>5144.9614762460369</v>
      </c>
      <c r="M109" s="72">
        <f t="shared" ca="1" si="136"/>
        <v>6264.7947753019725</v>
      </c>
      <c r="N109" s="72">
        <f t="shared" ca="1" si="136"/>
        <v>7461.24473998546</v>
      </c>
      <c r="O109" s="58"/>
      <c r="P109" s="58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>
        <f t="shared" ref="AI109:AZ109" si="138">SUM(AI105:AI108)</f>
        <v>695.29599999999994</v>
      </c>
      <c r="AJ109" s="72">
        <f t="shared" si="138"/>
        <v>796.28899999999999</v>
      </c>
      <c r="AK109" s="72">
        <f t="shared" ca="1" si="138"/>
        <v>765.02499999999998</v>
      </c>
      <c r="AL109" s="72">
        <f t="shared" ca="1" si="138"/>
        <v>921.99400000000003</v>
      </c>
      <c r="AM109" s="72">
        <f t="shared" ca="1" si="138"/>
        <v>1119.366</v>
      </c>
      <c r="AN109" s="72">
        <f t="shared" ca="1" si="138"/>
        <v>1138.4110000000001</v>
      </c>
      <c r="AO109" s="72">
        <f t="shared" ca="1" si="138"/>
        <v>1169.2584952494874</v>
      </c>
      <c r="AP109" s="72">
        <f t="shared" ca="1" si="138"/>
        <v>1263.2521770331482</v>
      </c>
      <c r="AQ109" s="72">
        <f t="shared" ca="1" si="138"/>
        <v>1287.8316521606698</v>
      </c>
      <c r="AR109" s="72">
        <f t="shared" ca="1" si="138"/>
        <v>1424.6191518027319</v>
      </c>
      <c r="AS109" s="72">
        <f t="shared" ca="1" si="138"/>
        <v>1478.715153076786</v>
      </c>
      <c r="AT109" s="72">
        <f t="shared" ca="1" si="138"/>
        <v>1532.60091456792</v>
      </c>
      <c r="AU109" s="72">
        <f t="shared" ca="1" si="138"/>
        <v>1528.2592532540657</v>
      </c>
      <c r="AV109" s="72">
        <f t="shared" ca="1" si="138"/>
        <v>1725.2194544032013</v>
      </c>
      <c r="AW109" s="72">
        <f t="shared" ca="1" si="138"/>
        <v>1806.1284864283623</v>
      </c>
      <c r="AX109" s="72">
        <f t="shared" ca="1" si="138"/>
        <v>1823.7779228974559</v>
      </c>
      <c r="AY109" s="72">
        <f t="shared" ca="1" si="138"/>
        <v>1781.0622808204375</v>
      </c>
      <c r="AZ109" s="72">
        <f t="shared" ca="1" si="138"/>
        <v>2050.2760498392045</v>
      </c>
    </row>
    <row r="110" spans="2:52">
      <c r="B110" s="11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</row>
    <row r="111" spans="2:52" s="8" customFormat="1">
      <c r="B111" s="68" t="s">
        <v>81</v>
      </c>
      <c r="C111" s="1" t="s">
        <v>88</v>
      </c>
      <c r="F111" s="82"/>
      <c r="G111" s="176">
        <v>-743.01300000000003</v>
      </c>
      <c r="H111" s="176">
        <v>-1110.299</v>
      </c>
      <c r="I111" s="82">
        <f t="shared" ref="I111:N111" si="139">+I100-I109</f>
        <v>-2427.6010000000006</v>
      </c>
      <c r="J111" s="82">
        <f t="shared" si="139"/>
        <v>-2789.4940000000001</v>
      </c>
      <c r="K111" s="82">
        <f t="shared" ca="1" si="139"/>
        <v>-3953.0089999999959</v>
      </c>
      <c r="L111" s="82">
        <f t="shared" ca="1" si="139"/>
        <v>-7579.6766885069555</v>
      </c>
      <c r="M111" s="82">
        <f t="shared" ca="1" si="139"/>
        <v>-6549.4890107568608</v>
      </c>
      <c r="N111" s="82">
        <f t="shared" ca="1" si="139"/>
        <v>-3478.5248038154123</v>
      </c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82"/>
      <c r="AE111" s="82"/>
      <c r="AF111" s="82"/>
      <c r="AG111" s="82"/>
      <c r="AH111" s="82"/>
      <c r="AI111" s="82">
        <f t="shared" ref="AI111:AZ111" si="140">+AI100-AI109</f>
        <v>-578.63099999999997</v>
      </c>
      <c r="AJ111" s="82">
        <f t="shared" si="140"/>
        <v>-762.48699999999985</v>
      </c>
      <c r="AK111" s="82">
        <f t="shared" ca="1" si="140"/>
        <v>-1039.6189999999997</v>
      </c>
      <c r="AL111" s="82">
        <f t="shared" ca="1" si="140"/>
        <v>-990.65599999999938</v>
      </c>
      <c r="AM111" s="82">
        <f t="shared" ca="1" si="140"/>
        <v>-1066.6260000000002</v>
      </c>
      <c r="AN111" s="82">
        <f t="shared" ca="1" si="140"/>
        <v>-856.10800000000017</v>
      </c>
      <c r="AO111" s="82">
        <f t="shared" ca="1" si="140"/>
        <v>-1282.8561947018254</v>
      </c>
      <c r="AP111" s="82">
        <f t="shared" ca="1" si="140"/>
        <v>-2344.0897885133086</v>
      </c>
      <c r="AQ111" s="82">
        <f t="shared" ca="1" si="140"/>
        <v>-1753.1691771965684</v>
      </c>
      <c r="AR111" s="82">
        <f t="shared" ca="1" si="140"/>
        <v>-2199.5615280952552</v>
      </c>
      <c r="AS111" s="82">
        <f t="shared" ca="1" si="140"/>
        <v>-1977.8704357066108</v>
      </c>
      <c r="AT111" s="82">
        <f t="shared" ca="1" si="140"/>
        <v>-2162.7184929129835</v>
      </c>
      <c r="AU111" s="82">
        <f t="shared" ca="1" si="140"/>
        <v>-1121.23616303976</v>
      </c>
      <c r="AV111" s="82">
        <f t="shared" ca="1" si="140"/>
        <v>-1287.6639190974988</v>
      </c>
      <c r="AW111" s="82">
        <f t="shared" ca="1" si="140"/>
        <v>-1477.9294149500945</v>
      </c>
      <c r="AX111" s="82">
        <f t="shared" ca="1" si="140"/>
        <v>-1728.0842797147725</v>
      </c>
      <c r="AY111" s="82">
        <f t="shared" ca="1" si="140"/>
        <v>-166.13412905142513</v>
      </c>
      <c r="AZ111" s="82">
        <f t="shared" ca="1" si="140"/>
        <v>-106.37698009911855</v>
      </c>
    </row>
    <row r="112" spans="2:52">
      <c r="B112" s="3" t="s">
        <v>111</v>
      </c>
      <c r="E112" s="10"/>
      <c r="F112" s="4"/>
      <c r="G112" s="4">
        <f t="shared" ref="G112:N112" si="141">G111/G$87</f>
        <v>-0.5524087723654727</v>
      </c>
      <c r="H112" s="4">
        <f t="shared" si="141"/>
        <v>-0.38638556044922795</v>
      </c>
      <c r="I112" s="4">
        <f t="shared" ca="1" si="141"/>
        <v>-0.48351426409991083</v>
      </c>
      <c r="J112" s="4">
        <f t="shared" ca="1" si="141"/>
        <v>-0.26295856843372489</v>
      </c>
      <c r="K112" s="4">
        <f t="shared" ca="1" si="141"/>
        <v>-0.24096128423574739</v>
      </c>
      <c r="L112" s="4">
        <f t="shared" ca="1" si="141"/>
        <v>-0.32006162644598402</v>
      </c>
      <c r="M112" s="4">
        <f t="shared" ca="1" si="141"/>
        <v>-0.21294165633062812</v>
      </c>
      <c r="N112" s="4">
        <f t="shared" ca="1" si="141"/>
        <v>-8.8713064686090928E-2</v>
      </c>
      <c r="O112" s="58"/>
      <c r="P112" s="58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>
        <f t="shared" ref="AI112:AZ112" si="142">AI111/AI$87</f>
        <v>-0.18815877667765107</v>
      </c>
      <c r="AJ112" s="4">
        <f t="shared" si="142"/>
        <v>-0.25600303749878506</v>
      </c>
      <c r="AK112" s="4">
        <f t="shared" ca="1" si="142"/>
        <v>-0.3353471107666125</v>
      </c>
      <c r="AL112" s="4">
        <f t="shared" ca="1" si="142"/>
        <v>-0.24256734855047873</v>
      </c>
      <c r="AM112" s="4">
        <f t="shared" ca="1" si="142"/>
        <v>-0.2282358307554512</v>
      </c>
      <c r="AN112" s="4">
        <f t="shared" ca="1" si="142"/>
        <v>-0.18825329685109282</v>
      </c>
      <c r="AO112" s="4">
        <f t="shared" ca="1" si="142"/>
        <v>-0.2657643189523955</v>
      </c>
      <c r="AP112" s="4">
        <f t="shared" ca="1" si="142"/>
        <v>-0.40230690112524115</v>
      </c>
      <c r="AQ112" s="4">
        <f t="shared" ca="1" si="142"/>
        <v>-0.26630493969803493</v>
      </c>
      <c r="AR112" s="4">
        <f t="shared" ca="1" si="142"/>
        <v>-0.34128455022705495</v>
      </c>
      <c r="AS112" s="4">
        <f t="shared" ca="1" si="142"/>
        <v>-0.3045156920411905</v>
      </c>
      <c r="AT112" s="4">
        <f t="shared" ca="1" si="142"/>
        <v>-0.28651248926572853</v>
      </c>
      <c r="AU112" s="4">
        <f t="shared" ca="1" si="142"/>
        <v>-0.13380580869091235</v>
      </c>
      <c r="AV112" s="4">
        <f t="shared" ca="1" si="142"/>
        <v>-0.15450618628973545</v>
      </c>
      <c r="AW112" s="4">
        <f t="shared" ca="1" si="142"/>
        <v>-0.17462541615022859</v>
      </c>
      <c r="AX112" s="4">
        <f t="shared" ca="1" si="142"/>
        <v>-0.17958484290330437</v>
      </c>
      <c r="AY112" s="4">
        <f t="shared" ca="1" si="142"/>
        <v>-1.5799060020859217E-2</v>
      </c>
      <c r="AZ112" s="4">
        <f t="shared" ca="1" si="142"/>
        <v>-1.0026642918086725E-2</v>
      </c>
    </row>
    <row r="113" spans="2:52">
      <c r="B113" s="3" t="s">
        <v>110</v>
      </c>
      <c r="E113" s="10"/>
      <c r="F113" s="4"/>
      <c r="G113" s="4">
        <f t="shared" ref="G113:N113" si="143">G111/G$82</f>
        <v>-0.5524087723654727</v>
      </c>
      <c r="H113" s="4">
        <f t="shared" si="143"/>
        <v>-0.38638556044922795</v>
      </c>
      <c r="I113" s="4">
        <f t="shared" si="143"/>
        <v>-0.45643746531031582</v>
      </c>
      <c r="J113" s="4">
        <f t="shared" si="143"/>
        <v>-0.24823288860143627</v>
      </c>
      <c r="K113" s="4">
        <f t="shared" ca="1" si="143"/>
        <v>-0.22746745231854551</v>
      </c>
      <c r="L113" s="4">
        <f t="shared" ca="1" si="143"/>
        <v>-0.30213817536500892</v>
      </c>
      <c r="M113" s="4">
        <f t="shared" ca="1" si="143"/>
        <v>-0.20101692357611295</v>
      </c>
      <c r="N113" s="4">
        <f t="shared" ca="1" si="143"/>
        <v>-8.3745133063669833E-2</v>
      </c>
      <c r="O113" s="58"/>
      <c r="P113" s="58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>
        <f t="shared" ref="AI113:AZ113" si="144">AI111/AI$82</f>
        <v>-0.17762188518370264</v>
      </c>
      <c r="AJ113" s="4">
        <f t="shared" si="144"/>
        <v>-0.24166686739885312</v>
      </c>
      <c r="AK113" s="4">
        <f t="shared" ca="1" si="144"/>
        <v>-0.31656767256368218</v>
      </c>
      <c r="AL113" s="4">
        <f t="shared" ca="1" si="144"/>
        <v>-0.22898357703165192</v>
      </c>
      <c r="AM113" s="4">
        <f t="shared" ca="1" si="144"/>
        <v>-0.21545462423314593</v>
      </c>
      <c r="AN113" s="4">
        <f t="shared" ca="1" si="144"/>
        <v>-0.17771111222743161</v>
      </c>
      <c r="AO113" s="4">
        <f t="shared" ca="1" si="144"/>
        <v>-0.25088151709106138</v>
      </c>
      <c r="AP113" s="4">
        <f t="shared" ca="1" si="144"/>
        <v>-0.37977771466222765</v>
      </c>
      <c r="AQ113" s="4">
        <f t="shared" ca="1" si="144"/>
        <v>-0.25139186307494499</v>
      </c>
      <c r="AR113" s="4">
        <f t="shared" ca="1" si="144"/>
        <v>-0.32217261541433989</v>
      </c>
      <c r="AS113" s="4">
        <f t="shared" ca="1" si="144"/>
        <v>-0.28746281328688383</v>
      </c>
      <c r="AT113" s="4">
        <f t="shared" ca="1" si="144"/>
        <v>-0.27046778986684772</v>
      </c>
      <c r="AU113" s="4">
        <f t="shared" ca="1" si="144"/>
        <v>-0.12631268340422125</v>
      </c>
      <c r="AV113" s="4">
        <f t="shared" ca="1" si="144"/>
        <v>-0.14585383985751027</v>
      </c>
      <c r="AW113" s="4">
        <f t="shared" ca="1" si="144"/>
        <v>-0.16484639284581579</v>
      </c>
      <c r="AX113" s="4">
        <f t="shared" ca="1" si="144"/>
        <v>-0.16952809170071934</v>
      </c>
      <c r="AY113" s="4">
        <f t="shared" ca="1" si="144"/>
        <v>-1.4914312659691103E-2</v>
      </c>
      <c r="AZ113" s="4">
        <f t="shared" ca="1" si="144"/>
        <v>-9.4651509146738682E-3</v>
      </c>
    </row>
    <row r="114" spans="2:52">
      <c r="B114" s="11"/>
      <c r="F114" s="10"/>
      <c r="G114" s="10"/>
      <c r="H114" s="10"/>
      <c r="I114" s="10"/>
      <c r="AM114" s="70"/>
      <c r="AN114" s="70"/>
      <c r="AO114" s="70"/>
      <c r="AP114" s="70"/>
    </row>
    <row r="115" spans="2:52">
      <c r="B115" s="3" t="s">
        <v>125</v>
      </c>
      <c r="C115" s="1" t="s">
        <v>88</v>
      </c>
      <c r="F115" s="67"/>
      <c r="G115" s="67"/>
      <c r="H115" s="67"/>
      <c r="I115" s="67">
        <v>5.0019999999999998</v>
      </c>
      <c r="J115" s="67">
        <v>17.009</v>
      </c>
      <c r="K115" s="67">
        <v>83.126999999999995</v>
      </c>
      <c r="L115" s="58">
        <f t="shared" ref="L115:N118" ca="1" si="145">SUM(OFFSET($P115,0,L$1,1,4))</f>
        <v>362.2002777923534</v>
      </c>
      <c r="M115" s="58">
        <f t="shared" ca="1" si="145"/>
        <v>177.65671764333626</v>
      </c>
      <c r="N115" s="58">
        <f t="shared" ca="1" si="145"/>
        <v>144.20984771303483</v>
      </c>
      <c r="O115" s="58"/>
      <c r="P115" s="5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58">
        <f ca="1">IF(circ=0,0,'IQ_BS + CFS'!AO115)</f>
        <v>76.86041418264756</v>
      </c>
      <c r="AP115" s="58">
        <f ca="1">IF(circ=0,0,'IQ_BS + CFS'!AP115)</f>
        <v>122.54705253246972</v>
      </c>
      <c r="AQ115" s="58">
        <f ca="1">IF(circ=0,0,'IQ_BS + CFS'!AQ115)</f>
        <v>93.559588663620985</v>
      </c>
      <c r="AR115" s="58">
        <f ca="1">IF(circ=0,0,'IQ_BS + CFS'!AR115)</f>
        <v>69.233222413615181</v>
      </c>
      <c r="AS115" s="58">
        <f ca="1">IF(circ=0,0,'IQ_BS + CFS'!AS115)</f>
        <v>46.925644366008576</v>
      </c>
      <c r="AT115" s="58">
        <f ca="1">IF(circ=0,0,'IQ_BS + CFS'!AT115)</f>
        <v>28.723289169314612</v>
      </c>
      <c r="AU115" s="58">
        <f ca="1">IF(circ=0,0,'IQ_BS + CFS'!AU115)</f>
        <v>40.223725155415508</v>
      </c>
      <c r="AV115" s="58">
        <f ca="1">IF(circ=0,0,'IQ_BS + CFS'!AV115)</f>
        <v>61.784058952597569</v>
      </c>
      <c r="AW115" s="58">
        <f ca="1">IF(circ=0,0,'IQ_BS + CFS'!AW115)</f>
        <v>48.86554660132213</v>
      </c>
      <c r="AX115" s="58">
        <f ca="1">IF(circ=0,0,'IQ_BS + CFS'!AX115)</f>
        <v>39.865258963885701</v>
      </c>
      <c r="AY115" s="58">
        <f ca="1">IF(circ=0,0,'IQ_BS + CFS'!AY115)</f>
        <v>27.969356828231529</v>
      </c>
      <c r="AZ115" s="58">
        <f ca="1">IF(circ=0,0,'IQ_BS + CFS'!AZ115)</f>
        <v>27.50968531959548</v>
      </c>
    </row>
    <row r="116" spans="2:52">
      <c r="B116" s="3" t="s">
        <v>124</v>
      </c>
      <c r="C116" s="1" t="s">
        <v>88</v>
      </c>
      <c r="F116" s="67"/>
      <c r="G116" s="67"/>
      <c r="H116" s="67"/>
      <c r="I116" s="67">
        <v>-55.491999999999997</v>
      </c>
      <c r="J116" s="67">
        <v>-110.477</v>
      </c>
      <c r="K116" s="67">
        <v>-277.577</v>
      </c>
      <c r="L116" s="58">
        <f t="shared" ca="1" si="145"/>
        <v>-24.455184740821917</v>
      </c>
      <c r="M116" s="58">
        <f t="shared" ca="1" si="145"/>
        <v>-12.50681506849315</v>
      </c>
      <c r="N116" s="58">
        <f t="shared" ca="1" si="145"/>
        <v>-4.0602295890410955</v>
      </c>
      <c r="O116" s="58"/>
      <c r="P116" s="5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58">
        <f>-'IQ_BS + CFS'!AO153</f>
        <v>-6.628144586301369</v>
      </c>
      <c r="AP116" s="58">
        <f>-'IQ_BS + CFS'!AP153</f>
        <v>-6.6644385824657535</v>
      </c>
      <c r="AQ116" s="58">
        <f>-'IQ_BS + CFS'!AQ153</f>
        <v>-6.3740784136986299</v>
      </c>
      <c r="AR116" s="58">
        <f>-'IQ_BS + CFS'!AR153</f>
        <v>-4.7885231583561634</v>
      </c>
      <c r="AS116" s="58">
        <f>-'IQ_BS + CFS'!AS153</f>
        <v>-3.1302246575342463</v>
      </c>
      <c r="AT116" s="58">
        <f>-'IQ_BS + CFS'!AT153</f>
        <v>-3.1276528767123288</v>
      </c>
      <c r="AU116" s="58">
        <f>-'IQ_BS + CFS'!AU153</f>
        <v>-3.1434509589041091</v>
      </c>
      <c r="AV116" s="58">
        <f>-'IQ_BS + CFS'!AV153</f>
        <v>-3.1054865753424652</v>
      </c>
      <c r="AW116" s="58">
        <f>-'IQ_BS + CFS'!AW153</f>
        <v>-3.0535610958904109</v>
      </c>
      <c r="AX116" s="58">
        <f>-'IQ_BS + CFS'!AX153</f>
        <v>-1.0066684931506849</v>
      </c>
      <c r="AY116" s="58">
        <f>-'IQ_BS + CFS'!AY153</f>
        <v>0</v>
      </c>
      <c r="AZ116" s="58">
        <f>-'IQ_BS + CFS'!AZ153</f>
        <v>0</v>
      </c>
    </row>
    <row r="117" spans="2:52">
      <c r="B117" s="3" t="s">
        <v>123</v>
      </c>
      <c r="C117" s="1" t="s">
        <v>88</v>
      </c>
      <c r="F117" s="67"/>
      <c r="G117" s="67"/>
      <c r="H117" s="67"/>
      <c r="I117" s="67">
        <f>-76.985-8.108</f>
        <v>-85.093000000000004</v>
      </c>
      <c r="J117" s="67">
        <f>-238.564+60.692</f>
        <v>-177.87199999999999</v>
      </c>
      <c r="K117" s="67">
        <f>400.737+2.488</f>
        <v>403.22500000000002</v>
      </c>
      <c r="L117" s="58">
        <f t="shared" ca="1" si="145"/>
        <v>0</v>
      </c>
      <c r="M117" s="58">
        <f t="shared" ca="1" si="145"/>
        <v>0</v>
      </c>
      <c r="N117" s="58">
        <f t="shared" ca="1" si="145"/>
        <v>0</v>
      </c>
      <c r="O117" s="58"/>
      <c r="P117" s="5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  <c r="AM117" s="67"/>
      <c r="AN117" s="67"/>
      <c r="AO117" s="89">
        <v>0</v>
      </c>
      <c r="AP117" s="89">
        <v>0</v>
      </c>
      <c r="AQ117" s="89">
        <v>0</v>
      </c>
      <c r="AR117" s="89">
        <v>0</v>
      </c>
      <c r="AS117" s="89">
        <v>0</v>
      </c>
      <c r="AT117" s="89">
        <v>0</v>
      </c>
      <c r="AU117" s="89">
        <v>0</v>
      </c>
      <c r="AV117" s="89">
        <v>0</v>
      </c>
      <c r="AW117" s="89">
        <v>0</v>
      </c>
      <c r="AX117" s="89">
        <v>0</v>
      </c>
      <c r="AY117" s="89">
        <v>0</v>
      </c>
      <c r="AZ117" s="89">
        <v>0</v>
      </c>
    </row>
    <row r="118" spans="2:52">
      <c r="B118" s="3" t="s">
        <v>122</v>
      </c>
      <c r="C118" s="1" t="s">
        <v>88</v>
      </c>
      <c r="F118" s="67"/>
      <c r="G118" s="67"/>
      <c r="H118" s="67"/>
      <c r="I118" s="67">
        <v>-0.76200000000000001</v>
      </c>
      <c r="J118" s="67">
        <v>-0.1</v>
      </c>
      <c r="K118" s="67">
        <v>-0.26300000000000001</v>
      </c>
      <c r="L118" s="58">
        <f t="shared" ca="1" si="145"/>
        <v>0</v>
      </c>
      <c r="M118" s="58">
        <f t="shared" ca="1" si="145"/>
        <v>0</v>
      </c>
      <c r="N118" s="58">
        <f t="shared" ca="1" si="145"/>
        <v>0</v>
      </c>
      <c r="O118" s="58"/>
      <c r="P118" s="5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  <c r="AM118" s="67"/>
      <c r="AN118" s="67"/>
      <c r="AO118" s="89">
        <f t="shared" ref="AO118:AZ118" si="146">AN118</f>
        <v>0</v>
      </c>
      <c r="AP118" s="89">
        <f t="shared" si="146"/>
        <v>0</v>
      </c>
      <c r="AQ118" s="89">
        <f t="shared" si="146"/>
        <v>0</v>
      </c>
      <c r="AR118" s="89">
        <f t="shared" si="146"/>
        <v>0</v>
      </c>
      <c r="AS118" s="89">
        <f t="shared" si="146"/>
        <v>0</v>
      </c>
      <c r="AT118" s="89">
        <f t="shared" si="146"/>
        <v>0</v>
      </c>
      <c r="AU118" s="89">
        <f t="shared" si="146"/>
        <v>0</v>
      </c>
      <c r="AV118" s="89">
        <f t="shared" si="146"/>
        <v>0</v>
      </c>
      <c r="AW118" s="89">
        <f t="shared" si="146"/>
        <v>0</v>
      </c>
      <c r="AX118" s="89">
        <f t="shared" si="146"/>
        <v>0</v>
      </c>
      <c r="AY118" s="89">
        <f t="shared" si="146"/>
        <v>0</v>
      </c>
      <c r="AZ118" s="89">
        <f t="shared" si="146"/>
        <v>0</v>
      </c>
    </row>
    <row r="119" spans="2:52">
      <c r="B119" s="9" t="s">
        <v>87</v>
      </c>
      <c r="C119" s="1" t="s">
        <v>88</v>
      </c>
      <c r="F119" s="67"/>
      <c r="G119" s="67"/>
      <c r="H119" s="67"/>
      <c r="I119" s="82">
        <f>SUM(I115:I118)</f>
        <v>-136.345</v>
      </c>
      <c r="J119" s="82">
        <f t="shared" ref="J119:K119" si="147">SUM(J115:J118)</f>
        <v>-271.44</v>
      </c>
      <c r="K119" s="82">
        <f t="shared" si="147"/>
        <v>208.51200000000003</v>
      </c>
      <c r="L119" s="82">
        <f t="shared" ref="L119" ca="1" si="148">SUM(L115:L118)</f>
        <v>337.74509305153151</v>
      </c>
      <c r="M119" s="82">
        <f t="shared" ref="M119" ca="1" si="149">SUM(M115:M118)</f>
        <v>165.14990257484311</v>
      </c>
      <c r="N119" s="82">
        <f t="shared" ref="N119" ca="1" si="150">SUM(N115:N118)</f>
        <v>140.14961812399375</v>
      </c>
      <c r="O119" s="58"/>
      <c r="P119" s="5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>
        <v>-49.475999999999999</v>
      </c>
      <c r="AJ119" s="67">
        <v>-180.81700000000001</v>
      </c>
      <c r="AK119" s="67">
        <v>-79.11</v>
      </c>
      <c r="AL119" s="67">
        <v>38.191000000000003</v>
      </c>
      <c r="AM119" s="67">
        <v>15.599</v>
      </c>
      <c r="AN119" s="67">
        <v>233.83199999999999</v>
      </c>
      <c r="AO119" s="82">
        <f t="shared" ref="AO119" ca="1" si="151">SUM(AO115:AO118)</f>
        <v>70.232269596346185</v>
      </c>
      <c r="AP119" s="82">
        <f t="shared" ref="AP119" ca="1" si="152">SUM(AP115:AP118)</f>
        <v>115.88261395000397</v>
      </c>
      <c r="AQ119" s="82">
        <f t="shared" ref="AQ119" ca="1" si="153">SUM(AQ115:AQ118)</f>
        <v>87.185510249922359</v>
      </c>
      <c r="AR119" s="82">
        <f t="shared" ref="AR119" ca="1" si="154">SUM(AR115:AR118)</f>
        <v>64.444699255259025</v>
      </c>
      <c r="AS119" s="82">
        <f t="shared" ref="AS119" ca="1" si="155">SUM(AS115:AS118)</f>
        <v>43.795419708474327</v>
      </c>
      <c r="AT119" s="82">
        <f t="shared" ref="AT119" ca="1" si="156">SUM(AT115:AT118)</f>
        <v>25.595636292602283</v>
      </c>
      <c r="AU119" s="82">
        <f t="shared" ref="AU119" ca="1" si="157">SUM(AU115:AU118)</f>
        <v>37.080274196511397</v>
      </c>
      <c r="AV119" s="82">
        <f t="shared" ref="AV119" ca="1" si="158">SUM(AV115:AV118)</f>
        <v>58.678572377255101</v>
      </c>
      <c r="AW119" s="82">
        <f t="shared" ref="AW119" ca="1" si="159">SUM(AW115:AW118)</f>
        <v>45.811985505431721</v>
      </c>
      <c r="AX119" s="82">
        <f t="shared" ref="AX119" ca="1" si="160">SUM(AX115:AX118)</f>
        <v>38.858590470735017</v>
      </c>
      <c r="AY119" s="82">
        <f t="shared" ref="AY119" ca="1" si="161">SUM(AY115:AY118)</f>
        <v>27.969356828231529</v>
      </c>
      <c r="AZ119" s="82">
        <f t="shared" ref="AZ119" ca="1" si="162">SUM(AZ115:AZ118)</f>
        <v>27.50968531959548</v>
      </c>
    </row>
    <row r="120" spans="2:52">
      <c r="B120" s="11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</row>
    <row r="121" spans="2:52">
      <c r="B121" s="11" t="s">
        <v>121</v>
      </c>
      <c r="C121" s="1" t="s">
        <v>88</v>
      </c>
      <c r="F121" s="58"/>
      <c r="G121" s="58"/>
      <c r="H121" s="58"/>
      <c r="I121" s="58">
        <f t="shared" ref="I121:M121" si="163">+I111+SUM(I115:I118)</f>
        <v>-2563.9460000000004</v>
      </c>
      <c r="J121" s="58">
        <f t="shared" si="163"/>
        <v>-3060.9340000000002</v>
      </c>
      <c r="K121" s="58">
        <f t="shared" ca="1" si="163"/>
        <v>-3744.4969999999958</v>
      </c>
      <c r="L121" s="58">
        <f t="shared" ca="1" si="163"/>
        <v>-7241.931595455424</v>
      </c>
      <c r="M121" s="58">
        <f t="shared" ca="1" si="163"/>
        <v>-6384.3391081820173</v>
      </c>
      <c r="N121" s="58">
        <f t="shared" ref="N121" ca="1" si="164">+N111+SUM(N115:N118)</f>
        <v>-3338.3751856914187</v>
      </c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>
        <f t="shared" ref="AI121:AZ121" si="165">+AI111+SUM(AI115:AI118)</f>
        <v>-578.63099999999997</v>
      </c>
      <c r="AJ121" s="58">
        <f t="shared" si="165"/>
        <v>-762.48699999999985</v>
      </c>
      <c r="AK121" s="58">
        <f t="shared" ca="1" si="165"/>
        <v>-1039.6189999999997</v>
      </c>
      <c r="AL121" s="58">
        <f t="shared" ca="1" si="165"/>
        <v>-990.65599999999938</v>
      </c>
      <c r="AM121" s="58">
        <f t="shared" ca="1" si="165"/>
        <v>-1066.6260000000002</v>
      </c>
      <c r="AN121" s="58">
        <f t="shared" ca="1" si="165"/>
        <v>-856.10800000000017</v>
      </c>
      <c r="AO121" s="58">
        <f t="shared" ca="1" si="165"/>
        <v>-1212.6239251054792</v>
      </c>
      <c r="AP121" s="58">
        <f t="shared" ca="1" si="165"/>
        <v>-2228.2071745633048</v>
      </c>
      <c r="AQ121" s="58">
        <f t="shared" ca="1" si="165"/>
        <v>-1665.9836669466461</v>
      </c>
      <c r="AR121" s="58">
        <f t="shared" ca="1" si="165"/>
        <v>-2135.1168288399963</v>
      </c>
      <c r="AS121" s="58">
        <f t="shared" ca="1" si="165"/>
        <v>-1934.0750159981365</v>
      </c>
      <c r="AT121" s="58">
        <f t="shared" ca="1" si="165"/>
        <v>-2137.1228566203813</v>
      </c>
      <c r="AU121" s="58">
        <f t="shared" ca="1" si="165"/>
        <v>-1084.1558888432485</v>
      </c>
      <c r="AV121" s="58">
        <f t="shared" ca="1" si="165"/>
        <v>-1228.9853467202438</v>
      </c>
      <c r="AW121" s="58">
        <f t="shared" ca="1" si="165"/>
        <v>-1432.1174294446628</v>
      </c>
      <c r="AX121" s="58">
        <f t="shared" ca="1" si="165"/>
        <v>-1689.2256892440375</v>
      </c>
      <c r="AY121" s="58">
        <f t="shared" ca="1" si="165"/>
        <v>-138.16477222319361</v>
      </c>
      <c r="AZ121" s="58">
        <f t="shared" ca="1" si="165"/>
        <v>-78.867294779523078</v>
      </c>
    </row>
    <row r="122" spans="2:52">
      <c r="B122" s="3" t="s">
        <v>120</v>
      </c>
      <c r="C122" s="1" t="s">
        <v>88</v>
      </c>
      <c r="F122" s="67"/>
      <c r="G122" s="67"/>
      <c r="H122" s="67"/>
      <c r="I122" s="67">
        <v>11.166</v>
      </c>
      <c r="J122" s="67">
        <v>13.087999999999999</v>
      </c>
      <c r="K122" s="67">
        <v>-7.5650000000000004</v>
      </c>
      <c r="L122" s="58">
        <f ca="1">SUM(OFFSET($P122,0,L$1,1,4))</f>
        <v>0</v>
      </c>
      <c r="M122" s="58">
        <f ca="1">SUM(OFFSET($P122,0,M$1,1,4))</f>
        <v>0</v>
      </c>
      <c r="N122" s="58">
        <f ca="1">SUM(OFFSET($P122,0,N$1,1,4))</f>
        <v>0</v>
      </c>
      <c r="O122" s="58"/>
      <c r="P122" s="5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>
        <v>2.831</v>
      </c>
      <c r="AJ122" s="67">
        <v>4.1390000000000002</v>
      </c>
      <c r="AK122" s="67">
        <v>0.84</v>
      </c>
      <c r="AL122" s="67">
        <v>0.70499999999999996</v>
      </c>
      <c r="AM122" s="67">
        <v>0.78600000000000003</v>
      </c>
      <c r="AN122" s="67">
        <v>-9.8960000000000008</v>
      </c>
      <c r="AO122" s="58">
        <f t="shared" ref="AO122:AZ122" ca="1" si="166">+AO123*AO121</f>
        <v>0</v>
      </c>
      <c r="AP122" s="58">
        <f t="shared" ca="1" si="166"/>
        <v>0</v>
      </c>
      <c r="AQ122" s="58">
        <f t="shared" ca="1" si="166"/>
        <v>0</v>
      </c>
      <c r="AR122" s="58">
        <f t="shared" ca="1" si="166"/>
        <v>0</v>
      </c>
      <c r="AS122" s="58">
        <f t="shared" ca="1" si="166"/>
        <v>0</v>
      </c>
      <c r="AT122" s="58">
        <f t="shared" ca="1" si="166"/>
        <v>0</v>
      </c>
      <c r="AU122" s="58">
        <f t="shared" ca="1" si="166"/>
        <v>0</v>
      </c>
      <c r="AV122" s="58">
        <f t="shared" ca="1" si="166"/>
        <v>0</v>
      </c>
      <c r="AW122" s="58">
        <f t="shared" ca="1" si="166"/>
        <v>0</v>
      </c>
      <c r="AX122" s="58">
        <f t="shared" ca="1" si="166"/>
        <v>0</v>
      </c>
      <c r="AY122" s="58">
        <f t="shared" ca="1" si="166"/>
        <v>0</v>
      </c>
      <c r="AZ122" s="58">
        <f t="shared" ca="1" si="166"/>
        <v>0</v>
      </c>
    </row>
    <row r="123" spans="2:52">
      <c r="B123" s="52" t="s">
        <v>119</v>
      </c>
      <c r="F123" s="4"/>
      <c r="G123" s="4"/>
      <c r="H123" s="4"/>
      <c r="I123" s="4">
        <f t="shared" ref="I123:N123" si="167">+I122/I121</f>
        <v>-4.3550059166612707E-3</v>
      </c>
      <c r="J123" s="4">
        <f t="shared" si="167"/>
        <v>-4.2758190800585702E-3</v>
      </c>
      <c r="K123" s="4">
        <f t="shared" ca="1" si="167"/>
        <v>2.0202980533834073E-3</v>
      </c>
      <c r="L123" s="4">
        <f t="shared" ca="1" si="167"/>
        <v>0</v>
      </c>
      <c r="M123" s="4">
        <f t="shared" ca="1" si="167"/>
        <v>0</v>
      </c>
      <c r="N123" s="4">
        <f t="shared" ca="1" si="167"/>
        <v>0</v>
      </c>
      <c r="O123" s="71"/>
      <c r="P123" s="71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>
        <f t="shared" ref="AI123:AN123" si="168">+AI122/AI121</f>
        <v>-4.892582664945363E-3</v>
      </c>
      <c r="AJ123" s="4">
        <f t="shared" si="168"/>
        <v>-5.4282892691940995E-3</v>
      </c>
      <c r="AK123" s="4">
        <f t="shared" ca="1" si="168"/>
        <v>-8.0798831110243292E-4</v>
      </c>
      <c r="AL123" s="4">
        <f t="shared" ca="1" si="168"/>
        <v>-7.1164965437043779E-4</v>
      </c>
      <c r="AM123" s="4">
        <f t="shared" ca="1" si="168"/>
        <v>-7.3690309443047507E-4</v>
      </c>
      <c r="AN123" s="4">
        <f t="shared" ca="1" si="168"/>
        <v>1.1559289248552752E-2</v>
      </c>
      <c r="AO123" s="66">
        <f ca="1">IF(AO121&lt;0,0,0.15)</f>
        <v>0</v>
      </c>
      <c r="AP123" s="66">
        <f t="shared" ref="AP123:AZ123" ca="1" si="169">IF(AP121&lt;0,0,0.15)</f>
        <v>0</v>
      </c>
      <c r="AQ123" s="66">
        <f t="shared" ca="1" si="169"/>
        <v>0</v>
      </c>
      <c r="AR123" s="66">
        <f t="shared" ca="1" si="169"/>
        <v>0</v>
      </c>
      <c r="AS123" s="66">
        <f t="shared" ca="1" si="169"/>
        <v>0</v>
      </c>
      <c r="AT123" s="66">
        <f t="shared" ca="1" si="169"/>
        <v>0</v>
      </c>
      <c r="AU123" s="66">
        <f t="shared" ca="1" si="169"/>
        <v>0</v>
      </c>
      <c r="AV123" s="66">
        <f t="shared" ca="1" si="169"/>
        <v>0</v>
      </c>
      <c r="AW123" s="66">
        <f t="shared" ca="1" si="169"/>
        <v>0</v>
      </c>
      <c r="AX123" s="66">
        <f t="shared" ca="1" si="169"/>
        <v>0</v>
      </c>
      <c r="AY123" s="66">
        <f t="shared" ca="1" si="169"/>
        <v>0</v>
      </c>
      <c r="AZ123" s="66">
        <f t="shared" ca="1" si="169"/>
        <v>0</v>
      </c>
    </row>
    <row r="124" spans="2:52" s="8" customFormat="1">
      <c r="B124" s="68" t="s">
        <v>112</v>
      </c>
      <c r="C124" s="8" t="s">
        <v>88</v>
      </c>
      <c r="F124" s="82"/>
      <c r="G124" s="82"/>
      <c r="H124" s="82"/>
      <c r="I124" s="82">
        <f t="shared" ref="I124:N124" si="170">+I121-I122</f>
        <v>-2575.1120000000005</v>
      </c>
      <c r="J124" s="82">
        <f t="shared" si="170"/>
        <v>-3074.0220000000004</v>
      </c>
      <c r="K124" s="82">
        <f t="shared" ca="1" si="170"/>
        <v>-3736.9319999999957</v>
      </c>
      <c r="L124" s="82">
        <f t="shared" ca="1" si="170"/>
        <v>-7241.931595455424</v>
      </c>
      <c r="M124" s="82">
        <f t="shared" ca="1" si="170"/>
        <v>-6384.3391081820173</v>
      </c>
      <c r="N124" s="82">
        <f t="shared" ca="1" si="170"/>
        <v>-3338.3751856914187</v>
      </c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  <c r="AD124" s="82"/>
      <c r="AE124" s="82"/>
      <c r="AF124" s="82"/>
      <c r="AG124" s="82"/>
      <c r="AH124" s="82"/>
      <c r="AI124" s="82">
        <f t="shared" ref="AI124:AZ124" si="171">+AI121-AI122</f>
        <v>-581.46199999999999</v>
      </c>
      <c r="AJ124" s="82">
        <f t="shared" si="171"/>
        <v>-766.62599999999986</v>
      </c>
      <c r="AK124" s="82">
        <f t="shared" ca="1" si="171"/>
        <v>-1040.4589999999996</v>
      </c>
      <c r="AL124" s="82">
        <f t="shared" ca="1" si="171"/>
        <v>-991.36099999999942</v>
      </c>
      <c r="AM124" s="82">
        <f t="shared" ca="1" si="171"/>
        <v>-1067.4120000000003</v>
      </c>
      <c r="AN124" s="82">
        <f t="shared" ca="1" si="171"/>
        <v>-846.21200000000022</v>
      </c>
      <c r="AO124" s="82">
        <f t="shared" ca="1" si="171"/>
        <v>-1212.6239251054792</v>
      </c>
      <c r="AP124" s="82">
        <f t="shared" ca="1" si="171"/>
        <v>-2228.2071745633048</v>
      </c>
      <c r="AQ124" s="82">
        <f t="shared" ca="1" si="171"/>
        <v>-1665.9836669466461</v>
      </c>
      <c r="AR124" s="82">
        <f t="shared" ca="1" si="171"/>
        <v>-2135.1168288399963</v>
      </c>
      <c r="AS124" s="82">
        <f t="shared" ca="1" si="171"/>
        <v>-1934.0750159981365</v>
      </c>
      <c r="AT124" s="82">
        <f t="shared" ca="1" si="171"/>
        <v>-2137.1228566203813</v>
      </c>
      <c r="AU124" s="82">
        <f t="shared" ca="1" si="171"/>
        <v>-1084.1558888432485</v>
      </c>
      <c r="AV124" s="82">
        <f t="shared" ca="1" si="171"/>
        <v>-1228.9853467202438</v>
      </c>
      <c r="AW124" s="82">
        <f t="shared" ca="1" si="171"/>
        <v>-1432.1174294446628</v>
      </c>
      <c r="AX124" s="82">
        <f t="shared" ca="1" si="171"/>
        <v>-1689.2256892440375</v>
      </c>
      <c r="AY124" s="82">
        <f t="shared" ca="1" si="171"/>
        <v>-138.16477222319361</v>
      </c>
      <c r="AZ124" s="82">
        <f t="shared" ca="1" si="171"/>
        <v>-78.867294779523078</v>
      </c>
    </row>
    <row r="125" spans="2:52">
      <c r="B125" s="3" t="s">
        <v>111</v>
      </c>
      <c r="E125" s="10"/>
      <c r="F125" s="4"/>
      <c r="G125" s="4"/>
      <c r="H125" s="4"/>
      <c r="I125" s="4">
        <f t="shared" ref="I125:N125" ca="1" si="172">I124/I$87</f>
        <v>-0.51289457520195847</v>
      </c>
      <c r="J125" s="4">
        <f t="shared" ca="1" si="172"/>
        <v>-0.28978030583818282</v>
      </c>
      <c r="K125" s="4">
        <f t="shared" ca="1" si="172"/>
        <v>-0.22779000346866396</v>
      </c>
      <c r="L125" s="4">
        <f t="shared" ca="1" si="172"/>
        <v>-0.30579990417884118</v>
      </c>
      <c r="M125" s="4">
        <f t="shared" ca="1" si="172"/>
        <v>-0.20757218495059063</v>
      </c>
      <c r="N125" s="4">
        <f t="shared" ca="1" si="172"/>
        <v>-8.5138819038991453E-2</v>
      </c>
      <c r="O125" s="58"/>
      <c r="P125" s="58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>
        <f t="shared" ref="AI125:AZ125" si="173">AI124/AI$87</f>
        <v>-0.18907935904668149</v>
      </c>
      <c r="AJ125" s="4">
        <f t="shared" si="173"/>
        <v>-0.25739269604012083</v>
      </c>
      <c r="AK125" s="4">
        <f t="shared" ca="1" si="173"/>
        <v>-0.33561806731227389</v>
      </c>
      <c r="AL125" s="4">
        <f t="shared" ca="1" si="173"/>
        <v>-0.24273997152023624</v>
      </c>
      <c r="AM125" s="4">
        <f t="shared" ca="1" si="173"/>
        <v>-0.22840401844539482</v>
      </c>
      <c r="AN125" s="4">
        <f t="shared" ca="1" si="173"/>
        <v>-0.18607722254079737</v>
      </c>
      <c r="AO125" s="4">
        <f t="shared" ca="1" si="173"/>
        <v>-0.25121457333410946</v>
      </c>
      <c r="AP125" s="4">
        <f t="shared" ca="1" si="173"/>
        <v>-0.38241842435230716</v>
      </c>
      <c r="AQ125" s="4">
        <f t="shared" ca="1" si="173"/>
        <v>-0.25306153321357067</v>
      </c>
      <c r="AR125" s="4">
        <f t="shared" ca="1" si="173"/>
        <v>-0.33128529359389547</v>
      </c>
      <c r="AS125" s="4">
        <f t="shared" ca="1" si="173"/>
        <v>-0.29777288811430136</v>
      </c>
      <c r="AT125" s="4">
        <f t="shared" ca="1" si="173"/>
        <v>-0.28312163211415531</v>
      </c>
      <c r="AU125" s="4">
        <f t="shared" ca="1" si="173"/>
        <v>-0.1293807319417877</v>
      </c>
      <c r="AV125" s="4">
        <f t="shared" ca="1" si="173"/>
        <v>-0.14746537206758173</v>
      </c>
      <c r="AW125" s="4">
        <f t="shared" ca="1" si="173"/>
        <v>-0.1692124803546281</v>
      </c>
      <c r="AX125" s="4">
        <f t="shared" ca="1" si="173"/>
        <v>-0.17554660591044047</v>
      </c>
      <c r="AY125" s="4">
        <f t="shared" ca="1" si="173"/>
        <v>-1.3139223960700405E-2</v>
      </c>
      <c r="AZ125" s="4">
        <f t="shared" ca="1" si="173"/>
        <v>-7.4336966694574895E-3</v>
      </c>
    </row>
    <row r="126" spans="2:52">
      <c r="B126" s="3" t="s">
        <v>110</v>
      </c>
      <c r="E126" s="10"/>
      <c r="F126" s="4"/>
      <c r="G126" s="4"/>
      <c r="H126" s="4"/>
      <c r="I126" s="4">
        <f t="shared" ref="I126:N126" si="174">I124/I$82</f>
        <v>-0.48417247899064875</v>
      </c>
      <c r="J126" s="4">
        <f t="shared" si="174"/>
        <v>-0.27355260871124454</v>
      </c>
      <c r="K126" s="4">
        <f t="shared" ca="1" si="174"/>
        <v>-0.21503376327441875</v>
      </c>
      <c r="L126" s="4">
        <f t="shared" ca="1" si="174"/>
        <v>-0.28867510954482606</v>
      </c>
      <c r="M126" s="4">
        <f t="shared" ca="1" si="174"/>
        <v>-0.19594814259335755</v>
      </c>
      <c r="N126" s="4">
        <f t="shared" ca="1" si="174"/>
        <v>-8.0371045172807937E-2</v>
      </c>
      <c r="O126" s="58"/>
      <c r="P126" s="58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>
        <f t="shared" ref="AI126:AZ126" si="175">AI124/AI$82</f>
        <v>-0.17849091494006733</v>
      </c>
      <c r="AJ126" s="4">
        <f t="shared" si="175"/>
        <v>-0.24297870506187408</v>
      </c>
      <c r="AK126" s="4">
        <f t="shared" ca="1" si="175"/>
        <v>-0.31682345554278651</v>
      </c>
      <c r="AL126" s="4">
        <f t="shared" ca="1" si="175"/>
        <v>-0.229146533115103</v>
      </c>
      <c r="AM126" s="4">
        <f t="shared" ca="1" si="175"/>
        <v>-0.2156133934124527</v>
      </c>
      <c r="AN126" s="4">
        <f t="shared" ca="1" si="175"/>
        <v>-0.17565689807851273</v>
      </c>
      <c r="AO126" s="4">
        <f t="shared" ca="1" si="175"/>
        <v>-0.23714655722739936</v>
      </c>
      <c r="AP126" s="4">
        <f t="shared" ca="1" si="175"/>
        <v>-0.36100299258857793</v>
      </c>
      <c r="AQ126" s="4">
        <f t="shared" ca="1" si="175"/>
        <v>-0.2388900873536107</v>
      </c>
      <c r="AR126" s="4">
        <f t="shared" ca="1" si="175"/>
        <v>-0.31273331715263736</v>
      </c>
      <c r="AS126" s="4">
        <f t="shared" ca="1" si="175"/>
        <v>-0.28109760637990044</v>
      </c>
      <c r="AT126" s="4">
        <f t="shared" ca="1" si="175"/>
        <v>-0.26726682071576263</v>
      </c>
      <c r="AU126" s="4">
        <f t="shared" ca="1" si="175"/>
        <v>-0.12213541095304759</v>
      </c>
      <c r="AV126" s="4">
        <f t="shared" ca="1" si="175"/>
        <v>-0.13920731123179714</v>
      </c>
      <c r="AW126" s="4">
        <f t="shared" ca="1" si="175"/>
        <v>-0.15973658145476891</v>
      </c>
      <c r="AX126" s="4">
        <f t="shared" ca="1" si="175"/>
        <v>-0.1657159959794558</v>
      </c>
      <c r="AY126" s="4">
        <f t="shared" ca="1" si="175"/>
        <v>-1.2403427418901183E-2</v>
      </c>
      <c r="AZ126" s="4">
        <f t="shared" ca="1" si="175"/>
        <v>-7.0174096559678699E-3</v>
      </c>
    </row>
    <row r="127" spans="2:52">
      <c r="B127" s="3" t="s">
        <v>118</v>
      </c>
      <c r="C127" s="1" t="s">
        <v>88</v>
      </c>
      <c r="F127" s="67"/>
      <c r="G127" s="67"/>
      <c r="H127" s="67"/>
      <c r="I127" s="67">
        <v>0</v>
      </c>
      <c r="J127" s="67">
        <v>0</v>
      </c>
      <c r="K127" s="67">
        <v>0</v>
      </c>
      <c r="L127" s="58">
        <f ca="1">SUM(OFFSET($P127,0,L$1,1,4))</f>
        <v>0</v>
      </c>
      <c r="M127" s="58">
        <f ca="1">SUM(OFFSET($P127,0,M$1,1,4))</f>
        <v>0</v>
      </c>
      <c r="N127" s="58">
        <f ca="1">SUM(OFFSET($P127,0,N$1,1,4))</f>
        <v>0</v>
      </c>
      <c r="O127" s="58"/>
      <c r="P127" s="58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89">
        <f>AN127*0.38/0.2</f>
        <v>0</v>
      </c>
      <c r="AP127" s="89">
        <f t="shared" ref="AP127:AZ127" si="176">AO127</f>
        <v>0</v>
      </c>
      <c r="AQ127" s="89">
        <f t="shared" si="176"/>
        <v>0</v>
      </c>
      <c r="AR127" s="89">
        <f t="shared" si="176"/>
        <v>0</v>
      </c>
      <c r="AS127" s="89">
        <f t="shared" si="176"/>
        <v>0</v>
      </c>
      <c r="AT127" s="89">
        <f t="shared" si="176"/>
        <v>0</v>
      </c>
      <c r="AU127" s="89">
        <f t="shared" si="176"/>
        <v>0</v>
      </c>
      <c r="AV127" s="89">
        <f t="shared" si="176"/>
        <v>0</v>
      </c>
      <c r="AW127" s="89">
        <f t="shared" si="176"/>
        <v>0</v>
      </c>
      <c r="AX127" s="89">
        <f t="shared" si="176"/>
        <v>0</v>
      </c>
      <c r="AY127" s="89">
        <f t="shared" si="176"/>
        <v>0</v>
      </c>
      <c r="AZ127" s="89">
        <f t="shared" si="176"/>
        <v>0</v>
      </c>
    </row>
    <row r="128" spans="2:52" s="8" customFormat="1">
      <c r="B128" s="68" t="s">
        <v>411</v>
      </c>
      <c r="C128" s="8" t="s">
        <v>88</v>
      </c>
      <c r="F128" s="82"/>
      <c r="G128" s="82"/>
      <c r="H128" s="82"/>
      <c r="I128" s="82">
        <f>+I124-IQ_IS!I127</f>
        <v>-2575.1120000000005</v>
      </c>
      <c r="J128" s="82">
        <f>+J124-IQ_IS!J127</f>
        <v>-3074.0220000000004</v>
      </c>
      <c r="K128" s="82">
        <f ca="1">+K124-IQ_IS!K127</f>
        <v>-3736.9319999999957</v>
      </c>
      <c r="L128" s="82">
        <f ca="1">+L124-IQ_IS!L127</f>
        <v>-7241.931595455424</v>
      </c>
      <c r="M128" s="82">
        <f ca="1">+M124-IQ_IS!M127</f>
        <v>-6384.3391081820173</v>
      </c>
      <c r="N128" s="82">
        <f ca="1">+N124-IQ_IS!N127</f>
        <v>-3338.3751856914187</v>
      </c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  <c r="AD128" s="82"/>
      <c r="AE128" s="82"/>
      <c r="AF128" s="82"/>
      <c r="AG128" s="82"/>
      <c r="AH128" s="82"/>
      <c r="AI128" s="82">
        <f>+AI124-IQ_IS!AI127</f>
        <v>-581.46199999999999</v>
      </c>
      <c r="AJ128" s="82">
        <f>+AJ124-IQ_IS!AJ127</f>
        <v>-766.62599999999986</v>
      </c>
      <c r="AK128" s="82">
        <f ca="1">+AK124-IQ_IS!AK127</f>
        <v>-1040.4589999999996</v>
      </c>
      <c r="AL128" s="82">
        <f ca="1">+AL124-IQ_IS!AL127</f>
        <v>-991.36099999999942</v>
      </c>
      <c r="AM128" s="82">
        <f ca="1">+AM124-IQ_IS!AM127</f>
        <v>-1067.4120000000003</v>
      </c>
      <c r="AN128" s="82">
        <f ca="1">+AN124-IQ_IS!AN127</f>
        <v>-846.21200000000022</v>
      </c>
      <c r="AO128" s="82">
        <f ca="1">+AO124-IQ_IS!AO127</f>
        <v>-1212.6239251054792</v>
      </c>
      <c r="AP128" s="82">
        <f ca="1">+AP124-IQ_IS!AP127</f>
        <v>-2228.2071745633048</v>
      </c>
      <c r="AQ128" s="82">
        <f ca="1">+AQ124-IQ_IS!AQ127</f>
        <v>-1665.9836669466461</v>
      </c>
      <c r="AR128" s="82">
        <f ca="1">+AR124-IQ_IS!AR127</f>
        <v>-2135.1168288399963</v>
      </c>
      <c r="AS128" s="82">
        <f ca="1">+AS124-IQ_IS!AS127</f>
        <v>-1934.0750159981365</v>
      </c>
      <c r="AT128" s="82">
        <f ca="1">+AT124-IQ_IS!AT127</f>
        <v>-2137.1228566203813</v>
      </c>
      <c r="AU128" s="82">
        <f ca="1">+AU124-IQ_IS!AU127</f>
        <v>-1084.1558888432485</v>
      </c>
      <c r="AV128" s="82">
        <f ca="1">+AV124-IQ_IS!AV127</f>
        <v>-1228.9853467202438</v>
      </c>
      <c r="AW128" s="82">
        <f ca="1">+AW124-IQ_IS!AW127</f>
        <v>-1432.1174294446628</v>
      </c>
      <c r="AX128" s="82">
        <f ca="1">+AX124-IQ_IS!AX127</f>
        <v>-1689.2256892440375</v>
      </c>
      <c r="AY128" s="82">
        <f ca="1">+AY124-IQ_IS!AY127</f>
        <v>-138.16477222319361</v>
      </c>
      <c r="AZ128" s="82">
        <f ca="1">+AZ124-IQ_IS!AZ127</f>
        <v>-78.867294779523078</v>
      </c>
    </row>
    <row r="129" spans="2:52">
      <c r="B129" s="3" t="s">
        <v>111</v>
      </c>
      <c r="E129" s="10"/>
      <c r="F129" s="4"/>
      <c r="G129" s="4"/>
      <c r="H129" s="4"/>
      <c r="I129" s="4">
        <f t="shared" ref="I129:N129" ca="1" si="177">I128/I$87</f>
        <v>-0.51289457520195847</v>
      </c>
      <c r="J129" s="4">
        <f t="shared" ca="1" si="177"/>
        <v>-0.28978030583818282</v>
      </c>
      <c r="K129" s="4">
        <f t="shared" ca="1" si="177"/>
        <v>-0.22779000346866396</v>
      </c>
      <c r="L129" s="4">
        <f t="shared" ca="1" si="177"/>
        <v>-0.30579990417884118</v>
      </c>
      <c r="M129" s="4">
        <f t="shared" ca="1" si="177"/>
        <v>-0.20757218495059063</v>
      </c>
      <c r="N129" s="4">
        <f t="shared" ca="1" si="177"/>
        <v>-8.5138819038991453E-2</v>
      </c>
      <c r="O129" s="58"/>
      <c r="P129" s="58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>
        <f t="shared" ref="AI129:AZ129" si="178">AI128/AI$87</f>
        <v>-0.18907935904668149</v>
      </c>
      <c r="AJ129" s="4">
        <f t="shared" si="178"/>
        <v>-0.25739269604012083</v>
      </c>
      <c r="AK129" s="4">
        <f t="shared" ca="1" si="178"/>
        <v>-0.33561806731227389</v>
      </c>
      <c r="AL129" s="4">
        <f t="shared" ca="1" si="178"/>
        <v>-0.24273997152023624</v>
      </c>
      <c r="AM129" s="4">
        <f t="shared" ca="1" si="178"/>
        <v>-0.22840401844539482</v>
      </c>
      <c r="AN129" s="4">
        <f t="shared" ca="1" si="178"/>
        <v>-0.18607722254079737</v>
      </c>
      <c r="AO129" s="4">
        <f t="shared" ca="1" si="178"/>
        <v>-0.25121457333410946</v>
      </c>
      <c r="AP129" s="4">
        <f t="shared" ca="1" si="178"/>
        <v>-0.38241842435230716</v>
      </c>
      <c r="AQ129" s="4">
        <f t="shared" ca="1" si="178"/>
        <v>-0.25306153321357067</v>
      </c>
      <c r="AR129" s="4">
        <f t="shared" ca="1" si="178"/>
        <v>-0.33128529359389547</v>
      </c>
      <c r="AS129" s="4">
        <f t="shared" ca="1" si="178"/>
        <v>-0.29777288811430136</v>
      </c>
      <c r="AT129" s="4">
        <f t="shared" ca="1" si="178"/>
        <v>-0.28312163211415531</v>
      </c>
      <c r="AU129" s="4">
        <f t="shared" ca="1" si="178"/>
        <v>-0.1293807319417877</v>
      </c>
      <c r="AV129" s="4">
        <f t="shared" ca="1" si="178"/>
        <v>-0.14746537206758173</v>
      </c>
      <c r="AW129" s="4">
        <f t="shared" ca="1" si="178"/>
        <v>-0.1692124803546281</v>
      </c>
      <c r="AX129" s="4">
        <f t="shared" ca="1" si="178"/>
        <v>-0.17554660591044047</v>
      </c>
      <c r="AY129" s="4">
        <f t="shared" ca="1" si="178"/>
        <v>-1.3139223960700405E-2</v>
      </c>
      <c r="AZ129" s="4">
        <f t="shared" ca="1" si="178"/>
        <v>-7.4336966694574895E-3</v>
      </c>
    </row>
    <row r="130" spans="2:52">
      <c r="B130" s="3" t="s">
        <v>110</v>
      </c>
      <c r="E130" s="10"/>
      <c r="F130" s="4"/>
      <c r="G130" s="4"/>
      <c r="H130" s="4"/>
      <c r="I130" s="4">
        <f t="shared" ref="I130:N130" si="179">I128/I$82</f>
        <v>-0.48417247899064875</v>
      </c>
      <c r="J130" s="4">
        <f t="shared" si="179"/>
        <v>-0.27355260871124454</v>
      </c>
      <c r="K130" s="4">
        <f t="shared" ca="1" si="179"/>
        <v>-0.21503376327441875</v>
      </c>
      <c r="L130" s="4">
        <f t="shared" ca="1" si="179"/>
        <v>-0.28867510954482606</v>
      </c>
      <c r="M130" s="4">
        <f t="shared" ca="1" si="179"/>
        <v>-0.19594814259335755</v>
      </c>
      <c r="N130" s="4">
        <f t="shared" ca="1" si="179"/>
        <v>-8.0371045172807937E-2</v>
      </c>
      <c r="O130" s="58"/>
      <c r="P130" s="58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>
        <f t="shared" ref="AI130:AZ130" si="180">AI128/AI$82</f>
        <v>-0.17849091494006733</v>
      </c>
      <c r="AJ130" s="4">
        <f t="shared" si="180"/>
        <v>-0.24297870506187408</v>
      </c>
      <c r="AK130" s="4">
        <f t="shared" ca="1" si="180"/>
        <v>-0.31682345554278651</v>
      </c>
      <c r="AL130" s="4">
        <f t="shared" ca="1" si="180"/>
        <v>-0.229146533115103</v>
      </c>
      <c r="AM130" s="4">
        <f t="shared" ca="1" si="180"/>
        <v>-0.2156133934124527</v>
      </c>
      <c r="AN130" s="4">
        <f t="shared" ca="1" si="180"/>
        <v>-0.17565689807851273</v>
      </c>
      <c r="AO130" s="4">
        <f t="shared" ca="1" si="180"/>
        <v>-0.23714655722739936</v>
      </c>
      <c r="AP130" s="4">
        <f t="shared" ca="1" si="180"/>
        <v>-0.36100299258857793</v>
      </c>
      <c r="AQ130" s="4">
        <f t="shared" ca="1" si="180"/>
        <v>-0.2388900873536107</v>
      </c>
      <c r="AR130" s="4">
        <f t="shared" ca="1" si="180"/>
        <v>-0.31273331715263736</v>
      </c>
      <c r="AS130" s="4">
        <f t="shared" ca="1" si="180"/>
        <v>-0.28109760637990044</v>
      </c>
      <c r="AT130" s="4">
        <f t="shared" ca="1" si="180"/>
        <v>-0.26726682071576263</v>
      </c>
      <c r="AU130" s="4">
        <f t="shared" ca="1" si="180"/>
        <v>-0.12213541095304759</v>
      </c>
      <c r="AV130" s="4">
        <f t="shared" ca="1" si="180"/>
        <v>-0.13920731123179714</v>
      </c>
      <c r="AW130" s="4">
        <f t="shared" ca="1" si="180"/>
        <v>-0.15973658145476891</v>
      </c>
      <c r="AX130" s="4">
        <f t="shared" ca="1" si="180"/>
        <v>-0.1657159959794558</v>
      </c>
      <c r="AY130" s="4">
        <f t="shared" ca="1" si="180"/>
        <v>-1.2403427418901183E-2</v>
      </c>
      <c r="AZ130" s="4">
        <f t="shared" ca="1" si="180"/>
        <v>-7.0174096559678699E-3</v>
      </c>
    </row>
    <row r="131" spans="2:52">
      <c r="B131" s="3" t="s">
        <v>474</v>
      </c>
      <c r="C131" s="1" t="s">
        <v>88</v>
      </c>
      <c r="E131" s="10"/>
      <c r="F131" s="4"/>
      <c r="G131" s="4"/>
      <c r="H131" s="4"/>
      <c r="I131" s="67">
        <v>-2342.3850000000002</v>
      </c>
      <c r="J131" s="67">
        <v>-4874.7389999999996</v>
      </c>
      <c r="K131" s="67">
        <v>5073.1400000000003</v>
      </c>
      <c r="L131" s="4"/>
      <c r="M131" s="4"/>
      <c r="N131" s="4"/>
      <c r="O131" s="58"/>
      <c r="P131" s="58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</row>
    <row r="132" spans="2:52">
      <c r="B132" s="3" t="s">
        <v>475</v>
      </c>
      <c r="C132" s="1" t="s">
        <v>88</v>
      </c>
      <c r="E132" s="10"/>
      <c r="F132" s="4"/>
      <c r="G132" s="4"/>
      <c r="H132" s="4"/>
      <c r="I132" s="67">
        <v>0</v>
      </c>
      <c r="J132" s="67">
        <v>0</v>
      </c>
      <c r="K132" s="67">
        <v>-363.279</v>
      </c>
      <c r="L132" s="4"/>
      <c r="M132" s="4"/>
      <c r="N132" s="4"/>
      <c r="O132" s="58"/>
      <c r="P132" s="58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</row>
    <row r="133" spans="2:52">
      <c r="B133" s="68" t="s">
        <v>476</v>
      </c>
      <c r="C133" s="8" t="s">
        <v>88</v>
      </c>
      <c r="E133" s="10"/>
      <c r="F133" s="4"/>
      <c r="G133" s="4"/>
      <c r="H133" s="4"/>
      <c r="I133" s="82">
        <f>SUM(I128,I131:I132)</f>
        <v>-4917.4970000000012</v>
      </c>
      <c r="J133" s="82">
        <f t="shared" ref="J133:K133" si="181">SUM(J128,J131:J132)</f>
        <v>-7948.7610000000004</v>
      </c>
      <c r="K133" s="82">
        <f t="shared" ca="1" si="181"/>
        <v>972.92900000000463</v>
      </c>
      <c r="L133" s="82">
        <f t="shared" ref="L133" ca="1" si="182">SUM(L128,L131:L132)</f>
        <v>-7241.931595455424</v>
      </c>
      <c r="M133" s="82">
        <f t="shared" ref="M133" ca="1" si="183">SUM(M128,M131:M132)</f>
        <v>-6384.3391081820173</v>
      </c>
      <c r="N133" s="82">
        <f t="shared" ref="N133" ca="1" si="184">SUM(N128,N131:N132)</f>
        <v>-3338.3751856914187</v>
      </c>
      <c r="O133" s="58"/>
      <c r="P133" s="58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82">
        <f>SUM(AI128,AI131:AI132)</f>
        <v>-581.46199999999999</v>
      </c>
      <c r="AJ133" s="82">
        <f t="shared" ref="AJ133:AZ133" si="185">SUM(AJ128,AJ131:AJ132)</f>
        <v>-766.62599999999986</v>
      </c>
      <c r="AK133" s="82">
        <f t="shared" ca="1" si="185"/>
        <v>-1040.4589999999996</v>
      </c>
      <c r="AL133" s="82">
        <f t="shared" ca="1" si="185"/>
        <v>-991.36099999999942</v>
      </c>
      <c r="AM133" s="82">
        <f t="shared" ca="1" si="185"/>
        <v>-1067.4120000000003</v>
      </c>
      <c r="AN133" s="82">
        <f t="shared" ca="1" si="185"/>
        <v>-846.21200000000022</v>
      </c>
      <c r="AO133" s="82">
        <f t="shared" ca="1" si="185"/>
        <v>-1212.6239251054792</v>
      </c>
      <c r="AP133" s="82">
        <f t="shared" ca="1" si="185"/>
        <v>-2228.2071745633048</v>
      </c>
      <c r="AQ133" s="82">
        <f t="shared" ca="1" si="185"/>
        <v>-1665.9836669466461</v>
      </c>
      <c r="AR133" s="82">
        <f t="shared" ca="1" si="185"/>
        <v>-2135.1168288399963</v>
      </c>
      <c r="AS133" s="82">
        <f t="shared" ca="1" si="185"/>
        <v>-1934.0750159981365</v>
      </c>
      <c r="AT133" s="82">
        <f t="shared" ca="1" si="185"/>
        <v>-2137.1228566203813</v>
      </c>
      <c r="AU133" s="82">
        <f t="shared" ca="1" si="185"/>
        <v>-1084.1558888432485</v>
      </c>
      <c r="AV133" s="82">
        <f t="shared" ca="1" si="185"/>
        <v>-1228.9853467202438</v>
      </c>
      <c r="AW133" s="82">
        <f t="shared" ca="1" si="185"/>
        <v>-1432.1174294446628</v>
      </c>
      <c r="AX133" s="82">
        <f t="shared" ca="1" si="185"/>
        <v>-1689.2256892440375</v>
      </c>
      <c r="AY133" s="82">
        <f t="shared" ca="1" si="185"/>
        <v>-138.16477222319361</v>
      </c>
      <c r="AZ133" s="82">
        <f t="shared" ca="1" si="185"/>
        <v>-78.867294779523078</v>
      </c>
    </row>
    <row r="134" spans="2:52">
      <c r="B134" s="3" t="s">
        <v>111</v>
      </c>
      <c r="E134" s="10"/>
      <c r="F134" s="4"/>
      <c r="G134" s="4"/>
      <c r="H134" s="4"/>
      <c r="I134" s="4">
        <f t="shared" ref="I134:K134" ca="1" si="186">I133/I$87</f>
        <v>-0.97943605360539854</v>
      </c>
      <c r="J134" s="4">
        <f t="shared" ca="1" si="186"/>
        <v>-0.74930966454196479</v>
      </c>
      <c r="K134" s="4">
        <f t="shared" ca="1" si="186"/>
        <v>5.9306270567611362E-2</v>
      </c>
      <c r="L134" s="4">
        <f t="shared" ref="L134:N134" ca="1" si="187">L133/L$87</f>
        <v>-0.30579990417884118</v>
      </c>
      <c r="M134" s="4">
        <f t="shared" ca="1" si="187"/>
        <v>-0.20757218495059063</v>
      </c>
      <c r="N134" s="4">
        <f t="shared" ca="1" si="187"/>
        <v>-8.5138819038991453E-2</v>
      </c>
      <c r="O134" s="58"/>
      <c r="P134" s="58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>
        <f t="shared" ref="AI134:AZ134" si="188">AI133/AI$87</f>
        <v>-0.18907935904668149</v>
      </c>
      <c r="AJ134" s="4">
        <f t="shared" si="188"/>
        <v>-0.25739269604012083</v>
      </c>
      <c r="AK134" s="4">
        <f t="shared" ca="1" si="188"/>
        <v>-0.33561806731227389</v>
      </c>
      <c r="AL134" s="4">
        <f t="shared" ca="1" si="188"/>
        <v>-0.24273997152023624</v>
      </c>
      <c r="AM134" s="4">
        <f t="shared" ca="1" si="188"/>
        <v>-0.22840401844539482</v>
      </c>
      <c r="AN134" s="4">
        <f t="shared" ca="1" si="188"/>
        <v>-0.18607722254079737</v>
      </c>
      <c r="AO134" s="4">
        <f t="shared" ca="1" si="188"/>
        <v>-0.25121457333410946</v>
      </c>
      <c r="AP134" s="4">
        <f t="shared" ca="1" si="188"/>
        <v>-0.38241842435230716</v>
      </c>
      <c r="AQ134" s="4">
        <f t="shared" ca="1" si="188"/>
        <v>-0.25306153321357067</v>
      </c>
      <c r="AR134" s="4">
        <f t="shared" ca="1" si="188"/>
        <v>-0.33128529359389547</v>
      </c>
      <c r="AS134" s="4">
        <f t="shared" ca="1" si="188"/>
        <v>-0.29777288811430136</v>
      </c>
      <c r="AT134" s="4">
        <f t="shared" ca="1" si="188"/>
        <v>-0.28312163211415531</v>
      </c>
      <c r="AU134" s="4">
        <f t="shared" ca="1" si="188"/>
        <v>-0.1293807319417877</v>
      </c>
      <c r="AV134" s="4">
        <f t="shared" ca="1" si="188"/>
        <v>-0.14746537206758173</v>
      </c>
      <c r="AW134" s="4">
        <f t="shared" ca="1" si="188"/>
        <v>-0.1692124803546281</v>
      </c>
      <c r="AX134" s="4">
        <f t="shared" ca="1" si="188"/>
        <v>-0.17554660591044047</v>
      </c>
      <c r="AY134" s="4">
        <f t="shared" ca="1" si="188"/>
        <v>-1.3139223960700405E-2</v>
      </c>
      <c r="AZ134" s="4">
        <f t="shared" ca="1" si="188"/>
        <v>-7.4336966694574895E-3</v>
      </c>
    </row>
    <row r="135" spans="2:52">
      <c r="B135" s="3" t="s">
        <v>110</v>
      </c>
      <c r="E135" s="10"/>
      <c r="F135" s="4"/>
      <c r="G135" s="4"/>
      <c r="H135" s="4"/>
      <c r="I135" s="4">
        <f t="shared" ref="I135:K135" si="189">I133/I$82</f>
        <v>-0.92458763460349624</v>
      </c>
      <c r="J135" s="4">
        <f t="shared" si="189"/>
        <v>-0.70734832332761477</v>
      </c>
      <c r="K135" s="4">
        <f t="shared" ca="1" si="189"/>
        <v>5.5985119415825124E-2</v>
      </c>
      <c r="L135" s="4">
        <f t="shared" ref="L135:N135" ca="1" si="190">L133/L$82</f>
        <v>-0.28867510954482606</v>
      </c>
      <c r="M135" s="4">
        <f t="shared" ca="1" si="190"/>
        <v>-0.19594814259335755</v>
      </c>
      <c r="N135" s="4">
        <f t="shared" ca="1" si="190"/>
        <v>-8.0371045172807937E-2</v>
      </c>
      <c r="O135" s="58"/>
      <c r="P135" s="58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>
        <f t="shared" ref="AI135:AZ135" si="191">AI133/AI$82</f>
        <v>-0.17849091494006733</v>
      </c>
      <c r="AJ135" s="4">
        <f t="shared" si="191"/>
        <v>-0.24297870506187408</v>
      </c>
      <c r="AK135" s="4">
        <f t="shared" ca="1" si="191"/>
        <v>-0.31682345554278651</v>
      </c>
      <c r="AL135" s="4">
        <f t="shared" ca="1" si="191"/>
        <v>-0.229146533115103</v>
      </c>
      <c r="AM135" s="4">
        <f t="shared" ca="1" si="191"/>
        <v>-0.2156133934124527</v>
      </c>
      <c r="AN135" s="4">
        <f t="shared" ca="1" si="191"/>
        <v>-0.17565689807851273</v>
      </c>
      <c r="AO135" s="4">
        <f t="shared" ca="1" si="191"/>
        <v>-0.23714655722739936</v>
      </c>
      <c r="AP135" s="4">
        <f t="shared" ca="1" si="191"/>
        <v>-0.36100299258857793</v>
      </c>
      <c r="AQ135" s="4">
        <f t="shared" ca="1" si="191"/>
        <v>-0.2388900873536107</v>
      </c>
      <c r="AR135" s="4">
        <f t="shared" ca="1" si="191"/>
        <v>-0.31273331715263736</v>
      </c>
      <c r="AS135" s="4">
        <f t="shared" ca="1" si="191"/>
        <v>-0.28109760637990044</v>
      </c>
      <c r="AT135" s="4">
        <f t="shared" ca="1" si="191"/>
        <v>-0.26726682071576263</v>
      </c>
      <c r="AU135" s="4">
        <f t="shared" ca="1" si="191"/>
        <v>-0.12213541095304759</v>
      </c>
      <c r="AV135" s="4">
        <f t="shared" ca="1" si="191"/>
        <v>-0.13920731123179714</v>
      </c>
      <c r="AW135" s="4">
        <f t="shared" ca="1" si="191"/>
        <v>-0.15973658145476891</v>
      </c>
      <c r="AX135" s="4">
        <f t="shared" ca="1" si="191"/>
        <v>-0.1657159959794558</v>
      </c>
      <c r="AY135" s="4">
        <f t="shared" ca="1" si="191"/>
        <v>-1.2403427418901183E-2</v>
      </c>
      <c r="AZ135" s="4">
        <f t="shared" ca="1" si="191"/>
        <v>-7.0174096559678699E-3</v>
      </c>
    </row>
    <row r="136" spans="2:52">
      <c r="B136" s="3"/>
      <c r="E136" s="10"/>
      <c r="F136" s="38"/>
      <c r="G136" s="38"/>
      <c r="H136" s="38"/>
      <c r="I136" s="38"/>
      <c r="J136" s="38"/>
      <c r="K136" s="38"/>
      <c r="L136" s="38"/>
      <c r="M136" s="38"/>
      <c r="N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2:52">
      <c r="B137" s="79" t="s">
        <v>116</v>
      </c>
      <c r="C137" s="56"/>
      <c r="D137" s="56"/>
      <c r="E137" s="88"/>
      <c r="F137" s="87"/>
      <c r="G137" s="87"/>
      <c r="H137" s="87"/>
      <c r="I137" s="87"/>
      <c r="J137" s="87"/>
      <c r="K137" s="87"/>
      <c r="L137" s="87"/>
      <c r="M137" s="87"/>
      <c r="N137" s="87"/>
      <c r="O137" s="56"/>
      <c r="P137" s="56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/>
      <c r="AW137" s="87"/>
      <c r="AX137" s="87"/>
      <c r="AY137" s="87"/>
      <c r="AZ137" s="87"/>
    </row>
    <row r="138" spans="2:52" s="8" customFormat="1">
      <c r="B138" s="3" t="s">
        <v>115</v>
      </c>
      <c r="C138" s="1"/>
      <c r="D138" s="1"/>
      <c r="E138" s="10"/>
      <c r="F138" s="58"/>
      <c r="G138" s="58"/>
      <c r="H138" s="58"/>
      <c r="I138" s="58">
        <f>+I100+I97</f>
        <v>-717.3430000000003</v>
      </c>
      <c r="J138" s="58">
        <f>+J100+J97</f>
        <v>-189.70900000000012</v>
      </c>
      <c r="K138" s="58">
        <f>+K100+K97</f>
        <v>26.682000000003903</v>
      </c>
      <c r="L138" s="58">
        <f ca="1">SUM(OFFSET($P138,0,L$1,1,4))</f>
        <v>-2392.9404712342703</v>
      </c>
      <c r="M138" s="58">
        <f ca="1">SUM(OFFSET($P138,0,M$1,1,4))</f>
        <v>-230.43877134142173</v>
      </c>
      <c r="N138" s="58">
        <f ca="1">SUM(OFFSET($P138,0,N$1,1,4))</f>
        <v>4051.8877763547562</v>
      </c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>
        <f t="shared" ref="AI138:AZ138" si="192">+AI100+AI97</f>
        <v>120.15699999999997</v>
      </c>
      <c r="AJ138" s="58">
        <f t="shared" si="192"/>
        <v>36.786000000000136</v>
      </c>
      <c r="AK138" s="58">
        <f t="shared" si="192"/>
        <v>-263.8989999999996</v>
      </c>
      <c r="AL138" s="58">
        <f t="shared" si="192"/>
        <v>-60.673999999999353</v>
      </c>
      <c r="AM138" s="58">
        <f t="shared" si="192"/>
        <v>60.929999999999779</v>
      </c>
      <c r="AN138" s="58">
        <f t="shared" si="192"/>
        <v>290.32499999999987</v>
      </c>
      <c r="AO138" s="58">
        <f t="shared" ca="1" si="192"/>
        <v>-105.0828299642277</v>
      </c>
      <c r="AP138" s="58">
        <f t="shared" ca="1" si="192"/>
        <v>-1070.5594969342135</v>
      </c>
      <c r="AQ138" s="58">
        <f t="shared" ca="1" si="192"/>
        <v>-453.72460869746999</v>
      </c>
      <c r="AR138" s="58">
        <f t="shared" ca="1" si="192"/>
        <v>-763.57353563835909</v>
      </c>
      <c r="AS138" s="58">
        <f t="shared" ca="1" si="192"/>
        <v>-487.69791483760054</v>
      </c>
      <c r="AT138" s="58">
        <f t="shared" ca="1" si="192"/>
        <v>-616.80221171832909</v>
      </c>
      <c r="AU138" s="58">
        <f t="shared" ca="1" si="192"/>
        <v>421.80460092211126</v>
      </c>
      <c r="AV138" s="58">
        <f t="shared" ca="1" si="192"/>
        <v>452.25675429239669</v>
      </c>
      <c r="AW138" s="58">
        <f t="shared" ca="1" si="192"/>
        <v>343.12849133387624</v>
      </c>
      <c r="AX138" s="58">
        <f t="shared" ca="1" si="192"/>
        <v>112.66794551875927</v>
      </c>
      <c r="AY138" s="58">
        <f t="shared" ca="1" si="192"/>
        <v>1633.4773141456701</v>
      </c>
      <c r="AZ138" s="58">
        <f t="shared" ca="1" si="192"/>
        <v>1962.6140253564506</v>
      </c>
    </row>
    <row r="139" spans="2:52">
      <c r="B139" s="52" t="s">
        <v>111</v>
      </c>
      <c r="E139" s="10"/>
      <c r="F139" s="4"/>
      <c r="G139" s="4"/>
      <c r="H139" s="4"/>
      <c r="I139" s="4">
        <f t="shared" ref="I139:K139" ca="1" si="193">I138/I$87</f>
        <v>-0.14287585676238493</v>
      </c>
      <c r="J139" s="4">
        <f t="shared" ca="1" si="193"/>
        <v>-1.7883389266653216E-2</v>
      </c>
      <c r="K139" s="4">
        <f t="shared" ca="1" si="193"/>
        <v>1.6264392481725083E-3</v>
      </c>
      <c r="L139" s="4">
        <f t="shared" ref="L139:N139" ca="1" si="194">L138/L$87</f>
        <v>-0.10104499844603855</v>
      </c>
      <c r="M139" s="4">
        <f t="shared" ca="1" si="194"/>
        <v>-7.4921896306177132E-3</v>
      </c>
      <c r="N139" s="4">
        <f t="shared" ca="1" si="194"/>
        <v>0.10333558122405014</v>
      </c>
      <c r="O139" s="58"/>
      <c r="P139" s="58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>
        <f t="shared" ref="AI139:AZ139" si="195">AI138/AI$87</f>
        <v>3.9072559419140208E-2</v>
      </c>
      <c r="AJ139" s="4">
        <f t="shared" si="195"/>
        <v>1.2350804325097142E-2</v>
      </c>
      <c r="AK139" s="4">
        <f t="shared" si="195"/>
        <v>-8.512519219463878E-2</v>
      </c>
      <c r="AL139" s="4">
        <f t="shared" si="195"/>
        <v>-1.4856349031300066E-2</v>
      </c>
      <c r="AM139" s="4">
        <f t="shared" si="195"/>
        <v>1.3037755659368502E-2</v>
      </c>
      <c r="AN139" s="4">
        <f t="shared" si="195"/>
        <v>6.3840821962057925E-2</v>
      </c>
      <c r="AO139" s="4">
        <f t="shared" ca="1" si="195"/>
        <v>-2.1769600407569062E-2</v>
      </c>
      <c r="AP139" s="4">
        <f t="shared" ca="1" si="195"/>
        <v>-0.18373591139397399</v>
      </c>
      <c r="AQ139" s="4">
        <f t="shared" ca="1" si="195"/>
        <v>-6.8920390644733931E-2</v>
      </c>
      <c r="AR139" s="4">
        <f t="shared" ca="1" si="195"/>
        <v>-0.1184762723601947</v>
      </c>
      <c r="AS139" s="4">
        <f t="shared" ca="1" si="195"/>
        <v>-7.5086651462465723E-2</v>
      </c>
      <c r="AT139" s="4">
        <f t="shared" ca="1" si="195"/>
        <v>-8.1712685975139407E-2</v>
      </c>
      <c r="AU139" s="4">
        <f t="shared" ca="1" si="195"/>
        <v>5.0337214938659849E-2</v>
      </c>
      <c r="AV139" s="4">
        <f t="shared" ca="1" si="195"/>
        <v>5.4266074627972304E-2</v>
      </c>
      <c r="AW139" s="4">
        <f t="shared" ca="1" si="195"/>
        <v>4.0542501547140217E-2</v>
      </c>
      <c r="AX139" s="4">
        <f t="shared" ca="1" si="195"/>
        <v>1.1708604455081355E-2</v>
      </c>
      <c r="AY139" s="4">
        <f t="shared" ca="1" si="195"/>
        <v>0.15534078564261128</v>
      </c>
      <c r="AZ139" s="4">
        <f t="shared" ca="1" si="195"/>
        <v>0.18498767308436681</v>
      </c>
    </row>
    <row r="140" spans="2:52">
      <c r="B140" s="52" t="s">
        <v>110</v>
      </c>
      <c r="E140" s="10"/>
      <c r="F140" s="4"/>
      <c r="G140" s="4"/>
      <c r="H140" s="4"/>
      <c r="I140" s="4">
        <f t="shared" ref="I140:K140" si="196">I138/I$82</f>
        <v>-0.13487480878369135</v>
      </c>
      <c r="J140" s="4">
        <f t="shared" si="196"/>
        <v>-1.6881919467720635E-2</v>
      </c>
      <c r="K140" s="4">
        <f t="shared" si="196"/>
        <v>1.5353586502748478E-3</v>
      </c>
      <c r="L140" s="4">
        <f t="shared" ref="L140:N140" ca="1" si="197">L138/L$82</f>
        <v>-9.5386478533060398E-2</v>
      </c>
      <c r="M140" s="4">
        <f t="shared" ca="1" si="197"/>
        <v>-7.0726270113031222E-3</v>
      </c>
      <c r="N140" s="4">
        <f t="shared" ca="1" si="197"/>
        <v>9.7548788675503331E-2</v>
      </c>
      <c r="O140" s="58"/>
      <c r="P140" s="58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>
        <f t="shared" ref="AI140:AZ140" si="198">AI138/AI$82</f>
        <v>3.6884496091668356E-2</v>
      </c>
      <c r="AJ140" s="4">
        <f t="shared" si="198"/>
        <v>1.1659159282891702E-2</v>
      </c>
      <c r="AK140" s="4">
        <f t="shared" si="198"/>
        <v>-8.0358181431739006E-2</v>
      </c>
      <c r="AL140" s="4">
        <f t="shared" si="198"/>
        <v>-1.4024393485547262E-2</v>
      </c>
      <c r="AM140" s="4">
        <f t="shared" si="198"/>
        <v>1.2307641342443866E-2</v>
      </c>
      <c r="AN140" s="4">
        <f t="shared" si="198"/>
        <v>6.0265735932182679E-2</v>
      </c>
      <c r="AO140" s="4">
        <f t="shared" ca="1" si="198"/>
        <v>-2.0550502784745194E-2</v>
      </c>
      <c r="AP140" s="4">
        <f t="shared" ca="1" si="198"/>
        <v>-0.17344670035591145</v>
      </c>
      <c r="AQ140" s="4">
        <f t="shared" ca="1" si="198"/>
        <v>-6.5060848768628832E-2</v>
      </c>
      <c r="AR140" s="4">
        <f t="shared" ca="1" si="198"/>
        <v>-0.1118416011080238</v>
      </c>
      <c r="AS140" s="4">
        <f t="shared" ca="1" si="198"/>
        <v>-7.0881798980567637E-2</v>
      </c>
      <c r="AT140" s="4">
        <f t="shared" ca="1" si="198"/>
        <v>-7.7136775560531598E-2</v>
      </c>
      <c r="AU140" s="4">
        <f t="shared" ca="1" si="198"/>
        <v>4.7518330902094896E-2</v>
      </c>
      <c r="AV140" s="4">
        <f t="shared" ca="1" si="198"/>
        <v>5.1227174448805854E-2</v>
      </c>
      <c r="AW140" s="4">
        <f t="shared" ca="1" si="198"/>
        <v>3.8272121460500366E-2</v>
      </c>
      <c r="AX140" s="4">
        <f t="shared" ca="1" si="198"/>
        <v>1.10529226055968E-2</v>
      </c>
      <c r="AY140" s="4">
        <f t="shared" ca="1" si="198"/>
        <v>0.14664170164662504</v>
      </c>
      <c r="AZ140" s="4">
        <f t="shared" ca="1" si="198"/>
        <v>0.17462836339164226</v>
      </c>
    </row>
    <row r="141" spans="2:52" s="8" customFormat="1">
      <c r="B141" s="3" t="s">
        <v>114</v>
      </c>
      <c r="C141" s="1"/>
      <c r="D141" s="1"/>
      <c r="E141" s="10"/>
      <c r="F141" s="58"/>
      <c r="G141" s="58"/>
      <c r="H141" s="58"/>
      <c r="I141" s="58">
        <f>+I111+I175+I182</f>
        <v>-1988.4240000000007</v>
      </c>
      <c r="J141" s="58">
        <f>+J111+J175+J182</f>
        <v>-2318.3650000000002</v>
      </c>
      <c r="K141" s="58">
        <f ca="1">+K111+K175+K182</f>
        <v>-3257.803999999996</v>
      </c>
      <c r="L141" s="58">
        <f ca="1">SUM(OFFSET($P141,0,L$1,1,4))</f>
        <v>-6649.5522814589222</v>
      </c>
      <c r="M141" s="58">
        <f ca="1">SUM(OFFSET($P141,0,M$1,1,4))</f>
        <v>-5248.2845351433998</v>
      </c>
      <c r="N141" s="58">
        <f ca="1">SUM(OFFSET($P141,0,N$1,1,4))</f>
        <v>-1843.8856721655661</v>
      </c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>
        <f t="shared" ref="AI141:AZ141" si="199">+AI111+AI175+AI182</f>
        <v>-455.73674999999992</v>
      </c>
      <c r="AJ141" s="58">
        <f t="shared" si="199"/>
        <v>-643.91274999999985</v>
      </c>
      <c r="AK141" s="58">
        <f t="shared" ca="1" si="199"/>
        <v>-846.54074999999966</v>
      </c>
      <c r="AL141" s="58">
        <f t="shared" ca="1" si="199"/>
        <v>-823.92474999999945</v>
      </c>
      <c r="AM141" s="58">
        <f t="shared" ca="1" si="199"/>
        <v>-898.35475000000019</v>
      </c>
      <c r="AN141" s="58">
        <f t="shared" ca="1" si="199"/>
        <v>-688.98375000000021</v>
      </c>
      <c r="AO141" s="58">
        <f t="shared" ca="1" si="199"/>
        <v>-1093.0590895994151</v>
      </c>
      <c r="AP141" s="58">
        <f t="shared" ca="1" si="199"/>
        <v>-2125.010370105666</v>
      </c>
      <c r="AQ141" s="58">
        <f t="shared" ca="1" si="199"/>
        <v>-1503.5578520171657</v>
      </c>
      <c r="AR141" s="58">
        <f t="shared" ca="1" si="199"/>
        <v>-1927.9249697366761</v>
      </c>
      <c r="AS141" s="58">
        <f t="shared" ca="1" si="199"/>
        <v>-1691.4240946816828</v>
      </c>
      <c r="AT141" s="58">
        <f t="shared" ca="1" si="199"/>
        <v>-1849.8430569662853</v>
      </c>
      <c r="AU141" s="58">
        <f t="shared" ca="1" si="199"/>
        <v>-780.52722605733322</v>
      </c>
      <c r="AV141" s="58">
        <f t="shared" ca="1" si="199"/>
        <v>-926.49015743809832</v>
      </c>
      <c r="AW141" s="58">
        <f t="shared" ca="1" si="199"/>
        <v>-1105.1646170708689</v>
      </c>
      <c r="AX141" s="58">
        <f t="shared" ca="1" si="199"/>
        <v>-1330.9672678084685</v>
      </c>
      <c r="AY141" s="58">
        <f t="shared" ca="1" si="199"/>
        <v>256.41514585139805</v>
      </c>
      <c r="AZ141" s="58">
        <f t="shared" ca="1" si="199"/>
        <v>335.83106686237295</v>
      </c>
    </row>
    <row r="142" spans="2:52">
      <c r="B142" s="52" t="s">
        <v>111</v>
      </c>
      <c r="E142" s="10"/>
      <c r="F142" s="4"/>
      <c r="G142" s="4"/>
      <c r="H142" s="4"/>
      <c r="I142" s="4">
        <f t="shared" ref="I142:K142" ca="1" si="200">I141/I$87</f>
        <v>-0.39604175771825811</v>
      </c>
      <c r="J142" s="4">
        <f t="shared" ca="1" si="200"/>
        <v>-0.21854642508887012</v>
      </c>
      <c r="K142" s="4">
        <f t="shared" ca="1" si="200"/>
        <v>-0.19858407497386285</v>
      </c>
      <c r="L142" s="4">
        <f t="shared" ref="L142:N142" ca="1" si="201">L141/L$87</f>
        <v>-0.28078592343766212</v>
      </c>
      <c r="M142" s="4">
        <f t="shared" ca="1" si="201"/>
        <v>-0.17063596869501557</v>
      </c>
      <c r="N142" s="4">
        <f t="shared" ca="1" si="201"/>
        <v>-4.7024747021829863E-2</v>
      </c>
      <c r="O142" s="58"/>
      <c r="P142" s="58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>
        <f t="shared" ref="AI142:AZ142" si="202">AI141/AI$87</f>
        <v>-0.14819612044126307</v>
      </c>
      <c r="AJ142" s="4">
        <f t="shared" si="202"/>
        <v>-0.21619203984355906</v>
      </c>
      <c r="AK142" s="4">
        <f t="shared" ca="1" si="202"/>
        <v>-0.27306637783524657</v>
      </c>
      <c r="AL142" s="4">
        <f t="shared" ca="1" si="202"/>
        <v>-0.2017423222719249</v>
      </c>
      <c r="AM142" s="4">
        <f t="shared" ca="1" si="202"/>
        <v>-0.19222927500300543</v>
      </c>
      <c r="AN142" s="4">
        <f t="shared" ca="1" si="202"/>
        <v>-0.15150362152243541</v>
      </c>
      <c r="AO142" s="4">
        <f t="shared" ca="1" si="202"/>
        <v>-0.22644479227044936</v>
      </c>
      <c r="AP142" s="4">
        <f t="shared" ca="1" si="202"/>
        <v>-0.36470716311529144</v>
      </c>
      <c r="AQ142" s="4">
        <f t="shared" ca="1" si="202"/>
        <v>-0.22838918703454034</v>
      </c>
      <c r="AR142" s="4">
        <f t="shared" ca="1" si="202"/>
        <v>-0.29913734976891981</v>
      </c>
      <c r="AS142" s="4">
        <f t="shared" ca="1" si="202"/>
        <v>-0.26041401369302808</v>
      </c>
      <c r="AT142" s="4">
        <f t="shared" ca="1" si="202"/>
        <v>-0.24506339624833451</v>
      </c>
      <c r="AU142" s="4">
        <f t="shared" ca="1" si="202"/>
        <v>-9.3146368383921402E-2</v>
      </c>
      <c r="AV142" s="4">
        <f t="shared" ca="1" si="202"/>
        <v>-0.11116911698595035</v>
      </c>
      <c r="AW142" s="4">
        <f t="shared" ca="1" si="202"/>
        <v>-0.13058122344565773</v>
      </c>
      <c r="AX142" s="4">
        <f t="shared" ca="1" si="202"/>
        <v>-0.13831590883881864</v>
      </c>
      <c r="AY142" s="4">
        <f t="shared" ca="1" si="202"/>
        <v>2.4384624054637358E-2</v>
      </c>
      <c r="AZ142" s="4">
        <f t="shared" ca="1" si="202"/>
        <v>3.1654011846281228E-2</v>
      </c>
    </row>
    <row r="143" spans="2:52">
      <c r="B143" s="52" t="s">
        <v>110</v>
      </c>
      <c r="E143" s="10"/>
      <c r="F143" s="4"/>
      <c r="G143" s="4"/>
      <c r="H143" s="4"/>
      <c r="I143" s="4">
        <f t="shared" ref="I143:K143" si="203">I141/I$82</f>
        <v>-0.37386341928603567</v>
      </c>
      <c r="J143" s="4">
        <f t="shared" si="203"/>
        <v>-0.20630782528389338</v>
      </c>
      <c r="K143" s="4">
        <f t="shared" ca="1" si="203"/>
        <v>-0.18746336677532652</v>
      </c>
      <c r="L143" s="4">
        <f t="shared" ref="L143:N143" ca="1" si="204">L141/L$82</f>
        <v>-0.26506191172515303</v>
      </c>
      <c r="M143" s="4">
        <f t="shared" ca="1" si="204"/>
        <v>-0.16108035444809471</v>
      </c>
      <c r="N143" s="4">
        <f t="shared" ca="1" si="204"/>
        <v>-4.4391361188607391E-2</v>
      </c>
      <c r="O143" s="58"/>
      <c r="P143" s="58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>
        <f t="shared" ref="AI143:AZ143" si="205">AI141/AI$82</f>
        <v>-0.13989713769655235</v>
      </c>
      <c r="AJ143" s="4">
        <f t="shared" si="205"/>
        <v>-0.20408528561231976</v>
      </c>
      <c r="AK143" s="4">
        <f t="shared" ca="1" si="205"/>
        <v>-0.25777466067647276</v>
      </c>
      <c r="AL143" s="4">
        <f t="shared" ca="1" si="205"/>
        <v>-0.19044475222469712</v>
      </c>
      <c r="AM143" s="4">
        <f t="shared" ca="1" si="205"/>
        <v>-0.18146443560283712</v>
      </c>
      <c r="AN143" s="4">
        <f t="shared" ca="1" si="205"/>
        <v>-0.14301941871717902</v>
      </c>
      <c r="AO143" s="4">
        <f t="shared" ca="1" si="205"/>
        <v>-0.21376388390330422</v>
      </c>
      <c r="AP143" s="4">
        <f t="shared" ca="1" si="205"/>
        <v>-0.3442835619808351</v>
      </c>
      <c r="AQ143" s="4">
        <f t="shared" ca="1" si="205"/>
        <v>-0.21559939256060609</v>
      </c>
      <c r="AR143" s="4">
        <f t="shared" ca="1" si="205"/>
        <v>-0.28238565818186029</v>
      </c>
      <c r="AS143" s="4">
        <f t="shared" ca="1" si="205"/>
        <v>-0.24583082892621849</v>
      </c>
      <c r="AT143" s="4">
        <f t="shared" ca="1" si="205"/>
        <v>-0.23133984605842778</v>
      </c>
      <c r="AU143" s="4">
        <f t="shared" ca="1" si="205"/>
        <v>-8.793017175442179E-2</v>
      </c>
      <c r="AV143" s="4">
        <f t="shared" ca="1" si="205"/>
        <v>-0.10494364643473714</v>
      </c>
      <c r="AW143" s="4">
        <f t="shared" ca="1" si="205"/>
        <v>-0.1232686749327009</v>
      </c>
      <c r="AX143" s="4">
        <f t="shared" ca="1" si="205"/>
        <v>-0.1305702179438448</v>
      </c>
      <c r="AY143" s="4">
        <f t="shared" ca="1" si="205"/>
        <v>2.3019085107577667E-2</v>
      </c>
      <c r="AZ143" s="4">
        <f t="shared" ca="1" si="205"/>
        <v>2.988138718288948E-2</v>
      </c>
    </row>
    <row r="144" spans="2:52" s="8" customFormat="1">
      <c r="B144" s="3" t="s">
        <v>113</v>
      </c>
      <c r="C144" s="1"/>
      <c r="D144" s="1"/>
      <c r="E144" s="10"/>
      <c r="F144" s="58"/>
      <c r="G144" s="58"/>
      <c r="H144" s="58"/>
      <c r="I144" s="58">
        <f>+I141-I182</f>
        <v>-2383.4070000000006</v>
      </c>
      <c r="J144" s="58">
        <f>+J141-J182</f>
        <v>-2727.1020000000003</v>
      </c>
      <c r="K144" s="58">
        <f ca="1">+K141-K182</f>
        <v>-3719.5849999999959</v>
      </c>
      <c r="L144" s="58">
        <f ca="1">SUM(OFFSET($P144,0,L$1,1,4))</f>
        <v>-7287.0340563457285</v>
      </c>
      <c r="M144" s="58">
        <f ca="1">SUM(OFFSET($P144,0,M$1,1,4))</f>
        <v>-6201.9975342312719</v>
      </c>
      <c r="N144" s="58">
        <f ca="1">SUM(OFFSET($P144,0,N$1,1,4))</f>
        <v>-3077.0606568188678</v>
      </c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>
        <f t="shared" ref="AI144:AZ144" si="206">+AI141-AI182</f>
        <v>-557.92099999999994</v>
      </c>
      <c r="AJ144" s="58">
        <f t="shared" si="206"/>
        <v>-746.09699999999987</v>
      </c>
      <c r="AK144" s="58">
        <f t="shared" ca="1" si="206"/>
        <v>-961.98599999999965</v>
      </c>
      <c r="AL144" s="58">
        <f t="shared" ca="1" si="206"/>
        <v>-939.36999999999944</v>
      </c>
      <c r="AM144" s="58">
        <f t="shared" ca="1" si="206"/>
        <v>-1013.8000000000002</v>
      </c>
      <c r="AN144" s="58">
        <f t="shared" ca="1" si="206"/>
        <v>-804.4290000000002</v>
      </c>
      <c r="AO144" s="58">
        <f t="shared" ca="1" si="206"/>
        <v>-1223.2073792149672</v>
      </c>
      <c r="AP144" s="58">
        <f t="shared" ca="1" si="206"/>
        <v>-2272.0889951999116</v>
      </c>
      <c r="AQ144" s="58">
        <f t="shared" ca="1" si="206"/>
        <v>-1671.8177595497696</v>
      </c>
      <c r="AR144" s="58">
        <f t="shared" ca="1" si="206"/>
        <v>-2119.9199223810797</v>
      </c>
      <c r="AS144" s="58">
        <f t="shared" ca="1" si="206"/>
        <v>-1904.4891142807926</v>
      </c>
      <c r="AT144" s="58">
        <f t="shared" ca="1" si="206"/>
        <v>-2077.437194794742</v>
      </c>
      <c r="AU144" s="58">
        <f t="shared" ca="1" si="206"/>
        <v>-1026.5646112419035</v>
      </c>
      <c r="AV144" s="58">
        <f t="shared" ca="1" si="206"/>
        <v>-1193.5066139138339</v>
      </c>
      <c r="AW144" s="58">
        <f t="shared" ca="1" si="206"/>
        <v>-1391.2760397474044</v>
      </c>
      <c r="AX144" s="58">
        <f t="shared" ca="1" si="206"/>
        <v>-1629.5619926227312</v>
      </c>
      <c r="AY144" s="58">
        <f t="shared" ca="1" si="206"/>
        <v>-58.471035464012687</v>
      </c>
      <c r="AZ144" s="58">
        <f t="shared" ca="1" si="206"/>
        <v>2.2484110152808512</v>
      </c>
    </row>
    <row r="145" spans="2:52">
      <c r="B145" s="52" t="s">
        <v>111</v>
      </c>
      <c r="E145" s="10"/>
      <c r="F145" s="4"/>
      <c r="G145" s="4"/>
      <c r="H145" s="4"/>
      <c r="I145" s="4">
        <f t="shared" ref="I145:K145" ca="1" si="207">I144/I$87</f>
        <v>-0.47471198176948198</v>
      </c>
      <c r="J145" s="4">
        <f t="shared" ca="1" si="207"/>
        <v>-0.25707703185335695</v>
      </c>
      <c r="K145" s="4">
        <f t="shared" ca="1" si="207"/>
        <v>-0.22673259241859109</v>
      </c>
      <c r="L145" s="4">
        <f t="shared" ref="L145:N145" ca="1" si="208">L144/L$87</f>
        <v>-0.30770441377502955</v>
      </c>
      <c r="M145" s="4">
        <f t="shared" ca="1" si="208"/>
        <v>-0.20164376569357159</v>
      </c>
      <c r="N145" s="4">
        <f t="shared" ca="1" si="208"/>
        <v>-7.8474496082932943E-2</v>
      </c>
      <c r="O145" s="58"/>
      <c r="P145" s="58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>
        <f t="shared" ref="AI145:AZ145" si="209">AI144/AI$87</f>
        <v>-0.18142431505185821</v>
      </c>
      <c r="AJ145" s="4">
        <f t="shared" si="209"/>
        <v>-0.2505001374039571</v>
      </c>
      <c r="AK145" s="4">
        <f t="shared" ca="1" si="209"/>
        <v>-0.31030524230312306</v>
      </c>
      <c r="AL145" s="4">
        <f t="shared" ca="1" si="209"/>
        <v>-0.2300097008526302</v>
      </c>
      <c r="AM145" s="4">
        <f t="shared" ca="1" si="209"/>
        <v>-0.21693216293234596</v>
      </c>
      <c r="AN145" s="4">
        <f t="shared" ca="1" si="209"/>
        <v>-0.1768893776633646</v>
      </c>
      <c r="AO145" s="4">
        <f t="shared" ca="1" si="209"/>
        <v>-0.25340710628144092</v>
      </c>
      <c r="AP145" s="4">
        <f t="shared" ca="1" si="209"/>
        <v>-0.38994968845428662</v>
      </c>
      <c r="AQ145" s="4">
        <f t="shared" ca="1" si="209"/>
        <v>-0.25394772702708035</v>
      </c>
      <c r="AR145" s="4">
        <f t="shared" ca="1" si="209"/>
        <v>-0.32892733755610043</v>
      </c>
      <c r="AS145" s="4">
        <f t="shared" ca="1" si="209"/>
        <v>-0.29321780140413423</v>
      </c>
      <c r="AT145" s="4">
        <f t="shared" ca="1" si="209"/>
        <v>-0.27521459862867226</v>
      </c>
      <c r="AU145" s="4">
        <f t="shared" ca="1" si="209"/>
        <v>-0.12250791805385611</v>
      </c>
      <c r="AV145" s="4">
        <f t="shared" ca="1" si="209"/>
        <v>-0.1432082956526792</v>
      </c>
      <c r="AW145" s="4">
        <f t="shared" ca="1" si="209"/>
        <v>-0.16438684754707061</v>
      </c>
      <c r="AX145" s="4">
        <f t="shared" ca="1" si="209"/>
        <v>-0.16934627430014643</v>
      </c>
      <c r="AY145" s="4">
        <f t="shared" ca="1" si="209"/>
        <v>-5.5604914177012684E-3</v>
      </c>
      <c r="AZ145" s="4">
        <f t="shared" ca="1" si="209"/>
        <v>2.1192568507122654E-4</v>
      </c>
    </row>
    <row r="146" spans="2:52">
      <c r="B146" s="52" t="s">
        <v>110</v>
      </c>
      <c r="E146" s="10"/>
      <c r="F146" s="4"/>
      <c r="G146" s="4"/>
      <c r="H146" s="4"/>
      <c r="I146" s="4">
        <f t="shared" ref="I146:K146" si="210">I144/I$82</f>
        <v>-0.44812811079039094</v>
      </c>
      <c r="J146" s="4">
        <f t="shared" si="210"/>
        <v>-0.24268071806956895</v>
      </c>
      <c r="K146" s="4">
        <f t="shared" ca="1" si="210"/>
        <v>-0.21403556724314998</v>
      </c>
      <c r="L146" s="4">
        <f t="shared" ref="L146:N146" ca="1" si="211">L144/L$82</f>
        <v>-0.29047296660362792</v>
      </c>
      <c r="M146" s="4">
        <f t="shared" ca="1" si="211"/>
        <v>-0.19035171481473159</v>
      </c>
      <c r="N146" s="4">
        <f t="shared" ca="1" si="211"/>
        <v>-7.4079924302288699E-2</v>
      </c>
      <c r="O146" s="58"/>
      <c r="P146" s="58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>
        <f t="shared" ref="AI146:AZ146" si="212">AI144/AI$82</f>
        <v>-0.17126455340895416</v>
      </c>
      <c r="AJ146" s="4">
        <f t="shared" si="212"/>
        <v>-0.23647212970933554</v>
      </c>
      <c r="AK146" s="4">
        <f t="shared" ca="1" si="212"/>
        <v>-0.29292814873414813</v>
      </c>
      <c r="AL146" s="4">
        <f t="shared" ca="1" si="212"/>
        <v>-0.21712915760488288</v>
      </c>
      <c r="AM146" s="4">
        <f t="shared" ca="1" si="212"/>
        <v>-0.20478396180813457</v>
      </c>
      <c r="AN146" s="4">
        <f t="shared" ca="1" si="212"/>
        <v>-0.16698357251421619</v>
      </c>
      <c r="AO146" s="4">
        <f t="shared" ca="1" si="212"/>
        <v>-0.23921630832968024</v>
      </c>
      <c r="AP146" s="4">
        <f t="shared" ca="1" si="212"/>
        <v>-0.3681125059008466</v>
      </c>
      <c r="AQ146" s="4">
        <f t="shared" ca="1" si="212"/>
        <v>-0.23972665431356388</v>
      </c>
      <c r="AR146" s="4">
        <f t="shared" ca="1" si="212"/>
        <v>-0.31050740665295878</v>
      </c>
      <c r="AS146" s="4">
        <f t="shared" ca="1" si="212"/>
        <v>-0.27679760452550273</v>
      </c>
      <c r="AT146" s="4">
        <f t="shared" ca="1" si="212"/>
        <v>-0.25980258110546661</v>
      </c>
      <c r="AU146" s="4">
        <f t="shared" ca="1" si="212"/>
        <v>-0.11564747464284017</v>
      </c>
      <c r="AV146" s="4">
        <f t="shared" ca="1" si="212"/>
        <v>-0.13518863109612916</v>
      </c>
      <c r="AW146" s="4">
        <f t="shared" ca="1" si="212"/>
        <v>-0.15518118408443465</v>
      </c>
      <c r="AX146" s="4">
        <f t="shared" ca="1" si="212"/>
        <v>-0.15986288293933823</v>
      </c>
      <c r="AY146" s="4">
        <f t="shared" ca="1" si="212"/>
        <v>-5.2491038983099973E-3</v>
      </c>
      <c r="AZ146" s="4">
        <f t="shared" ca="1" si="212"/>
        <v>2.0005784670723784E-4</v>
      </c>
    </row>
    <row r="147" spans="2:52" s="8" customFormat="1">
      <c r="B147" s="3" t="s">
        <v>112</v>
      </c>
      <c r="C147" s="1"/>
      <c r="D147" s="1"/>
      <c r="E147" s="10"/>
      <c r="F147" s="58"/>
      <c r="G147" s="58"/>
      <c r="H147" s="58"/>
      <c r="I147" s="58">
        <f>+I128+I175</f>
        <v>-2530.9180000000006</v>
      </c>
      <c r="J147" s="58">
        <f t="shared" ref="J147:K147" si="213">+J128+J175</f>
        <v>-3011.6300000000006</v>
      </c>
      <c r="K147" s="58">
        <f t="shared" ca="1" si="213"/>
        <v>-3503.5079999999957</v>
      </c>
      <c r="L147" s="58">
        <f ca="1">SUM(OFFSET($P147,0,L$1,1,4))</f>
        <v>-6949.288963294196</v>
      </c>
      <c r="M147" s="58">
        <f ca="1">SUM(OFFSET($P147,0,M$1,1,4))</f>
        <v>-6036.8476316564293</v>
      </c>
      <c r="N147" s="58">
        <f ca="1">SUM(OFFSET($P147,0,N$1,1,4))</f>
        <v>-2936.9110386948732</v>
      </c>
      <c r="O147" s="38">
        <f ca="1">(M147/J147)^(1/3)-1</f>
        <v>0.26086774024215731</v>
      </c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>
        <f>+AI128+AI175</f>
        <v>-560.75199999999995</v>
      </c>
      <c r="AJ147" s="58">
        <f t="shared" ref="AJ147:AZ147" si="214">+AJ128+AJ175</f>
        <v>-750.23599999999988</v>
      </c>
      <c r="AK147" s="58">
        <f t="shared" ca="1" si="214"/>
        <v>-962.82599999999957</v>
      </c>
      <c r="AL147" s="58">
        <f t="shared" ca="1" si="214"/>
        <v>-940.07499999999936</v>
      </c>
      <c r="AM147" s="58">
        <f t="shared" ca="1" si="214"/>
        <v>-1014.5860000000002</v>
      </c>
      <c r="AN147" s="58">
        <f t="shared" ca="1" si="214"/>
        <v>-794.53300000000024</v>
      </c>
      <c r="AO147" s="58">
        <f t="shared" ca="1" si="214"/>
        <v>-1152.975109618621</v>
      </c>
      <c r="AP147" s="58">
        <f t="shared" ca="1" si="214"/>
        <v>-2156.2063812499073</v>
      </c>
      <c r="AQ147" s="58">
        <f t="shared" ca="1" si="214"/>
        <v>-1584.6322492998472</v>
      </c>
      <c r="AR147" s="58">
        <f t="shared" ca="1" si="214"/>
        <v>-2055.4752231258208</v>
      </c>
      <c r="AS147" s="58">
        <f t="shared" ca="1" si="214"/>
        <v>-1860.6936945723182</v>
      </c>
      <c r="AT147" s="58">
        <f t="shared" ca="1" si="214"/>
        <v>-2051.8415585021398</v>
      </c>
      <c r="AU147" s="58">
        <f t="shared" ca="1" si="214"/>
        <v>-989.48433704539195</v>
      </c>
      <c r="AV147" s="58">
        <f t="shared" ca="1" si="214"/>
        <v>-1134.8280415365789</v>
      </c>
      <c r="AW147" s="58">
        <f t="shared" ca="1" si="214"/>
        <v>-1345.4640542419727</v>
      </c>
      <c r="AX147" s="58">
        <f t="shared" ca="1" si="214"/>
        <v>-1590.7034021519962</v>
      </c>
      <c r="AY147" s="58">
        <f t="shared" ca="1" si="214"/>
        <v>-30.501678635781147</v>
      </c>
      <c r="AZ147" s="58">
        <f t="shared" ca="1" si="214"/>
        <v>29.758096334876328</v>
      </c>
    </row>
    <row r="148" spans="2:52">
      <c r="B148" s="52" t="s">
        <v>111</v>
      </c>
      <c r="E148" s="10"/>
      <c r="F148" s="4"/>
      <c r="G148" s="4"/>
      <c r="H148" s="4"/>
      <c r="I148" s="4">
        <f t="shared" ref="I148:K148" ca="1" si="215">I147/I$87</f>
        <v>-0.50409229287152957</v>
      </c>
      <c r="J148" s="4">
        <f t="shared" ca="1" si="215"/>
        <v>-0.28389876925781488</v>
      </c>
      <c r="K148" s="4">
        <f t="shared" ca="1" si="215"/>
        <v>-0.21356131165150766</v>
      </c>
      <c r="L148" s="4">
        <f t="shared" ref="L148:N148" ca="1" si="216">L147/L$87</f>
        <v>-0.29344269150788665</v>
      </c>
      <c r="M148" s="4">
        <f t="shared" ca="1" si="216"/>
        <v>-0.19627429431353413</v>
      </c>
      <c r="N148" s="4">
        <f t="shared" ca="1" si="216"/>
        <v>-7.490025043583344E-2</v>
      </c>
      <c r="O148" s="58"/>
      <c r="P148" s="58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>
        <f t="shared" ref="AI148:AZ148" si="217">AI147/AI$87</f>
        <v>-0.18234489742088861</v>
      </c>
      <c r="AJ148" s="4">
        <f t="shared" si="217"/>
        <v>-0.25188979594529287</v>
      </c>
      <c r="AK148" s="4">
        <f t="shared" ca="1" si="217"/>
        <v>-0.3105761988487844</v>
      </c>
      <c r="AL148" s="4">
        <f t="shared" ca="1" si="217"/>
        <v>-0.23018232382238768</v>
      </c>
      <c r="AM148" s="4">
        <f t="shared" ca="1" si="217"/>
        <v>-0.21710035062228955</v>
      </c>
      <c r="AN148" s="4">
        <f t="shared" ca="1" si="217"/>
        <v>-0.17471330335306917</v>
      </c>
      <c r="AO148" s="4">
        <f t="shared" ca="1" si="217"/>
        <v>-0.23885736066315488</v>
      </c>
      <c r="AP148" s="4">
        <f t="shared" ca="1" si="217"/>
        <v>-0.37006121168135259</v>
      </c>
      <c r="AQ148" s="4">
        <f t="shared" ca="1" si="217"/>
        <v>-0.24070432054261606</v>
      </c>
      <c r="AR148" s="4">
        <f t="shared" ca="1" si="217"/>
        <v>-0.31892808092294095</v>
      </c>
      <c r="AS148" s="4">
        <f t="shared" ca="1" si="217"/>
        <v>-0.28647499747724509</v>
      </c>
      <c r="AT148" s="4">
        <f t="shared" ca="1" si="217"/>
        <v>-0.27182374147709903</v>
      </c>
      <c r="AU148" s="4">
        <f t="shared" ca="1" si="217"/>
        <v>-0.11808284130473144</v>
      </c>
      <c r="AV148" s="4">
        <f t="shared" ca="1" si="217"/>
        <v>-0.13616748143052546</v>
      </c>
      <c r="AW148" s="4">
        <f t="shared" ca="1" si="217"/>
        <v>-0.15897391175147013</v>
      </c>
      <c r="AX148" s="4">
        <f t="shared" ca="1" si="217"/>
        <v>-0.16530803730728252</v>
      </c>
      <c r="AY148" s="4">
        <f t="shared" ca="1" si="217"/>
        <v>-2.9006553575424534E-3</v>
      </c>
      <c r="AZ148" s="4">
        <f t="shared" ca="1" si="217"/>
        <v>2.8048719337004624E-3</v>
      </c>
    </row>
    <row r="149" spans="2:52">
      <c r="B149" s="52" t="s">
        <v>110</v>
      </c>
      <c r="E149" s="10"/>
      <c r="F149" s="4"/>
      <c r="G149" s="4"/>
      <c r="H149" s="4"/>
      <c r="I149" s="4">
        <f t="shared" ref="I149:K149" si="218">I147/I$82</f>
        <v>-0.47586312447072393</v>
      </c>
      <c r="J149" s="4">
        <f t="shared" si="218"/>
        <v>-0.26800043817937719</v>
      </c>
      <c r="K149" s="4">
        <f t="shared" ca="1" si="218"/>
        <v>-0.20160187819902323</v>
      </c>
      <c r="L149" s="4">
        <f t="shared" ref="L149:N149" ca="1" si="219">L147/L$82</f>
        <v>-0.27700990078344501</v>
      </c>
      <c r="M149" s="4">
        <f t="shared" ca="1" si="219"/>
        <v>-0.18528293383197622</v>
      </c>
      <c r="N149" s="4">
        <f t="shared" ca="1" si="219"/>
        <v>-7.0705836411426776E-2</v>
      </c>
      <c r="O149" s="58"/>
      <c r="P149" s="58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>
        <f t="shared" ref="AI149:AZ149" si="220">AI147/AI$82</f>
        <v>-0.17213358316531885</v>
      </c>
      <c r="AJ149" s="4">
        <f t="shared" si="220"/>
        <v>-0.23778396737235646</v>
      </c>
      <c r="AK149" s="4">
        <f t="shared" ca="1" si="220"/>
        <v>-0.29318393171325247</v>
      </c>
      <c r="AL149" s="4">
        <f t="shared" ca="1" si="220"/>
        <v>-0.21729211368833395</v>
      </c>
      <c r="AM149" s="4">
        <f t="shared" ca="1" si="220"/>
        <v>-0.20494273098744134</v>
      </c>
      <c r="AN149" s="4">
        <f t="shared" ca="1" si="220"/>
        <v>-0.16492935836529729</v>
      </c>
      <c r="AO149" s="4">
        <f t="shared" ca="1" si="220"/>
        <v>-0.22548134846601822</v>
      </c>
      <c r="AP149" s="4">
        <f t="shared" ca="1" si="220"/>
        <v>-0.34933778382719682</v>
      </c>
      <c r="AQ149" s="4">
        <f t="shared" ca="1" si="220"/>
        <v>-0.22722487859222959</v>
      </c>
      <c r="AR149" s="4">
        <f t="shared" ca="1" si="220"/>
        <v>-0.30106810839125625</v>
      </c>
      <c r="AS149" s="4">
        <f t="shared" ca="1" si="220"/>
        <v>-0.27043239761851939</v>
      </c>
      <c r="AT149" s="4">
        <f t="shared" ca="1" si="220"/>
        <v>-0.25660161195438147</v>
      </c>
      <c r="AU149" s="4">
        <f t="shared" ca="1" si="220"/>
        <v>-0.11147020219166646</v>
      </c>
      <c r="AV149" s="4">
        <f t="shared" ca="1" si="220"/>
        <v>-0.12854210247041603</v>
      </c>
      <c r="AW149" s="4">
        <f t="shared" ca="1" si="220"/>
        <v>-0.1500713726933878</v>
      </c>
      <c r="AX149" s="4">
        <f t="shared" ca="1" si="220"/>
        <v>-0.15605078721807469</v>
      </c>
      <c r="AY149" s="4">
        <f t="shared" ca="1" si="220"/>
        <v>-2.7382186575200759E-3</v>
      </c>
      <c r="AZ149" s="4">
        <f t="shared" ca="1" si="220"/>
        <v>2.6477991054132365E-3</v>
      </c>
    </row>
    <row r="150" spans="2:52">
      <c r="B150" s="3" t="s">
        <v>379</v>
      </c>
      <c r="E150" s="10"/>
      <c r="F150" s="58"/>
      <c r="G150" s="58"/>
      <c r="H150" s="58"/>
      <c r="I150" s="58">
        <f>+I128+I175-I117*(1-I123)</f>
        <v>-2445.4544194815339</v>
      </c>
      <c r="J150" s="58">
        <f t="shared" ref="J150:K150" si="221">+J128+J175-J117*(1-J123)</f>
        <v>-2832.9974515085923</v>
      </c>
      <c r="K150" s="58">
        <f t="shared" ca="1" si="221"/>
        <v>-3905.91836531742</v>
      </c>
      <c r="L150" s="58">
        <f ca="1">SUM(OFFSET($P150,0,L$1,1,4))</f>
        <v>-6949.288963294196</v>
      </c>
      <c r="M150" s="58">
        <f ca="1">SUM(OFFSET($P150,0,M$1,1,4))</f>
        <v>-6036.8476316564293</v>
      </c>
      <c r="N150" s="58">
        <f ca="1">SUM(OFFSET($P150,0,N$1,1,4))</f>
        <v>-2936.9110386948732</v>
      </c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>
        <f>+AI128+AI175-AI117*(1-AI123)</f>
        <v>-560.75199999999995</v>
      </c>
      <c r="AJ150" s="58">
        <f t="shared" ref="AJ150:AZ150" si="222">+AJ128+AJ175-AJ117*(1-AJ123)</f>
        <v>-750.23599999999988</v>
      </c>
      <c r="AK150" s="58">
        <f t="shared" ca="1" si="222"/>
        <v>-962.82599999999957</v>
      </c>
      <c r="AL150" s="58">
        <f t="shared" ca="1" si="222"/>
        <v>-940.07499999999936</v>
      </c>
      <c r="AM150" s="58">
        <f t="shared" ca="1" si="222"/>
        <v>-1014.5860000000002</v>
      </c>
      <c r="AN150" s="58">
        <f t="shared" ca="1" si="222"/>
        <v>-794.53300000000024</v>
      </c>
      <c r="AO150" s="58">
        <f t="shared" ca="1" si="222"/>
        <v>-1152.975109618621</v>
      </c>
      <c r="AP150" s="58">
        <f t="shared" ca="1" si="222"/>
        <v>-2156.2063812499073</v>
      </c>
      <c r="AQ150" s="58">
        <f t="shared" ca="1" si="222"/>
        <v>-1584.6322492998472</v>
      </c>
      <c r="AR150" s="58">
        <f t="shared" ca="1" si="222"/>
        <v>-2055.4752231258208</v>
      </c>
      <c r="AS150" s="58">
        <f t="shared" ca="1" si="222"/>
        <v>-1860.6936945723182</v>
      </c>
      <c r="AT150" s="58">
        <f t="shared" ca="1" si="222"/>
        <v>-2051.8415585021398</v>
      </c>
      <c r="AU150" s="58">
        <f t="shared" ca="1" si="222"/>
        <v>-989.48433704539195</v>
      </c>
      <c r="AV150" s="58">
        <f t="shared" ca="1" si="222"/>
        <v>-1134.8280415365789</v>
      </c>
      <c r="AW150" s="58">
        <f t="shared" ca="1" si="222"/>
        <v>-1345.4640542419727</v>
      </c>
      <c r="AX150" s="58">
        <f t="shared" ca="1" si="222"/>
        <v>-1590.7034021519962</v>
      </c>
      <c r="AY150" s="58">
        <f t="shared" ca="1" si="222"/>
        <v>-30.501678635781147</v>
      </c>
      <c r="AZ150" s="58">
        <f t="shared" ca="1" si="222"/>
        <v>29.758096334876328</v>
      </c>
    </row>
    <row r="151" spans="2:52">
      <c r="B151" s="52" t="s">
        <v>111</v>
      </c>
      <c r="E151" s="10"/>
      <c r="F151" s="4"/>
      <c r="G151" s="4"/>
      <c r="H151" s="4"/>
      <c r="I151" s="4">
        <f t="shared" ref="I151:K151" ca="1" si="223">I150/I$87</f>
        <v>-0.48707019564808557</v>
      </c>
      <c r="J151" s="4">
        <f t="shared" ca="1" si="223"/>
        <v>-0.26705952915657477</v>
      </c>
      <c r="K151" s="4">
        <f t="shared" ca="1" si="223"/>
        <v>-0.23809080764219803</v>
      </c>
      <c r="L151" s="4">
        <f t="shared" ref="L151:N151" ca="1" si="224">L150/L$87</f>
        <v>-0.29344269150788665</v>
      </c>
      <c r="M151" s="4">
        <f t="shared" ca="1" si="224"/>
        <v>-0.19627429431353413</v>
      </c>
      <c r="N151" s="4">
        <f t="shared" ca="1" si="224"/>
        <v>-7.490025043583344E-2</v>
      </c>
      <c r="O151" s="58"/>
      <c r="P151" s="58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f t="shared" ref="AI151:AZ151" si="225">AI150/AI$87</f>
        <v>-0.18234489742088861</v>
      </c>
      <c r="AJ151" s="4">
        <f t="shared" si="225"/>
        <v>-0.25188979594529287</v>
      </c>
      <c r="AK151" s="4">
        <f t="shared" ca="1" si="225"/>
        <v>-0.3105761988487844</v>
      </c>
      <c r="AL151" s="4">
        <f t="shared" ca="1" si="225"/>
        <v>-0.23018232382238768</v>
      </c>
      <c r="AM151" s="4">
        <f t="shared" ca="1" si="225"/>
        <v>-0.21710035062228955</v>
      </c>
      <c r="AN151" s="4">
        <f t="shared" ca="1" si="225"/>
        <v>-0.17471330335306917</v>
      </c>
      <c r="AO151" s="4">
        <f t="shared" ca="1" si="225"/>
        <v>-0.23885736066315488</v>
      </c>
      <c r="AP151" s="4">
        <f t="shared" ca="1" si="225"/>
        <v>-0.37006121168135259</v>
      </c>
      <c r="AQ151" s="4">
        <f t="shared" ca="1" si="225"/>
        <v>-0.24070432054261606</v>
      </c>
      <c r="AR151" s="4">
        <f t="shared" ca="1" si="225"/>
        <v>-0.31892808092294095</v>
      </c>
      <c r="AS151" s="4">
        <f t="shared" ca="1" si="225"/>
        <v>-0.28647499747724509</v>
      </c>
      <c r="AT151" s="4">
        <f t="shared" ca="1" si="225"/>
        <v>-0.27182374147709903</v>
      </c>
      <c r="AU151" s="4">
        <f t="shared" ca="1" si="225"/>
        <v>-0.11808284130473144</v>
      </c>
      <c r="AV151" s="4">
        <f t="shared" ca="1" si="225"/>
        <v>-0.13616748143052546</v>
      </c>
      <c r="AW151" s="4">
        <f t="shared" ca="1" si="225"/>
        <v>-0.15897391175147013</v>
      </c>
      <c r="AX151" s="4">
        <f t="shared" ca="1" si="225"/>
        <v>-0.16530803730728252</v>
      </c>
      <c r="AY151" s="4">
        <f t="shared" ca="1" si="225"/>
        <v>-2.9006553575424534E-3</v>
      </c>
      <c r="AZ151" s="4">
        <f t="shared" ca="1" si="225"/>
        <v>2.8048719337004624E-3</v>
      </c>
    </row>
    <row r="152" spans="2:52">
      <c r="B152" s="52" t="s">
        <v>110</v>
      </c>
      <c r="E152" s="10"/>
      <c r="F152" s="4"/>
      <c r="G152" s="4"/>
      <c r="H152" s="4"/>
      <c r="I152" s="4">
        <f t="shared" ref="I152:K152" si="226">I150/I$82</f>
        <v>-0.4597942646917928</v>
      </c>
      <c r="J152" s="4">
        <f t="shared" si="226"/>
        <v>-0.25210419552380658</v>
      </c>
      <c r="K152" s="4">
        <f t="shared" ca="1" si="226"/>
        <v>-0.22475772241423492</v>
      </c>
      <c r="L152" s="4">
        <f t="shared" ref="L152:N152" ca="1" si="227">L150/L$82</f>
        <v>-0.27700990078344501</v>
      </c>
      <c r="M152" s="4">
        <f t="shared" ca="1" si="227"/>
        <v>-0.18528293383197622</v>
      </c>
      <c r="N152" s="4">
        <f t="shared" ca="1" si="227"/>
        <v>-7.0705836411426776E-2</v>
      </c>
      <c r="O152" s="58"/>
      <c r="P152" s="58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f t="shared" ref="AI152:AZ152" si="228">AI150/AI$82</f>
        <v>-0.17213358316531885</v>
      </c>
      <c r="AJ152" s="4">
        <f t="shared" si="228"/>
        <v>-0.23778396737235646</v>
      </c>
      <c r="AK152" s="4">
        <f t="shared" ca="1" si="228"/>
        <v>-0.29318393171325247</v>
      </c>
      <c r="AL152" s="4">
        <f t="shared" ca="1" si="228"/>
        <v>-0.21729211368833395</v>
      </c>
      <c r="AM152" s="4">
        <f t="shared" ca="1" si="228"/>
        <v>-0.20494273098744134</v>
      </c>
      <c r="AN152" s="4">
        <f t="shared" ca="1" si="228"/>
        <v>-0.16492935836529729</v>
      </c>
      <c r="AO152" s="4">
        <f t="shared" ca="1" si="228"/>
        <v>-0.22548134846601822</v>
      </c>
      <c r="AP152" s="4">
        <f t="shared" ca="1" si="228"/>
        <v>-0.34933778382719682</v>
      </c>
      <c r="AQ152" s="4">
        <f t="shared" ca="1" si="228"/>
        <v>-0.22722487859222959</v>
      </c>
      <c r="AR152" s="4">
        <f t="shared" ca="1" si="228"/>
        <v>-0.30106810839125625</v>
      </c>
      <c r="AS152" s="4">
        <f t="shared" ca="1" si="228"/>
        <v>-0.27043239761851939</v>
      </c>
      <c r="AT152" s="4">
        <f t="shared" ca="1" si="228"/>
        <v>-0.25660161195438147</v>
      </c>
      <c r="AU152" s="4">
        <f t="shared" ca="1" si="228"/>
        <v>-0.11147020219166646</v>
      </c>
      <c r="AV152" s="4">
        <f t="shared" ca="1" si="228"/>
        <v>-0.12854210247041603</v>
      </c>
      <c r="AW152" s="4">
        <f t="shared" ca="1" si="228"/>
        <v>-0.1500713726933878</v>
      </c>
      <c r="AX152" s="4">
        <f t="shared" ca="1" si="228"/>
        <v>-0.15605078721807469</v>
      </c>
      <c r="AY152" s="4">
        <f t="shared" ca="1" si="228"/>
        <v>-2.7382186575200759E-3</v>
      </c>
      <c r="AZ152" s="4">
        <f t="shared" ca="1" si="228"/>
        <v>2.6477991054132365E-3</v>
      </c>
    </row>
    <row r="153" spans="2:52" s="8" customFormat="1">
      <c r="B153" s="86"/>
      <c r="E153" s="81"/>
      <c r="F153" s="85"/>
      <c r="G153" s="85"/>
      <c r="H153" s="85"/>
      <c r="I153" s="85"/>
      <c r="J153" s="85"/>
      <c r="K153" s="85"/>
      <c r="L153" s="85"/>
      <c r="M153" s="85"/>
      <c r="N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5"/>
      <c r="AM153" s="85"/>
      <c r="AN153" s="85"/>
      <c r="AO153" s="85"/>
      <c r="AP153" s="85"/>
      <c r="AQ153" s="85"/>
      <c r="AR153" s="85"/>
      <c r="AS153" s="85"/>
      <c r="AT153" s="85"/>
      <c r="AU153" s="85"/>
      <c r="AV153" s="85"/>
      <c r="AW153" s="85"/>
      <c r="AX153" s="85"/>
      <c r="AY153" s="85"/>
      <c r="AZ153" s="85"/>
    </row>
    <row r="154" spans="2:52">
      <c r="B154" s="57" t="s">
        <v>109</v>
      </c>
      <c r="C154" s="56"/>
      <c r="D154" s="56"/>
      <c r="E154" s="56"/>
      <c r="F154" s="84"/>
      <c r="G154" s="84"/>
      <c r="H154" s="84"/>
      <c r="I154" s="84"/>
      <c r="J154" s="84"/>
      <c r="K154" s="83"/>
      <c r="L154" s="83"/>
      <c r="M154" s="83"/>
      <c r="N154" s="83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3"/>
      <c r="AL154" s="83"/>
      <c r="AM154" s="83"/>
      <c r="AN154" s="83"/>
      <c r="AO154" s="83"/>
      <c r="AP154" s="83"/>
      <c r="AQ154" s="83"/>
      <c r="AR154" s="83"/>
      <c r="AS154" s="83"/>
      <c r="AT154" s="83"/>
      <c r="AU154" s="83"/>
      <c r="AV154" s="83"/>
      <c r="AW154" s="83"/>
      <c r="AX154" s="83"/>
      <c r="AY154" s="83"/>
      <c r="AZ154" s="83"/>
    </row>
    <row r="155" spans="2:52">
      <c r="B155" s="3" t="s">
        <v>108</v>
      </c>
      <c r="F155" s="58"/>
      <c r="G155" s="58"/>
      <c r="H155" s="58"/>
      <c r="I155" s="58">
        <f t="shared" ref="I155:J156" si="229">I$128/I162</f>
        <v>-52.622615015823314</v>
      </c>
      <c r="J155" s="58">
        <f t="shared" si="229"/>
        <v>-62.817879865485935</v>
      </c>
      <c r="K155" s="58">
        <f t="shared" ref="K155:N158" ca="1" si="230">SUM(OFFSET($P155,0,K$1,1,4))</f>
        <v>-17.292408368168019</v>
      </c>
      <c r="L155" s="58">
        <f t="shared" ca="1" si="230"/>
        <v>-10.512885608202772</v>
      </c>
      <c r="M155" s="58">
        <f t="shared" ca="1" si="230"/>
        <v>-8.8539041215995837</v>
      </c>
      <c r="N155" s="58">
        <f t="shared" ca="1" si="230"/>
        <v>-4.5908248904505289</v>
      </c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>
        <f t="shared" ref="AN155" ca="1" si="231">AN$128/AN162</f>
        <v>-17.292408368168019</v>
      </c>
      <c r="AO155" s="58">
        <f t="shared" ref="AO155:AZ156" ca="1" si="232">AO$128/AO162</f>
        <v>-2.0810575766781771</v>
      </c>
      <c r="AP155" s="58">
        <f t="shared" ca="1" si="232"/>
        <v>-3.1252826438839469</v>
      </c>
      <c r="AQ155" s="58">
        <f t="shared" ca="1" si="232"/>
        <v>-2.3297189816610766</v>
      </c>
      <c r="AR155" s="58">
        <f t="shared" ca="1" si="232"/>
        <v>-2.9768264059795713</v>
      </c>
      <c r="AS155" s="58">
        <f t="shared" ca="1" si="232"/>
        <v>-2.6884641374945981</v>
      </c>
      <c r="AT155" s="58">
        <f t="shared" ca="1" si="232"/>
        <v>-2.9678493165865487</v>
      </c>
      <c r="AU155" s="58">
        <f t="shared" ca="1" si="232"/>
        <v>-1.5010776482895436</v>
      </c>
      <c r="AV155" s="58">
        <f t="shared" ca="1" si="232"/>
        <v>-1.6965130192288935</v>
      </c>
      <c r="AW155" s="58">
        <f t="shared" ca="1" si="232"/>
        <v>-1.971007102760977</v>
      </c>
      <c r="AX155" s="58">
        <f t="shared" ca="1" si="232"/>
        <v>-2.3226226755909742</v>
      </c>
      <c r="AY155" s="58">
        <f t="shared" ca="1" si="232"/>
        <v>-0.18940322810329727</v>
      </c>
      <c r="AZ155" s="58">
        <f t="shared" ca="1" si="232"/>
        <v>-0.10779188399528054</v>
      </c>
    </row>
    <row r="156" spans="2:52">
      <c r="B156" s="3" t="s">
        <v>107</v>
      </c>
      <c r="F156" s="58"/>
      <c r="G156" s="58"/>
      <c r="H156" s="58"/>
      <c r="I156" s="58">
        <f t="shared" si="229"/>
        <v>-52.622615015823314</v>
      </c>
      <c r="J156" s="58">
        <f t="shared" si="229"/>
        <v>-62.817879865485935</v>
      </c>
      <c r="K156" s="58">
        <f t="shared" ca="1" si="230"/>
        <v>-1.8264616199307395</v>
      </c>
      <c r="L156" s="58">
        <f t="shared" ca="1" si="230"/>
        <v>-10.306750596277228</v>
      </c>
      <c r="M156" s="58">
        <f t="shared" ca="1" si="230"/>
        <v>-8.6802981584309649</v>
      </c>
      <c r="N156" s="58">
        <f t="shared" ca="1" si="230"/>
        <v>-4.5008087161279695</v>
      </c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>
        <f t="shared" ref="AN156" ca="1" si="233">AN$128/AN163</f>
        <v>-1.8264616199307395</v>
      </c>
      <c r="AO156" s="58">
        <f t="shared" ca="1" si="232"/>
        <v>-2.0402525261550757</v>
      </c>
      <c r="AP156" s="58">
        <f t="shared" ca="1" si="232"/>
        <v>-3.0640025920430856</v>
      </c>
      <c r="AQ156" s="58">
        <f t="shared" ca="1" si="232"/>
        <v>-2.2840382173147811</v>
      </c>
      <c r="AR156" s="58">
        <f t="shared" ca="1" si="232"/>
        <v>-2.9184572607642858</v>
      </c>
      <c r="AS156" s="58">
        <f t="shared" ca="1" si="232"/>
        <v>-2.6357491544064682</v>
      </c>
      <c r="AT156" s="58">
        <f t="shared" ca="1" si="232"/>
        <v>-2.9096561927319105</v>
      </c>
      <c r="AU156" s="58">
        <f t="shared" ca="1" si="232"/>
        <v>-1.4716447532250425</v>
      </c>
      <c r="AV156" s="58">
        <f t="shared" ca="1" si="232"/>
        <v>-1.6632480580675426</v>
      </c>
      <c r="AW156" s="58">
        <f t="shared" ca="1" si="232"/>
        <v>-1.9323599046676245</v>
      </c>
      <c r="AX156" s="58">
        <f t="shared" ca="1" si="232"/>
        <v>-2.2770810545009552</v>
      </c>
      <c r="AY156" s="58">
        <f t="shared" ca="1" si="232"/>
        <v>-0.18568943931695811</v>
      </c>
      <c r="AZ156" s="58">
        <f t="shared" ca="1" si="232"/>
        <v>-0.10567831764243189</v>
      </c>
    </row>
    <row r="157" spans="2:52">
      <c r="B157" s="3" t="s">
        <v>106</v>
      </c>
      <c r="F157" s="58"/>
      <c r="G157" s="58"/>
      <c r="H157" s="58"/>
      <c r="I157" s="58">
        <f t="shared" ref="I157:J158" si="234">+I$147/I162</f>
        <v>-51.719507171190038</v>
      </c>
      <c r="J157" s="58">
        <f t="shared" si="234"/>
        <v>-61.542894468319815</v>
      </c>
      <c r="K157" s="58">
        <f t="shared" ca="1" si="230"/>
        <v>-16.236343963434273</v>
      </c>
      <c r="L157" s="58">
        <f t="shared" ca="1" si="230"/>
        <v>-10.084730116971047</v>
      </c>
      <c r="M157" s="58">
        <f t="shared" ca="1" si="230"/>
        <v>-8.3724143485040337</v>
      </c>
      <c r="N157" s="58">
        <f t="shared" ca="1" si="230"/>
        <v>-4.0400465779430226</v>
      </c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>
        <f t="shared" ref="AN157" ca="1" si="235">+AN$147/AN162</f>
        <v>-16.236343963434273</v>
      </c>
      <c r="AO157" s="58">
        <f t="shared" ref="AO157:AZ158" ca="1" si="236">+AO$147/AO162</f>
        <v>-1.9786906211540172</v>
      </c>
      <c r="AP157" s="58">
        <f t="shared" ca="1" si="236"/>
        <v>-3.0242943550672496</v>
      </c>
      <c r="AQ157" s="58">
        <f t="shared" ca="1" si="236"/>
        <v>-2.2159567968107643</v>
      </c>
      <c r="AR157" s="58">
        <f t="shared" ca="1" si="236"/>
        <v>-2.8657883439390153</v>
      </c>
      <c r="AS157" s="58">
        <f t="shared" ca="1" si="236"/>
        <v>-2.5864603116949758</v>
      </c>
      <c r="AT157" s="58">
        <f t="shared" ca="1" si="236"/>
        <v>-2.8494181082197594</v>
      </c>
      <c r="AU157" s="58">
        <f t="shared" ca="1" si="236"/>
        <v>-1.3699993118666578</v>
      </c>
      <c r="AV157" s="58">
        <f t="shared" ca="1" si="236"/>
        <v>-1.566536616722642</v>
      </c>
      <c r="AW157" s="58">
        <f t="shared" ca="1" si="236"/>
        <v>-1.8517470375658038</v>
      </c>
      <c r="AX157" s="58">
        <f t="shared" ca="1" si="236"/>
        <v>-2.1871581846658654</v>
      </c>
      <c r="AY157" s="58">
        <f t="shared" ca="1" si="236"/>
        <v>-4.1813237218340127E-2</v>
      </c>
      <c r="AZ157" s="58">
        <f t="shared" ca="1" si="236"/>
        <v>4.0671881506986939E-2</v>
      </c>
    </row>
    <row r="158" spans="2:52">
      <c r="B158" s="3" t="s">
        <v>105</v>
      </c>
      <c r="F158" s="58"/>
      <c r="G158" s="58"/>
      <c r="H158" s="58"/>
      <c r="I158" s="58">
        <f t="shared" si="234"/>
        <v>-51.719507171190038</v>
      </c>
      <c r="J158" s="58">
        <f t="shared" si="234"/>
        <v>-61.542894468319815</v>
      </c>
      <c r="K158" s="58">
        <f t="shared" ca="1" si="230"/>
        <v>-1.7149178105113498</v>
      </c>
      <c r="L158" s="58">
        <f t="shared" ca="1" si="230"/>
        <v>-9.8869903107559285</v>
      </c>
      <c r="M158" s="58">
        <f t="shared" ca="1" si="230"/>
        <v>-8.2082493612784653</v>
      </c>
      <c r="N158" s="58">
        <f t="shared" ca="1" si="230"/>
        <v>-3.960829978375513</v>
      </c>
      <c r="O158" s="82"/>
      <c r="P158" s="82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>
        <f t="shared" ref="AN158" ca="1" si="237">+AN$147/AN163</f>
        <v>-1.7149178105113498</v>
      </c>
      <c r="AO158" s="58">
        <f t="shared" ca="1" si="236"/>
        <v>-1.9398927658372718</v>
      </c>
      <c r="AP158" s="58">
        <f t="shared" ca="1" si="236"/>
        <v>-2.9649944657522056</v>
      </c>
      <c r="AQ158" s="58">
        <f t="shared" ca="1" si="236"/>
        <v>-2.1725066635399655</v>
      </c>
      <c r="AR158" s="58">
        <f t="shared" ca="1" si="236"/>
        <v>-2.8095964156264857</v>
      </c>
      <c r="AS158" s="58">
        <f t="shared" ca="1" si="236"/>
        <v>-2.5357454036225247</v>
      </c>
      <c r="AT158" s="58">
        <f t="shared" ca="1" si="236"/>
        <v>-2.7935471649213328</v>
      </c>
      <c r="AU158" s="58">
        <f t="shared" ca="1" si="236"/>
        <v>-1.343136580261429</v>
      </c>
      <c r="AV158" s="58">
        <f t="shared" ca="1" si="236"/>
        <v>-1.5358202124731783</v>
      </c>
      <c r="AW158" s="58">
        <f t="shared" ca="1" si="236"/>
        <v>-1.8154382721233373</v>
      </c>
      <c r="AX158" s="58">
        <f t="shared" ca="1" si="236"/>
        <v>-2.1442727300645741</v>
      </c>
      <c r="AY158" s="58">
        <f t="shared" ca="1" si="236"/>
        <v>-4.099336982190209E-2</v>
      </c>
      <c r="AZ158" s="58">
        <f t="shared" ca="1" si="236"/>
        <v>3.9874393634300918E-2</v>
      </c>
    </row>
    <row r="159" spans="2:52">
      <c r="B159" s="3" t="s">
        <v>380</v>
      </c>
      <c r="F159" s="58"/>
      <c r="G159" s="58"/>
      <c r="H159" s="58"/>
      <c r="I159" s="58">
        <f t="shared" ref="I159:N160" si="238">+I$150/I162</f>
        <v>-49.973052222629711</v>
      </c>
      <c r="J159" s="58">
        <f t="shared" si="238"/>
        <v>-57.89252437623886</v>
      </c>
      <c r="K159" s="58">
        <f t="shared" ca="1" si="238"/>
        <v>-8.43052330247607</v>
      </c>
      <c r="L159" s="58">
        <f t="shared" ca="1" si="238"/>
        <v>-10.088065451391987</v>
      </c>
      <c r="M159" s="58">
        <f t="shared" ca="1" si="238"/>
        <v>-8.3719973550420779</v>
      </c>
      <c r="N159" s="58">
        <f t="shared" ca="1" si="238"/>
        <v>-4.038744463255072</v>
      </c>
      <c r="O159" s="82"/>
      <c r="P159" s="82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>
        <f t="shared" ref="AN159" ca="1" si="239">+AN$150/AN162</f>
        <v>-16.236343963434273</v>
      </c>
      <c r="AO159" s="58">
        <f t="shared" ref="AO159:AZ160" ca="1" si="240">+AO$150/AO162</f>
        <v>-1.9786906211540172</v>
      </c>
      <c r="AP159" s="58">
        <f t="shared" ca="1" si="240"/>
        <v>-3.0242943550672496</v>
      </c>
      <c r="AQ159" s="58">
        <f t="shared" ca="1" si="240"/>
        <v>-2.2159567968107643</v>
      </c>
      <c r="AR159" s="58">
        <f t="shared" ca="1" si="240"/>
        <v>-2.8657883439390153</v>
      </c>
      <c r="AS159" s="58">
        <f t="shared" ca="1" si="240"/>
        <v>-2.5864603116949758</v>
      </c>
      <c r="AT159" s="58">
        <f t="shared" ca="1" si="240"/>
        <v>-2.8494181082197594</v>
      </c>
      <c r="AU159" s="58">
        <f t="shared" ca="1" si="240"/>
        <v>-1.3699993118666578</v>
      </c>
      <c r="AV159" s="58">
        <f t="shared" ca="1" si="240"/>
        <v>-1.566536616722642</v>
      </c>
      <c r="AW159" s="58">
        <f t="shared" ca="1" si="240"/>
        <v>-1.8517470375658038</v>
      </c>
      <c r="AX159" s="58">
        <f t="shared" ca="1" si="240"/>
        <v>-2.1871581846658654</v>
      </c>
      <c r="AY159" s="58">
        <f t="shared" ca="1" si="240"/>
        <v>-4.1813237218340127E-2</v>
      </c>
      <c r="AZ159" s="58">
        <f t="shared" ca="1" si="240"/>
        <v>4.0671881506986939E-2</v>
      </c>
    </row>
    <row r="160" spans="2:52">
      <c r="B160" s="3" t="s">
        <v>381</v>
      </c>
      <c r="F160" s="58"/>
      <c r="G160" s="58"/>
      <c r="H160" s="58"/>
      <c r="I160" s="58">
        <f t="shared" si="238"/>
        <v>-49.973052222629711</v>
      </c>
      <c r="J160" s="58">
        <f t="shared" si="238"/>
        <v>-57.89252437623886</v>
      </c>
      <c r="K160" s="58">
        <f t="shared" ca="1" si="238"/>
        <v>-79.817747119866041</v>
      </c>
      <c r="L160" s="58">
        <f t="shared" ca="1" si="238"/>
        <v>-9.8902602464627325</v>
      </c>
      <c r="M160" s="58">
        <f t="shared" ca="1" si="238"/>
        <v>-8.2078405441589002</v>
      </c>
      <c r="N160" s="58">
        <f t="shared" ca="1" si="238"/>
        <v>-3.9595533953481099</v>
      </c>
      <c r="O160" s="82"/>
      <c r="P160" s="82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>
        <f t="shared" ref="AN160" ca="1" si="241">+AN$150/AN163</f>
        <v>-1.7149178105113498</v>
      </c>
      <c r="AO160" s="58">
        <f t="shared" ca="1" si="240"/>
        <v>-1.9398927658372718</v>
      </c>
      <c r="AP160" s="58">
        <f t="shared" ca="1" si="240"/>
        <v>-2.9649944657522056</v>
      </c>
      <c r="AQ160" s="58">
        <f t="shared" ca="1" si="240"/>
        <v>-2.1725066635399655</v>
      </c>
      <c r="AR160" s="58">
        <f t="shared" ca="1" si="240"/>
        <v>-2.8095964156264857</v>
      </c>
      <c r="AS160" s="58">
        <f t="shared" ca="1" si="240"/>
        <v>-2.5357454036225247</v>
      </c>
      <c r="AT160" s="58">
        <f t="shared" ca="1" si="240"/>
        <v>-2.7935471649213328</v>
      </c>
      <c r="AU160" s="58">
        <f t="shared" ca="1" si="240"/>
        <v>-1.343136580261429</v>
      </c>
      <c r="AV160" s="58">
        <f t="shared" ca="1" si="240"/>
        <v>-1.5358202124731783</v>
      </c>
      <c r="AW160" s="58">
        <f t="shared" ca="1" si="240"/>
        <v>-1.8154382721233373</v>
      </c>
      <c r="AX160" s="58">
        <f t="shared" ca="1" si="240"/>
        <v>-2.1442727300645741</v>
      </c>
      <c r="AY160" s="58">
        <f t="shared" ca="1" si="240"/>
        <v>-4.099336982190209E-2</v>
      </c>
      <c r="AZ160" s="58">
        <f t="shared" ca="1" si="240"/>
        <v>3.9874393634300918E-2</v>
      </c>
    </row>
    <row r="161" spans="2:52">
      <c r="B161" s="3"/>
      <c r="F161" s="58"/>
      <c r="G161" s="58"/>
      <c r="H161" s="58"/>
      <c r="I161" s="58"/>
      <c r="J161" s="58"/>
      <c r="K161" s="58"/>
      <c r="L161" s="58"/>
      <c r="M161" s="58"/>
      <c r="N161" s="58"/>
      <c r="O161" s="82"/>
      <c r="P161" s="82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</row>
    <row r="162" spans="2:52" s="8" customFormat="1">
      <c r="B162" s="3" t="s">
        <v>104</v>
      </c>
      <c r="E162" s="81"/>
      <c r="F162" s="67"/>
      <c r="G162" s="67"/>
      <c r="H162" s="67"/>
      <c r="I162" s="58">
        <f t="shared" ref="I162:K163" si="242">+I165/7</f>
        <v>48.935462428571427</v>
      </c>
      <c r="J162" s="58">
        <f t="shared" si="242"/>
        <v>48.935462428571427</v>
      </c>
      <c r="K162" s="58">
        <f t="shared" si="242"/>
        <v>463.30675157142861</v>
      </c>
      <c r="L162" s="58">
        <f ca="1">+L$133/L155</f>
        <v>688.86239852213771</v>
      </c>
      <c r="M162" s="58">
        <f t="shared" ref="M162:N163" ca="1" si="243">+M$133/M155</f>
        <v>721.07615132256433</v>
      </c>
      <c r="N162" s="58">
        <f t="shared" ca="1" si="243"/>
        <v>727.18416958913917</v>
      </c>
      <c r="O162" s="58"/>
      <c r="P162" s="58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  <c r="AM162" s="67"/>
      <c r="AN162" s="58">
        <f>AN166/7</f>
        <v>48.935462428571427</v>
      </c>
      <c r="AO162" s="58">
        <f t="shared" ref="AO162:AZ162" si="244">AO166/7</f>
        <v>582.69599971428568</v>
      </c>
      <c r="AP162" s="58">
        <f t="shared" si="244"/>
        <v>712.96181128571425</v>
      </c>
      <c r="AQ162" s="58">
        <f t="shared" si="244"/>
        <v>715.10069671957137</v>
      </c>
      <c r="AR162" s="58">
        <f t="shared" si="244"/>
        <v>717.24599880972994</v>
      </c>
      <c r="AS162" s="58">
        <f t="shared" si="244"/>
        <v>719.39773680615906</v>
      </c>
      <c r="AT162" s="58">
        <f t="shared" si="244"/>
        <v>720.09142939857145</v>
      </c>
      <c r="AU162" s="58">
        <f t="shared" si="244"/>
        <v>722.25170368676697</v>
      </c>
      <c r="AV162" s="58">
        <f t="shared" si="244"/>
        <v>724.41845879782727</v>
      </c>
      <c r="AW162" s="58">
        <f t="shared" si="244"/>
        <v>726.59171417422078</v>
      </c>
      <c r="AX162" s="58">
        <f t="shared" si="244"/>
        <v>727.29234369255721</v>
      </c>
      <c r="AY162" s="58">
        <f t="shared" si="244"/>
        <v>729.47422072363474</v>
      </c>
      <c r="AZ162" s="58">
        <f t="shared" si="244"/>
        <v>731.66264338580561</v>
      </c>
    </row>
    <row r="163" spans="2:52">
      <c r="B163" s="3" t="s">
        <v>103</v>
      </c>
      <c r="F163" s="67"/>
      <c r="G163" s="67"/>
      <c r="H163" s="67"/>
      <c r="I163" s="58">
        <f t="shared" si="242"/>
        <v>48.935462428571427</v>
      </c>
      <c r="J163" s="58">
        <f t="shared" si="242"/>
        <v>48.935462428571427</v>
      </c>
      <c r="K163" s="58">
        <f t="shared" si="242"/>
        <v>48.935462428571427</v>
      </c>
      <c r="L163" s="58">
        <f ca="1">+L$133/L156</f>
        <v>702.63964649258048</v>
      </c>
      <c r="M163" s="58">
        <f t="shared" ca="1" si="243"/>
        <v>735.4976743490156</v>
      </c>
      <c r="N163" s="58">
        <f t="shared" ca="1" si="243"/>
        <v>741.72785298092197</v>
      </c>
      <c r="O163" s="58"/>
      <c r="P163" s="58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  <c r="AK163" s="67"/>
      <c r="AL163" s="67"/>
      <c r="AM163" s="67"/>
      <c r="AN163" s="58">
        <f>AN165/7</f>
        <v>463.30675157142861</v>
      </c>
      <c r="AO163" s="58">
        <f t="shared" ref="AO163:AZ163" si="245">AO165/7</f>
        <v>594.34991970857141</v>
      </c>
      <c r="AP163" s="58">
        <f t="shared" si="245"/>
        <v>727.22104751142854</v>
      </c>
      <c r="AQ163" s="58">
        <f t="shared" si="245"/>
        <v>729.40271065396269</v>
      </c>
      <c r="AR163" s="58">
        <f t="shared" si="245"/>
        <v>731.59091878592449</v>
      </c>
      <c r="AS163" s="58">
        <f t="shared" si="245"/>
        <v>733.78569154228239</v>
      </c>
      <c r="AT163" s="58">
        <f t="shared" si="245"/>
        <v>734.49325798654286</v>
      </c>
      <c r="AU163" s="58">
        <f t="shared" si="245"/>
        <v>736.6967377605024</v>
      </c>
      <c r="AV163" s="58">
        <f t="shared" si="245"/>
        <v>738.90682797378383</v>
      </c>
      <c r="AW163" s="58">
        <f t="shared" si="245"/>
        <v>741.12354845770517</v>
      </c>
      <c r="AX163" s="58">
        <f t="shared" si="245"/>
        <v>741.83819056640834</v>
      </c>
      <c r="AY163" s="58">
        <f t="shared" si="245"/>
        <v>744.06370513810737</v>
      </c>
      <c r="AZ163" s="58">
        <f t="shared" si="245"/>
        <v>746.29589625352185</v>
      </c>
    </row>
    <row r="164" spans="2:52">
      <c r="B164" s="3" t="s">
        <v>392</v>
      </c>
      <c r="F164" s="67"/>
      <c r="G164" s="67"/>
      <c r="H164" s="67"/>
      <c r="I164" s="67"/>
      <c r="J164" s="67"/>
      <c r="K164" s="67">
        <f t="shared" ref="K164" si="246">K163</f>
        <v>48.935462428571427</v>
      </c>
      <c r="L164" s="67"/>
      <c r="M164" s="67"/>
      <c r="N164" s="67"/>
      <c r="O164" s="58"/>
      <c r="P164" s="58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</row>
    <row r="165" spans="2:52">
      <c r="B165" s="3" t="s">
        <v>393</v>
      </c>
      <c r="F165" s="67"/>
      <c r="G165" s="67"/>
      <c r="H165" s="67"/>
      <c r="I165" s="59">
        <v>342.54823699999997</v>
      </c>
      <c r="J165" s="59">
        <v>342.54823699999997</v>
      </c>
      <c r="K165" s="59">
        <v>3243.1472610000001</v>
      </c>
      <c r="L165" s="58">
        <f ca="1">L163*7</f>
        <v>4918.4775254480637</v>
      </c>
      <c r="M165" s="58">
        <f t="shared" ref="M165:N165" ca="1" si="247">M163*7</f>
        <v>5148.4837204431096</v>
      </c>
      <c r="N165" s="58">
        <f t="shared" ca="1" si="247"/>
        <v>5192.0949708664539</v>
      </c>
      <c r="O165" s="58"/>
      <c r="P165" s="58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  <c r="AK165" s="67"/>
      <c r="AL165" s="67"/>
      <c r="AM165" s="67"/>
      <c r="AN165" s="67">
        <f>K165</f>
        <v>3243.1472610000001</v>
      </c>
      <c r="AO165" s="58">
        <f>AO166*(1+AO169)</f>
        <v>4160.4494379600001</v>
      </c>
      <c r="AP165" s="58">
        <f>AP166*(1+AP169)</f>
        <v>5090.5473325799994</v>
      </c>
      <c r="AQ165" s="58">
        <f t="shared" ref="AQ165:AZ165" si="248">AQ166*(1+AQ169)</f>
        <v>5105.818974577739</v>
      </c>
      <c r="AR165" s="58">
        <f t="shared" si="248"/>
        <v>5121.1364315014716</v>
      </c>
      <c r="AS165" s="58">
        <f t="shared" si="248"/>
        <v>5136.4998407959765</v>
      </c>
      <c r="AT165" s="58">
        <f t="shared" si="248"/>
        <v>5141.4528059058002</v>
      </c>
      <c r="AU165" s="58">
        <f t="shared" si="248"/>
        <v>5156.8771643235168</v>
      </c>
      <c r="AV165" s="58">
        <f t="shared" si="248"/>
        <v>5172.3477958164867</v>
      </c>
      <c r="AW165" s="58">
        <f t="shared" si="248"/>
        <v>5187.8648392039358</v>
      </c>
      <c r="AX165" s="58">
        <f t="shared" si="248"/>
        <v>5192.8673339648585</v>
      </c>
      <c r="AY165" s="58">
        <f t="shared" si="248"/>
        <v>5208.4459359667517</v>
      </c>
      <c r="AZ165" s="58">
        <f t="shared" si="248"/>
        <v>5224.0712737746526</v>
      </c>
    </row>
    <row r="166" spans="2:52">
      <c r="B166" s="3" t="s">
        <v>394</v>
      </c>
      <c r="F166" s="67"/>
      <c r="G166" s="67"/>
      <c r="H166" s="67"/>
      <c r="I166" s="59">
        <v>342.54823699999997</v>
      </c>
      <c r="J166" s="59">
        <v>342.54823699999997</v>
      </c>
      <c r="K166" s="59">
        <v>342.54823699999997</v>
      </c>
      <c r="L166" s="58">
        <f ca="1">L162*7</f>
        <v>4822.0367896549642</v>
      </c>
      <c r="M166" s="58">
        <f t="shared" ref="M166:N166" ca="1" si="249">M162*7</f>
        <v>5047.5330592579503</v>
      </c>
      <c r="N166" s="58">
        <f t="shared" ca="1" si="249"/>
        <v>5090.2891871239744</v>
      </c>
      <c r="O166" s="58"/>
      <c r="P166" s="58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  <c r="AK166" s="67"/>
      <c r="AL166" s="67"/>
      <c r="AM166" s="67"/>
      <c r="AN166" s="67">
        <f>K166</f>
        <v>342.54823699999997</v>
      </c>
      <c r="AO166" s="67">
        <f>SUM(Valuation!D45:E45)</f>
        <v>4078.8719980000001</v>
      </c>
      <c r="AP166" s="67">
        <f>SUM(Valuation!D56:E56)</f>
        <v>4990.7326789999997</v>
      </c>
      <c r="AQ166" s="58">
        <f>AP166*(1+AQ168)</f>
        <v>5005.7048770369993</v>
      </c>
      <c r="AR166" s="58">
        <f t="shared" ref="AR166:AS166" si="250">AQ166*(1+AR168)</f>
        <v>5020.7219916681097</v>
      </c>
      <c r="AS166" s="58">
        <f t="shared" si="250"/>
        <v>5035.7841576431138</v>
      </c>
      <c r="AT166" s="58">
        <f>AP166*(1+AT167)</f>
        <v>5040.64000579</v>
      </c>
      <c r="AU166" s="58">
        <f t="shared" ref="AU166:AZ166" si="251">AQ166*(1+AU167)</f>
        <v>5055.7619258073692</v>
      </c>
      <c r="AV166" s="58">
        <f t="shared" si="251"/>
        <v>5070.9292115847911</v>
      </c>
      <c r="AW166" s="58">
        <f t="shared" si="251"/>
        <v>5086.1419992195451</v>
      </c>
      <c r="AX166" s="58">
        <f t="shared" si="251"/>
        <v>5091.0464058479001</v>
      </c>
      <c r="AY166" s="58">
        <f t="shared" si="251"/>
        <v>5106.319545065443</v>
      </c>
      <c r="AZ166" s="58">
        <f t="shared" si="251"/>
        <v>5121.6385037006394</v>
      </c>
    </row>
    <row r="167" spans="2:52">
      <c r="B167" s="3" t="s">
        <v>102</v>
      </c>
      <c r="F167" s="67"/>
      <c r="G167" s="4"/>
      <c r="H167" s="4"/>
      <c r="I167" s="4"/>
      <c r="J167" s="4">
        <f t="shared" ref="J167:N167" si="252">J162/I162-1</f>
        <v>0</v>
      </c>
      <c r="K167" s="4">
        <f t="shared" si="252"/>
        <v>8.4677096849282592</v>
      </c>
      <c r="L167" s="4">
        <f t="shared" ca="1" si="252"/>
        <v>0.48683867909473988</v>
      </c>
      <c r="M167" s="4">
        <f t="shared" ca="1" si="252"/>
        <v>4.6763697466340126E-2</v>
      </c>
      <c r="N167" s="4">
        <f t="shared" ca="1" si="252"/>
        <v>8.4706979358168955E-3</v>
      </c>
      <c r="O167" s="58"/>
      <c r="P167" s="58"/>
      <c r="Q167" s="67"/>
      <c r="R167" s="4"/>
      <c r="S167" s="67"/>
      <c r="T167" s="67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66">
        <v>0.01</v>
      </c>
      <c r="AU167" s="66">
        <v>0.01</v>
      </c>
      <c r="AV167" s="66">
        <v>0.01</v>
      </c>
      <c r="AW167" s="66">
        <v>0.01</v>
      </c>
      <c r="AX167" s="66">
        <v>0.01</v>
      </c>
      <c r="AY167" s="66">
        <v>0.01</v>
      </c>
      <c r="AZ167" s="66">
        <v>0.01</v>
      </c>
    </row>
    <row r="168" spans="2:52">
      <c r="B168" s="3" t="s">
        <v>101</v>
      </c>
      <c r="F168" s="67"/>
      <c r="G168" s="67"/>
      <c r="H168" s="67"/>
      <c r="I168" s="67"/>
      <c r="J168" s="67"/>
      <c r="K168" s="67"/>
      <c r="L168" s="67"/>
      <c r="M168" s="67"/>
      <c r="N168" s="67"/>
      <c r="O168" s="58"/>
      <c r="P168" s="58"/>
      <c r="Q168" s="67"/>
      <c r="R168" s="4" t="e">
        <f t="shared" ref="R168:AZ168" si="253">R162/Q162-1</f>
        <v>#DIV/0!</v>
      </c>
      <c r="S168" s="4" t="e">
        <f t="shared" si="253"/>
        <v>#DIV/0!</v>
      </c>
      <c r="T168" s="4" t="e">
        <f t="shared" si="253"/>
        <v>#DIV/0!</v>
      </c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66">
        <v>3.0000000000000001E-3</v>
      </c>
      <c r="AR168" s="66">
        <v>3.0000000000000001E-3</v>
      </c>
      <c r="AS168" s="66">
        <v>3.0000000000000001E-3</v>
      </c>
      <c r="AT168" s="4">
        <f t="shared" si="253"/>
        <v>9.6426852201680902E-4</v>
      </c>
      <c r="AU168" s="4">
        <f t="shared" si="253"/>
        <v>2.9999999999996696E-3</v>
      </c>
      <c r="AV168" s="4">
        <f t="shared" si="253"/>
        <v>2.9999999999998916E-3</v>
      </c>
      <c r="AW168" s="4">
        <f t="shared" si="253"/>
        <v>3.0000000000001137E-3</v>
      </c>
      <c r="AX168" s="4">
        <f t="shared" si="253"/>
        <v>9.6426852201680902E-4</v>
      </c>
      <c r="AY168" s="4">
        <f t="shared" si="253"/>
        <v>2.9999999999998916E-3</v>
      </c>
      <c r="AZ168" s="4">
        <f t="shared" si="253"/>
        <v>2.9999999999998916E-3</v>
      </c>
    </row>
    <row r="169" spans="2:52">
      <c r="B169" s="3" t="s">
        <v>100</v>
      </c>
      <c r="F169" s="67"/>
      <c r="G169" s="4"/>
      <c r="H169" s="4"/>
      <c r="I169" s="4"/>
      <c r="J169" s="4">
        <f t="shared" ref="J169:N169" si="254">J163/J162-1</f>
        <v>0</v>
      </c>
      <c r="K169" s="4">
        <f t="shared" si="254"/>
        <v>-0.89437783442051355</v>
      </c>
      <c r="L169" s="4">
        <f t="shared" ca="1" si="254"/>
        <v>2.0000000000000018E-2</v>
      </c>
      <c r="M169" s="4">
        <f t="shared" ca="1" si="254"/>
        <v>2.0000000000000018E-2</v>
      </c>
      <c r="N169" s="4">
        <f t="shared" ca="1" si="254"/>
        <v>2.0000000000000018E-2</v>
      </c>
      <c r="O169" s="58"/>
      <c r="P169" s="58"/>
      <c r="Q169" s="67"/>
      <c r="R169" s="4" t="e">
        <f t="shared" ref="R169:AN169" si="255">R163/R162-1</f>
        <v>#DIV/0!</v>
      </c>
      <c r="S169" s="4" t="e">
        <f t="shared" si="255"/>
        <v>#DIV/0!</v>
      </c>
      <c r="T169" s="4" t="e">
        <f t="shared" si="255"/>
        <v>#DIV/0!</v>
      </c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f t="shared" si="255"/>
        <v>8.4677096849282592</v>
      </c>
      <c r="AO169" s="66">
        <v>0.02</v>
      </c>
      <c r="AP169" s="66">
        <f t="shared" ref="AP169:AZ169" si="256">AO169</f>
        <v>0.02</v>
      </c>
      <c r="AQ169" s="66">
        <f t="shared" si="256"/>
        <v>0.02</v>
      </c>
      <c r="AR169" s="66">
        <f t="shared" si="256"/>
        <v>0.02</v>
      </c>
      <c r="AS169" s="66">
        <f t="shared" si="256"/>
        <v>0.02</v>
      </c>
      <c r="AT169" s="66">
        <f t="shared" si="256"/>
        <v>0.02</v>
      </c>
      <c r="AU169" s="66">
        <f t="shared" si="256"/>
        <v>0.02</v>
      </c>
      <c r="AV169" s="66">
        <f t="shared" si="256"/>
        <v>0.02</v>
      </c>
      <c r="AW169" s="66">
        <f t="shared" si="256"/>
        <v>0.02</v>
      </c>
      <c r="AX169" s="66">
        <f t="shared" si="256"/>
        <v>0.02</v>
      </c>
      <c r="AY169" s="66">
        <f t="shared" si="256"/>
        <v>0.02</v>
      </c>
      <c r="AZ169" s="66">
        <f t="shared" si="256"/>
        <v>0.02</v>
      </c>
    </row>
    <row r="170" spans="2:52">
      <c r="F170" s="2"/>
      <c r="G170" s="2"/>
      <c r="H170" s="2"/>
      <c r="I170" s="2"/>
      <c r="J170" s="2"/>
      <c r="K170" s="80"/>
      <c r="L170" s="80"/>
      <c r="M170" s="80"/>
      <c r="N170" s="80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80"/>
      <c r="AL170" s="80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  <c r="AY170" s="80"/>
      <c r="AZ170" s="80"/>
    </row>
    <row r="171" spans="2:52">
      <c r="B171" s="57" t="s">
        <v>99</v>
      </c>
      <c r="C171" s="57"/>
      <c r="D171" s="57"/>
      <c r="E171" s="57"/>
      <c r="F171" s="57"/>
      <c r="G171" s="76"/>
      <c r="H171" s="76"/>
      <c r="I171" s="76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75"/>
      <c r="AN171" s="75"/>
      <c r="AO171" s="75"/>
      <c r="AP171" s="75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</row>
    <row r="172" spans="2:52">
      <c r="B172" s="3" t="s">
        <v>98</v>
      </c>
      <c r="C172" s="1" t="s">
        <v>88</v>
      </c>
      <c r="F172" s="67"/>
      <c r="G172" s="67"/>
      <c r="H172" s="67"/>
      <c r="I172" s="67">
        <v>5.8369999999999997</v>
      </c>
      <c r="J172" s="67">
        <v>9.4789999999999992</v>
      </c>
      <c r="K172" s="67">
        <v>34.895000000000003</v>
      </c>
      <c r="L172" s="58">
        <f t="shared" ref="L172:N174" ca="1" si="257">SUM(OFFSET($P172,0,L$1,1,4))</f>
        <v>41.774741026650332</v>
      </c>
      <c r="M172" s="58">
        <f t="shared" ca="1" si="257"/>
        <v>54.255464113458373</v>
      </c>
      <c r="N172" s="58">
        <f t="shared" ca="1" si="257"/>
        <v>69.167840184706762</v>
      </c>
      <c r="O172" s="58"/>
      <c r="P172" s="58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>
        <v>3.492</v>
      </c>
      <c r="AJ172" s="67">
        <v>2.984</v>
      </c>
      <c r="AK172" s="67">
        <v>10.695</v>
      </c>
      <c r="AL172" s="67">
        <v>7.9880000000000004</v>
      </c>
      <c r="AM172" s="67">
        <v>8.19</v>
      </c>
      <c r="AN172" s="67">
        <v>8.0220000000000002</v>
      </c>
      <c r="AO172" s="58">
        <f>Operating_Model!AO257</f>
        <v>8.5148694881103193</v>
      </c>
      <c r="AP172" s="58">
        <f>Operating_Model!AP257</f>
        <v>10.278114545946986</v>
      </c>
      <c r="AQ172" s="58">
        <f>Operating_Model!AQ257</f>
        <v>11.612916338428587</v>
      </c>
      <c r="AR172" s="58">
        <f>Operating_Model!AR257</f>
        <v>11.368840654164442</v>
      </c>
      <c r="AS172" s="58">
        <f>Operating_Model!AS257</f>
        <v>11.457367792224245</v>
      </c>
      <c r="AT172" s="58">
        <f>Operating_Model!AT257</f>
        <v>13.315366626734418</v>
      </c>
      <c r="AU172" s="58">
        <f>Operating_Model!AU257</f>
        <v>14.7815107078055</v>
      </c>
      <c r="AV172" s="58">
        <f>Operating_Model!AV257</f>
        <v>14.701218986694212</v>
      </c>
      <c r="AW172" s="58">
        <f>Operating_Model!AW257</f>
        <v>14.929419855608431</v>
      </c>
      <c r="AX172" s="58">
        <f>Operating_Model!AX257</f>
        <v>16.974302336075827</v>
      </c>
      <c r="AY172" s="58">
        <f>Operating_Model!AY257</f>
        <v>18.549162376657744</v>
      </c>
      <c r="AZ172" s="58">
        <f>Operating_Model!AZ257</f>
        <v>18.714955616364762</v>
      </c>
    </row>
    <row r="173" spans="2:52">
      <c r="B173" s="3" t="s">
        <v>97</v>
      </c>
      <c r="C173" s="1" t="s">
        <v>88</v>
      </c>
      <c r="F173" s="67"/>
      <c r="G173" s="67"/>
      <c r="H173" s="67"/>
      <c r="I173" s="67">
        <v>21.33</v>
      </c>
      <c r="J173" s="67">
        <v>30.446999999999999</v>
      </c>
      <c r="K173" s="67">
        <v>130.994</v>
      </c>
      <c r="L173" s="58">
        <f t="shared" ca="1" si="257"/>
        <v>165.52840406833815</v>
      </c>
      <c r="M173" s="58">
        <f t="shared" ca="1" si="257"/>
        <v>193.48386487572895</v>
      </c>
      <c r="N173" s="58">
        <f t="shared" ca="1" si="257"/>
        <v>219.25674543522456</v>
      </c>
      <c r="O173" s="58"/>
      <c r="P173" s="58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  <c r="AI173" s="67">
        <v>10.680999999999999</v>
      </c>
      <c r="AJ173" s="67">
        <v>8.3010000000000002</v>
      </c>
      <c r="AK173" s="67">
        <v>43.863</v>
      </c>
      <c r="AL173" s="67">
        <v>29.058</v>
      </c>
      <c r="AM173" s="67">
        <v>29.381</v>
      </c>
      <c r="AN173" s="67">
        <v>28.692</v>
      </c>
      <c r="AO173" s="58">
        <f t="shared" ref="AO173:AZ173" si="258">SUM($AK$173:$AN$173)/SUM($AK$173:$AN$174)*(AO175-AO172)</f>
        <v>33.739353556205735</v>
      </c>
      <c r="AP173" s="58">
        <f t="shared" si="258"/>
        <v>40.726042958275052</v>
      </c>
      <c r="AQ173" s="58">
        <f t="shared" si="258"/>
        <v>46.015067019874436</v>
      </c>
      <c r="AR173" s="58">
        <f t="shared" si="258"/>
        <v>45.047940533982938</v>
      </c>
      <c r="AS173" s="58">
        <f t="shared" si="258"/>
        <v>40.858848743906528</v>
      </c>
      <c r="AT173" s="58">
        <f t="shared" si="258"/>
        <v>47.484776681484604</v>
      </c>
      <c r="AU173" s="58">
        <f t="shared" si="258"/>
        <v>52.713286434476281</v>
      </c>
      <c r="AV173" s="58">
        <f t="shared" si="258"/>
        <v>52.426953015861535</v>
      </c>
      <c r="AW173" s="58">
        <f t="shared" si="258"/>
        <v>47.325115256388742</v>
      </c>
      <c r="AX173" s="58">
        <f t="shared" si="258"/>
        <v>53.807235794886104</v>
      </c>
      <c r="AY173" s="58">
        <f t="shared" si="258"/>
        <v>58.799421268538111</v>
      </c>
      <c r="AZ173" s="58">
        <f t="shared" si="258"/>
        <v>59.324973115411602</v>
      </c>
    </row>
    <row r="174" spans="2:52">
      <c r="B174" s="3" t="str">
        <f>+B107</f>
        <v>Research &amp; Development</v>
      </c>
      <c r="C174" s="1" t="s">
        <v>88</v>
      </c>
      <c r="F174" s="67"/>
      <c r="G174" s="67"/>
      <c r="H174" s="67"/>
      <c r="I174" s="67">
        <v>17.027000000000001</v>
      </c>
      <c r="J174" s="67">
        <v>22.466000000000001</v>
      </c>
      <c r="K174" s="67">
        <v>67.534999999999997</v>
      </c>
      <c r="L174" s="58">
        <f t="shared" ca="1" si="257"/>
        <v>85.339487066241347</v>
      </c>
      <c r="M174" s="58">
        <f t="shared" ca="1" si="257"/>
        <v>99.752147536393693</v>
      </c>
      <c r="N174" s="58">
        <f t="shared" ca="1" si="257"/>
        <v>113.03956137661183</v>
      </c>
      <c r="O174" s="58"/>
      <c r="P174" s="58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  <c r="AI174" s="67">
        <v>6.5369999999999999</v>
      </c>
      <c r="AJ174" s="67">
        <v>5.1050000000000004</v>
      </c>
      <c r="AK174" s="67">
        <v>23.074999999999999</v>
      </c>
      <c r="AL174" s="67">
        <v>14.24</v>
      </c>
      <c r="AM174" s="67">
        <v>15.255000000000001</v>
      </c>
      <c r="AN174" s="67">
        <v>14.965</v>
      </c>
      <c r="AO174" s="58">
        <f t="shared" ref="AO174" si="259">AO175-SUM(AO172:AO173)</f>
        <v>17.394592442542063</v>
      </c>
      <c r="AP174" s="58">
        <f t="shared" ref="AP174:AZ174" si="260">AP175-SUM(AP172:AP173)</f>
        <v>20.996635809175274</v>
      </c>
      <c r="AQ174" s="58">
        <f t="shared" si="260"/>
        <v>23.72343428849581</v>
      </c>
      <c r="AR174" s="58">
        <f t="shared" si="260"/>
        <v>23.2248245260282</v>
      </c>
      <c r="AS174" s="58">
        <f t="shared" si="260"/>
        <v>21.065104889687525</v>
      </c>
      <c r="AT174" s="58">
        <f t="shared" si="260"/>
        <v>24.481154810022318</v>
      </c>
      <c r="AU174" s="58">
        <f t="shared" si="260"/>
        <v>27.176754655574726</v>
      </c>
      <c r="AV174" s="58">
        <f t="shared" si="260"/>
        <v>27.029133181109131</v>
      </c>
      <c r="AW174" s="58">
        <f t="shared" si="260"/>
        <v>24.398840090692815</v>
      </c>
      <c r="AX174" s="58">
        <f t="shared" si="260"/>
        <v>27.740748961079376</v>
      </c>
      <c r="AY174" s="58">
        <f t="shared" si="260"/>
        <v>30.314509942216603</v>
      </c>
      <c r="AZ174" s="58">
        <f t="shared" si="260"/>
        <v>30.585462382623035</v>
      </c>
    </row>
    <row r="175" spans="2:52">
      <c r="B175" s="74" t="s">
        <v>87</v>
      </c>
      <c r="C175" s="36" t="s">
        <v>88</v>
      </c>
      <c r="D175" s="36"/>
      <c r="E175" s="36"/>
      <c r="F175" s="72"/>
      <c r="G175" s="72"/>
      <c r="H175" s="72"/>
      <c r="I175" s="72">
        <f t="shared" ref="I175:M175" si="261">SUM(I172:I174)</f>
        <v>44.194000000000003</v>
      </c>
      <c r="J175" s="72">
        <f t="shared" si="261"/>
        <v>62.392000000000003</v>
      </c>
      <c r="K175" s="72">
        <f t="shared" si="261"/>
        <v>233.42400000000001</v>
      </c>
      <c r="L175" s="72">
        <f t="shared" ca="1" si="261"/>
        <v>292.64263216122981</v>
      </c>
      <c r="M175" s="72">
        <f t="shared" ca="1" si="261"/>
        <v>347.49147652558099</v>
      </c>
      <c r="N175" s="72">
        <f t="shared" ref="N175" ca="1" si="262">SUM(N172:N174)</f>
        <v>401.46414699654315</v>
      </c>
      <c r="O175" s="58"/>
      <c r="P175" s="58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>
        <f t="shared" ref="AI175:AN175" si="263">SUM(AI172:AI174)</f>
        <v>20.709999999999997</v>
      </c>
      <c r="AJ175" s="72">
        <f t="shared" si="263"/>
        <v>16.39</v>
      </c>
      <c r="AK175" s="72">
        <f t="shared" si="263"/>
        <v>77.632999999999996</v>
      </c>
      <c r="AL175" s="72">
        <f t="shared" si="263"/>
        <v>51.286000000000001</v>
      </c>
      <c r="AM175" s="72">
        <f t="shared" si="263"/>
        <v>52.826000000000001</v>
      </c>
      <c r="AN175" s="72">
        <f t="shared" si="263"/>
        <v>51.679000000000002</v>
      </c>
      <c r="AO175" s="72">
        <f>Operating_Model!AO255</f>
        <v>59.648815486858119</v>
      </c>
      <c r="AP175" s="72">
        <f>Operating_Model!AP255</f>
        <v>72.00079331339731</v>
      </c>
      <c r="AQ175" s="72">
        <f>Operating_Model!AQ255</f>
        <v>81.351417646798836</v>
      </c>
      <c r="AR175" s="72">
        <f>Operating_Model!AR255</f>
        <v>79.641605714175583</v>
      </c>
      <c r="AS175" s="72">
        <f>Operating_Model!AS255</f>
        <v>73.3813214258183</v>
      </c>
      <c r="AT175" s="72">
        <f>Operating_Model!AT255</f>
        <v>85.281298118241338</v>
      </c>
      <c r="AU175" s="72">
        <f>Operating_Model!AU255</f>
        <v>94.671551797856509</v>
      </c>
      <c r="AV175" s="72">
        <f>Operating_Model!AV255</f>
        <v>94.157305183664874</v>
      </c>
      <c r="AW175" s="72">
        <f>Operating_Model!AW255</f>
        <v>86.653375202689986</v>
      </c>
      <c r="AX175" s="72">
        <f>Operating_Model!AX255</f>
        <v>98.52228709204131</v>
      </c>
      <c r="AY175" s="72">
        <f>Operating_Model!AY255</f>
        <v>107.66309358741246</v>
      </c>
      <c r="AZ175" s="72">
        <f>Operating_Model!AZ255</f>
        <v>108.62539111439941</v>
      </c>
    </row>
    <row r="176" spans="2:52">
      <c r="B176" s="52" t="s">
        <v>96</v>
      </c>
      <c r="F176" s="4"/>
      <c r="G176" s="4"/>
      <c r="H176" s="4"/>
      <c r="I176" s="4">
        <f t="shared" ref="I176:N176" ca="1" si="264">I175/I87</f>
        <v>8.8022823304288698E-3</v>
      </c>
      <c r="J176" s="4">
        <f t="shared" ca="1" si="264"/>
        <v>5.8815365803679678E-3</v>
      </c>
      <c r="K176" s="4">
        <f t="shared" ca="1" si="264"/>
        <v>1.4228691817156287E-2</v>
      </c>
      <c r="L176" s="4">
        <f t="shared" ca="1" si="264"/>
        <v>1.2357212670954559E-2</v>
      </c>
      <c r="M176" s="4">
        <f t="shared" ca="1" si="264"/>
        <v>1.1297890637056258E-2</v>
      </c>
      <c r="N176" s="4">
        <f t="shared" ca="1" si="264"/>
        <v>1.0238568603157951E-2</v>
      </c>
      <c r="O176" s="58"/>
      <c r="P176" s="58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>
        <f t="shared" ref="AI176:AZ176" si="265">AI175/AI87</f>
        <v>6.7344616257928687E-3</v>
      </c>
      <c r="AJ176" s="4">
        <f t="shared" si="265"/>
        <v>5.5029000948279621E-3</v>
      </c>
      <c r="AK176" s="4">
        <f t="shared" si="265"/>
        <v>2.5041868463489447E-2</v>
      </c>
      <c r="AL176" s="4">
        <f t="shared" si="265"/>
        <v>1.2557647697848558E-2</v>
      </c>
      <c r="AM176" s="4">
        <f t="shared" si="265"/>
        <v>1.1303667823105252E-2</v>
      </c>
      <c r="AN176" s="4">
        <f t="shared" si="265"/>
        <v>1.1363919187728212E-2</v>
      </c>
      <c r="AO176" s="4">
        <f t="shared" si="265"/>
        <v>1.2357212670954562E-2</v>
      </c>
      <c r="AP176" s="4">
        <f t="shared" si="265"/>
        <v>1.2357212670954562E-2</v>
      </c>
      <c r="AQ176" s="4">
        <f t="shared" si="265"/>
        <v>1.2357212670954562E-2</v>
      </c>
      <c r="AR176" s="4">
        <f t="shared" si="265"/>
        <v>1.235721267095456E-2</v>
      </c>
      <c r="AS176" s="4">
        <f t="shared" si="265"/>
        <v>1.1297890637056256E-2</v>
      </c>
      <c r="AT176" s="4">
        <f t="shared" si="265"/>
        <v>1.1297890637056258E-2</v>
      </c>
      <c r="AU176" s="4">
        <f t="shared" si="265"/>
        <v>1.1297890637056258E-2</v>
      </c>
      <c r="AV176" s="4">
        <f t="shared" si="265"/>
        <v>1.1297890637056258E-2</v>
      </c>
      <c r="AW176" s="4">
        <f t="shared" si="265"/>
        <v>1.0238568603157952E-2</v>
      </c>
      <c r="AX176" s="4">
        <f t="shared" si="265"/>
        <v>1.0238568603157951E-2</v>
      </c>
      <c r="AY176" s="4">
        <f t="shared" si="265"/>
        <v>1.0238568603157952E-2</v>
      </c>
      <c r="AZ176" s="4">
        <f t="shared" si="265"/>
        <v>1.0238568603157952E-2</v>
      </c>
    </row>
    <row r="177" spans="2:52">
      <c r="B177" s="52" t="s">
        <v>95</v>
      </c>
      <c r="F177" s="4"/>
      <c r="G177" s="4"/>
      <c r="H177" s="4"/>
      <c r="I177" s="4">
        <f t="shared" ref="I177:N177" si="266">I175/I147</f>
        <v>-1.7461648303105828E-2</v>
      </c>
      <c r="J177" s="4">
        <f t="shared" si="266"/>
        <v>-2.0717020351105543E-2</v>
      </c>
      <c r="K177" s="4">
        <f t="shared" ca="1" si="266"/>
        <v>-6.6625793347696166E-2</v>
      </c>
      <c r="L177" s="4">
        <f t="shared" ca="1" si="266"/>
        <v>-4.2111161833527699E-2</v>
      </c>
      <c r="M177" s="4">
        <f t="shared" ca="1" si="266"/>
        <v>-5.756174376563386E-2</v>
      </c>
      <c r="N177" s="4">
        <f t="shared" ca="1" si="266"/>
        <v>-0.1366960529982375</v>
      </c>
      <c r="O177" s="58"/>
      <c r="P177" s="58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>
        <f t="shared" ref="AI177:AZ177" si="267">AI175/AI147</f>
        <v>-3.6932547721630953E-2</v>
      </c>
      <c r="AJ177" s="4">
        <f t="shared" si="267"/>
        <v>-2.1846458980907344E-2</v>
      </c>
      <c r="AK177" s="4">
        <f t="shared" ca="1" si="267"/>
        <v>-8.0630352732477137E-2</v>
      </c>
      <c r="AL177" s="4">
        <f t="shared" ca="1" si="267"/>
        <v>-5.4555221657846487E-2</v>
      </c>
      <c r="AM177" s="4">
        <f t="shared" ca="1" si="267"/>
        <v>-5.2066557196728508E-2</v>
      </c>
      <c r="AN177" s="4">
        <f t="shared" ca="1" si="267"/>
        <v>-6.5043239236129882E-2</v>
      </c>
      <c r="AO177" s="4">
        <f t="shared" ca="1" si="267"/>
        <v>-5.1734694868294809E-2</v>
      </c>
      <c r="AP177" s="4">
        <f t="shared" ca="1" si="267"/>
        <v>-3.3392347754605922E-2</v>
      </c>
      <c r="AQ177" s="4">
        <f t="shared" ca="1" si="267"/>
        <v>-5.1337726897040678E-2</v>
      </c>
      <c r="AR177" s="4">
        <f t="shared" ca="1" si="267"/>
        <v>-3.87460791636604E-2</v>
      </c>
      <c r="AS177" s="4">
        <f t="shared" ca="1" si="267"/>
        <v>-3.9437614928170675E-2</v>
      </c>
      <c r="AT177" s="4">
        <f t="shared" ca="1" si="267"/>
        <v>-4.1563296037583596E-2</v>
      </c>
      <c r="AU177" s="4">
        <f t="shared" ca="1" si="267"/>
        <v>-9.5677665884582375E-2</v>
      </c>
      <c r="AV177" s="4">
        <f t="shared" ca="1" si="267"/>
        <v>-8.2970548609438727E-2</v>
      </c>
      <c r="AW177" s="4">
        <f t="shared" ca="1" si="267"/>
        <v>-6.4404080457957716E-2</v>
      </c>
      <c r="AX177" s="4">
        <f t="shared" ca="1" si="267"/>
        <v>-6.1936302492818347E-2</v>
      </c>
      <c r="AY177" s="4">
        <f t="shared" ca="1" si="267"/>
        <v>-3.5297432273486153</v>
      </c>
      <c r="AZ177" s="4">
        <f t="shared" ca="1" si="267"/>
        <v>3.6502802427953376</v>
      </c>
    </row>
    <row r="178" spans="2:52">
      <c r="B178" s="3"/>
      <c r="F178" s="2"/>
      <c r="G178" s="2"/>
      <c r="H178" s="2"/>
      <c r="I178" s="2"/>
      <c r="J178" s="2"/>
      <c r="K178" s="2"/>
      <c r="L178" s="2"/>
      <c r="M178" s="2"/>
      <c r="N178" s="2"/>
      <c r="O178" s="58"/>
      <c r="P178" s="58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</row>
    <row r="179" spans="2:52">
      <c r="B179" s="79" t="s">
        <v>94</v>
      </c>
      <c r="C179" s="57"/>
      <c r="D179" s="57"/>
      <c r="E179" s="57"/>
      <c r="F179" s="77"/>
      <c r="G179" s="77"/>
      <c r="H179" s="77"/>
      <c r="I179" s="77"/>
      <c r="J179" s="77"/>
      <c r="K179" s="77"/>
      <c r="L179" s="77"/>
      <c r="M179" s="77"/>
      <c r="N179" s="77"/>
      <c r="O179" s="78"/>
      <c r="P179" s="78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</row>
    <row r="180" spans="2:52">
      <c r="B180" s="3" t="s">
        <v>367</v>
      </c>
      <c r="F180" s="58"/>
      <c r="G180" s="58"/>
      <c r="H180" s="58"/>
      <c r="I180" s="58">
        <f>'IQ_BS + CFS'!I179</f>
        <v>222.19499999999999</v>
      </c>
      <c r="J180" s="58">
        <f>'IQ_BS + CFS'!J179</f>
        <v>306.495</v>
      </c>
      <c r="K180" s="58">
        <f>'IQ_BS + CFS'!K179</f>
        <v>348.92099999999999</v>
      </c>
      <c r="L180" s="58">
        <f t="shared" ref="L180:N181" ca="1" si="268">SUM(OFFSET($P180,0,L$1,1,4))</f>
        <v>513.51479773588142</v>
      </c>
      <c r="M180" s="58">
        <f t="shared" ca="1" si="268"/>
        <v>815.95202706012265</v>
      </c>
      <c r="N180" s="58">
        <f t="shared" ca="1" si="268"/>
        <v>1075.0135995931466</v>
      </c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>
        <f>'IQ_BS + CFS'!AC179</f>
        <v>55.548749999999998</v>
      </c>
      <c r="AD180" s="58">
        <f>'IQ_BS + CFS'!AD179</f>
        <v>55.548749999999998</v>
      </c>
      <c r="AE180" s="58">
        <f>'IQ_BS + CFS'!AE179</f>
        <v>55.548749999999998</v>
      </c>
      <c r="AF180" s="58">
        <f>'IQ_BS + CFS'!AF179</f>
        <v>55.548749999999998</v>
      </c>
      <c r="AG180" s="58">
        <f>'IQ_BS + CFS'!AG179</f>
        <v>76.623750000000001</v>
      </c>
      <c r="AH180" s="58">
        <f>'IQ_BS + CFS'!AH179</f>
        <v>76.623750000000001</v>
      </c>
      <c r="AI180" s="58">
        <f>'IQ_BS + CFS'!AI179</f>
        <v>76.623750000000001</v>
      </c>
      <c r="AJ180" s="58">
        <f>'IQ_BS + CFS'!AJ179</f>
        <v>76.623750000000001</v>
      </c>
      <c r="AK180" s="58">
        <f>'IQ_BS + CFS'!AK179</f>
        <v>87.230249999999998</v>
      </c>
      <c r="AL180" s="58">
        <f>'IQ_BS + CFS'!AL179</f>
        <v>87.230249999999998</v>
      </c>
      <c r="AM180" s="58">
        <f>'IQ_BS + CFS'!AM179</f>
        <v>87.230249999999998</v>
      </c>
      <c r="AN180" s="58">
        <f>'IQ_BS + CFS'!AN179</f>
        <v>87.230249999999998</v>
      </c>
      <c r="AO180" s="58">
        <f ca="1">'IQ_BS + CFS'!AO179</f>
        <v>99.917440000000056</v>
      </c>
      <c r="AP180" s="58">
        <f ca="1">'IQ_BS + CFS'!AP179</f>
        <v>116.6298263370969</v>
      </c>
      <c r="AQ180" s="58">
        <f ca="1">'IQ_BS + CFS'!AQ179</f>
        <v>137.121254051233</v>
      </c>
      <c r="AR180" s="58">
        <f ca="1">'IQ_BS + CFS'!AR179</f>
        <v>159.84627734755142</v>
      </c>
      <c r="AS180" s="58">
        <f ca="1">'IQ_BS + CFS'!AS179</f>
        <v>180.04511640081404</v>
      </c>
      <c r="AT180" s="58">
        <f ca="1">'IQ_BS + CFS'!AT179</f>
        <v>193.89839841880371</v>
      </c>
      <c r="AU180" s="58">
        <f ca="1">'IQ_BS + CFS'!AU179</f>
        <v>211.22573312526296</v>
      </c>
      <c r="AV180" s="58">
        <f ca="1">'IQ_BS + CFS'!AV179</f>
        <v>230.78277911524196</v>
      </c>
      <c r="AW180" s="58">
        <f ca="1">'IQ_BS + CFS'!AW179</f>
        <v>248.57724086150139</v>
      </c>
      <c r="AX180" s="58">
        <f ca="1">'IQ_BS + CFS'!AX179</f>
        <v>259.98796606587081</v>
      </c>
      <c r="AY180" s="58">
        <f ca="1">'IQ_BS + CFS'!AY179</f>
        <v>274.77256993014873</v>
      </c>
      <c r="AZ180" s="58">
        <f ca="1">'IQ_BS + CFS'!AZ179</f>
        <v>291.67582273562567</v>
      </c>
    </row>
    <row r="181" spans="2:52">
      <c r="B181" s="3" t="s">
        <v>91</v>
      </c>
      <c r="F181" s="58"/>
      <c r="G181" s="58"/>
      <c r="H181" s="58"/>
      <c r="I181" s="58">
        <f>'IQ_BS + CFS'!I180</f>
        <v>172.78800000000001</v>
      </c>
      <c r="J181" s="58">
        <f>'IQ_BS + CFS'!J180</f>
        <v>102.242</v>
      </c>
      <c r="K181" s="58">
        <f>'IQ_BS + CFS'!K180</f>
        <v>112.86</v>
      </c>
      <c r="L181" s="58">
        <f t="shared" ca="1" si="268"/>
        <v>123.96697715092357</v>
      </c>
      <c r="M181" s="58">
        <f t="shared" ca="1" si="268"/>
        <v>137.7609720277498</v>
      </c>
      <c r="N181" s="58">
        <f t="shared" ca="1" si="268"/>
        <v>158.16138506015449</v>
      </c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>
        <f>'IQ_BS + CFS'!AC180</f>
        <v>43.197000000000003</v>
      </c>
      <c r="AD181" s="58">
        <f>'IQ_BS + CFS'!AD180</f>
        <v>43.197000000000003</v>
      </c>
      <c r="AE181" s="58">
        <f>'IQ_BS + CFS'!AE180</f>
        <v>43.197000000000003</v>
      </c>
      <c r="AF181" s="58">
        <f>'IQ_BS + CFS'!AF180</f>
        <v>43.197000000000003</v>
      </c>
      <c r="AG181" s="58">
        <f>'IQ_BS + CFS'!AG180</f>
        <v>25.560500000000001</v>
      </c>
      <c r="AH181" s="58">
        <f>'IQ_BS + CFS'!AH180</f>
        <v>25.560500000000001</v>
      </c>
      <c r="AI181" s="58">
        <f>'IQ_BS + CFS'!AI180</f>
        <v>25.560500000000001</v>
      </c>
      <c r="AJ181" s="58">
        <f>'IQ_BS + CFS'!AJ180</f>
        <v>25.560500000000001</v>
      </c>
      <c r="AK181" s="58">
        <f>'IQ_BS + CFS'!AK180</f>
        <v>28.215</v>
      </c>
      <c r="AL181" s="58">
        <f>'IQ_BS + CFS'!AL180</f>
        <v>28.215</v>
      </c>
      <c r="AM181" s="58">
        <f>'IQ_BS + CFS'!AM180</f>
        <v>28.215</v>
      </c>
      <c r="AN181" s="58">
        <f>'IQ_BS + CFS'!AN180</f>
        <v>28.215</v>
      </c>
      <c r="AO181" s="58">
        <f ca="1">'IQ_BS + CFS'!AO180</f>
        <v>30.230849615551982</v>
      </c>
      <c r="AP181" s="58">
        <f ca="1">'IQ_BS + CFS'!AP180</f>
        <v>30.448798757148463</v>
      </c>
      <c r="AQ181" s="58">
        <f ca="1">'IQ_BS + CFS'!AQ180</f>
        <v>31.138653481370973</v>
      </c>
      <c r="AR181" s="58">
        <f ca="1">'IQ_BS + CFS'!AR180</f>
        <v>32.148675296852147</v>
      </c>
      <c r="AS181" s="58">
        <f ca="1">'IQ_BS + CFS'!AS180</f>
        <v>33.019903198295779</v>
      </c>
      <c r="AT181" s="58">
        <f ca="1">'IQ_BS + CFS'!AT180</f>
        <v>33.695739409653058</v>
      </c>
      <c r="AU181" s="58">
        <f ca="1">'IQ_BS + CFS'!AU180</f>
        <v>34.811652059307349</v>
      </c>
      <c r="AV181" s="58">
        <f ca="1">'IQ_BS + CFS'!AV180</f>
        <v>36.233677360493623</v>
      </c>
      <c r="AW181" s="58">
        <f ca="1">'IQ_BS + CFS'!AW180</f>
        <v>37.534181815034131</v>
      </c>
      <c r="AX181" s="58">
        <f ca="1">'IQ_BS + CFS'!AX180</f>
        <v>38.606758748391897</v>
      </c>
      <c r="AY181" s="58">
        <f ca="1">'IQ_BS + CFS'!AY180</f>
        <v>40.113611385261997</v>
      </c>
      <c r="AZ181" s="58">
        <f ca="1">'IQ_BS + CFS'!AZ180</f>
        <v>41.90683311146644</v>
      </c>
    </row>
    <row r="182" spans="2:52">
      <c r="B182" s="74" t="s">
        <v>87</v>
      </c>
      <c r="C182" s="36"/>
      <c r="D182" s="36"/>
      <c r="E182" s="36"/>
      <c r="F182" s="72"/>
      <c r="G182" s="72"/>
      <c r="H182" s="72"/>
      <c r="I182" s="72">
        <f>SUM(I180:I181)</f>
        <v>394.983</v>
      </c>
      <c r="J182" s="72">
        <f t="shared" ref="J182:K182" si="269">SUM(J180:J181)</f>
        <v>408.73700000000002</v>
      </c>
      <c r="K182" s="72">
        <f t="shared" si="269"/>
        <v>461.78100000000001</v>
      </c>
      <c r="L182" s="72">
        <f t="shared" ref="L182:N182" ca="1" si="270">SUM(L180:L181)</f>
        <v>637.48177488680494</v>
      </c>
      <c r="M182" s="72">
        <f t="shared" ca="1" si="270"/>
        <v>953.7129990878725</v>
      </c>
      <c r="N182" s="72">
        <f t="shared" ca="1" si="270"/>
        <v>1233.1749846533012</v>
      </c>
      <c r="O182" s="58"/>
      <c r="P182" s="58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>
        <f t="shared" ref="AC182:AZ182" si="271">SUM(AC180:AC181)</f>
        <v>98.745750000000001</v>
      </c>
      <c r="AD182" s="72">
        <f t="shared" si="271"/>
        <v>98.745750000000001</v>
      </c>
      <c r="AE182" s="72">
        <f t="shared" si="271"/>
        <v>98.745750000000001</v>
      </c>
      <c r="AF182" s="72">
        <f t="shared" si="271"/>
        <v>98.745750000000001</v>
      </c>
      <c r="AG182" s="72">
        <f t="shared" si="271"/>
        <v>102.18425000000001</v>
      </c>
      <c r="AH182" s="72">
        <f t="shared" si="271"/>
        <v>102.18425000000001</v>
      </c>
      <c r="AI182" s="72">
        <f t="shared" si="271"/>
        <v>102.18425000000001</v>
      </c>
      <c r="AJ182" s="72">
        <f t="shared" si="271"/>
        <v>102.18425000000001</v>
      </c>
      <c r="AK182" s="72">
        <f t="shared" si="271"/>
        <v>115.44525</v>
      </c>
      <c r="AL182" s="72">
        <f t="shared" si="271"/>
        <v>115.44525</v>
      </c>
      <c r="AM182" s="72">
        <f t="shared" si="271"/>
        <v>115.44525</v>
      </c>
      <c r="AN182" s="72">
        <f t="shared" si="271"/>
        <v>115.44525</v>
      </c>
      <c r="AO182" s="72">
        <f t="shared" ca="1" si="271"/>
        <v>130.14828961555205</v>
      </c>
      <c r="AP182" s="72">
        <f t="shared" ca="1" si="271"/>
        <v>147.07862509424535</v>
      </c>
      <c r="AQ182" s="72">
        <f t="shared" ca="1" si="271"/>
        <v>168.25990753260396</v>
      </c>
      <c r="AR182" s="72">
        <f t="shared" ca="1" si="271"/>
        <v>191.99495264440355</v>
      </c>
      <c r="AS182" s="72">
        <f t="shared" ca="1" si="271"/>
        <v>213.0650195991098</v>
      </c>
      <c r="AT182" s="72">
        <f t="shared" ca="1" si="271"/>
        <v>227.59413782845678</v>
      </c>
      <c r="AU182" s="72">
        <f t="shared" ca="1" si="271"/>
        <v>246.03738518457033</v>
      </c>
      <c r="AV182" s="72">
        <f t="shared" ca="1" si="271"/>
        <v>267.01645647573559</v>
      </c>
      <c r="AW182" s="72">
        <f t="shared" ca="1" si="271"/>
        <v>286.11142267653554</v>
      </c>
      <c r="AX182" s="72">
        <f t="shared" ca="1" si="271"/>
        <v>298.59472481426269</v>
      </c>
      <c r="AY182" s="72">
        <f t="shared" ca="1" si="271"/>
        <v>314.88618131541074</v>
      </c>
      <c r="AZ182" s="72">
        <f t="shared" ca="1" si="271"/>
        <v>333.5826558470921</v>
      </c>
    </row>
    <row r="183" spans="2:52">
      <c r="F183" s="2"/>
      <c r="G183" s="2"/>
      <c r="H183" s="2"/>
      <c r="I183" s="2"/>
      <c r="J183" s="2"/>
      <c r="K183" s="2"/>
      <c r="L183" s="2"/>
      <c r="M183" s="2"/>
      <c r="N183" s="2"/>
      <c r="O183" s="58"/>
      <c r="P183" s="58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</row>
    <row r="184" spans="2:52">
      <c r="B184" s="57" t="s">
        <v>90</v>
      </c>
      <c r="C184" s="57"/>
      <c r="D184" s="57"/>
      <c r="E184" s="57"/>
      <c r="F184" s="57"/>
      <c r="G184" s="76"/>
      <c r="H184" s="76"/>
      <c r="I184" s="76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75"/>
      <c r="AN184" s="75"/>
      <c r="AO184" s="75"/>
      <c r="AP184" s="75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</row>
    <row r="185" spans="2:52">
      <c r="B185" s="1" t="s">
        <v>89</v>
      </c>
      <c r="F185" s="2"/>
      <c r="G185" s="2"/>
      <c r="H185" s="2"/>
      <c r="I185" s="2"/>
      <c r="J185" s="2"/>
      <c r="K185" s="2"/>
      <c r="L185" s="2"/>
      <c r="M185" s="2"/>
      <c r="N185" s="2"/>
      <c r="O185" s="58"/>
      <c r="P185" s="58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</row>
    <row r="186" spans="2:52">
      <c r="B186" s="3" t="s">
        <v>29</v>
      </c>
      <c r="C186" s="1" t="s">
        <v>88</v>
      </c>
      <c r="F186" s="67"/>
      <c r="G186" s="67"/>
      <c r="H186" s="67"/>
      <c r="I186" s="67">
        <v>1032</v>
      </c>
      <c r="J186" s="67">
        <v>1524.5</v>
      </c>
      <c r="K186" s="67">
        <v>2217</v>
      </c>
      <c r="L186" s="58">
        <f ca="1">SUM(OFFSET($P186,0,L$1,1,4))</f>
        <v>2675.6644964079933</v>
      </c>
      <c r="M186" s="58">
        <f ca="1">SUM(OFFSET($P186,0,M$1,1,4))</f>
        <v>3298.587807784234</v>
      </c>
      <c r="N186" s="58">
        <f ca="1">SUM(OFFSET($P186,0,N$1,1,4))</f>
        <v>3988.3510341022538</v>
      </c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>
        <f t="shared" ref="AI186:AN186" si="272">+AI194-AI190</f>
        <v>343.1619</v>
      </c>
      <c r="AJ186" s="58">
        <f t="shared" si="272"/>
        <v>433.20709999999997</v>
      </c>
      <c r="AK186" s="58">
        <f t="shared" si="272"/>
        <v>374.63574199999999</v>
      </c>
      <c r="AL186" s="58">
        <f t="shared" si="272"/>
        <v>471.87551600000006</v>
      </c>
      <c r="AM186" s="58">
        <f t="shared" si="272"/>
        <v>598.81701199999998</v>
      </c>
      <c r="AN186" s="58">
        <f t="shared" si="272"/>
        <v>600.75709600000005</v>
      </c>
      <c r="AO186" s="58">
        <f t="shared" ref="AO186:AZ186" ca="1" si="273">+AO105+AO$173*AO197</f>
        <v>614.31610100970056</v>
      </c>
      <c r="AP186" s="58">
        <f t="shared" ca="1" si="273"/>
        <v>648.15816183783988</v>
      </c>
      <c r="AQ186" s="58">
        <f t="shared" ca="1" si="273"/>
        <v>661.96738679942075</v>
      </c>
      <c r="AR186" s="58">
        <f t="shared" ca="1" si="273"/>
        <v>751.22284676103197</v>
      </c>
      <c r="AS186" s="58">
        <f t="shared" ca="1" si="273"/>
        <v>783.59167370681359</v>
      </c>
      <c r="AT186" s="58">
        <f t="shared" ca="1" si="273"/>
        <v>795.82556131815363</v>
      </c>
      <c r="AU186" s="58">
        <f t="shared" ca="1" si="273"/>
        <v>798.43293767041848</v>
      </c>
      <c r="AV186" s="58">
        <f t="shared" ca="1" si="273"/>
        <v>920.73763508884815</v>
      </c>
      <c r="AW186" s="58">
        <f t="shared" ca="1" si="273"/>
        <v>967.58917244956831</v>
      </c>
      <c r="AX186" s="58">
        <f t="shared" ca="1" si="273"/>
        <v>961.1460029764404</v>
      </c>
      <c r="AY186" s="58">
        <f t="shared" ca="1" si="273"/>
        <v>949.05170397187624</v>
      </c>
      <c r="AZ186" s="58">
        <f t="shared" ca="1" si="273"/>
        <v>1110.5641547043685</v>
      </c>
    </row>
    <row r="187" spans="2:52">
      <c r="B187" s="52" t="s">
        <v>412</v>
      </c>
      <c r="C187" s="1" t="s">
        <v>88</v>
      </c>
      <c r="F187" s="67"/>
      <c r="G187" s="67"/>
      <c r="H187" s="67"/>
      <c r="I187" s="67">
        <v>536.9</v>
      </c>
      <c r="J187" s="67">
        <v>907.9</v>
      </c>
      <c r="K187" s="67">
        <v>1373.3</v>
      </c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8"/>
    </row>
    <row r="188" spans="2:52">
      <c r="B188" s="52" t="s">
        <v>413</v>
      </c>
      <c r="C188" s="1" t="s">
        <v>88</v>
      </c>
      <c r="F188" s="67"/>
      <c r="G188" s="67"/>
      <c r="H188" s="67"/>
      <c r="I188" s="67">
        <v>328.9</v>
      </c>
      <c r="J188" s="67">
        <v>426.8</v>
      </c>
      <c r="K188" s="67">
        <v>621.20000000000005</v>
      </c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8"/>
    </row>
    <row r="189" spans="2:52">
      <c r="B189" s="52" t="s">
        <v>410</v>
      </c>
      <c r="C189" s="1" t="s">
        <v>88</v>
      </c>
      <c r="F189" s="67"/>
      <c r="G189" s="67"/>
      <c r="H189" s="67"/>
      <c r="I189" s="58">
        <f>I186-SUM(I187:I188)</f>
        <v>166.20000000000005</v>
      </c>
      <c r="J189" s="58">
        <f>J186-SUM(J187:J188)</f>
        <v>189.79999999999995</v>
      </c>
      <c r="K189" s="58">
        <f>K186-SUM(K187:K188)</f>
        <v>222.5</v>
      </c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8"/>
    </row>
    <row r="190" spans="2:52">
      <c r="B190" s="3" t="s">
        <v>34</v>
      </c>
      <c r="C190" s="1" t="s">
        <v>88</v>
      </c>
      <c r="F190" s="67"/>
      <c r="G190" s="67"/>
      <c r="H190" s="67"/>
      <c r="I190" s="58">
        <f>I194-I186</f>
        <v>172.46399999999994</v>
      </c>
      <c r="J190" s="58">
        <f>J194-J186</f>
        <v>241.32400000000007</v>
      </c>
      <c r="K190" s="58">
        <f>K194-K186</f>
        <v>457.98999999999978</v>
      </c>
      <c r="L190" s="58">
        <f ca="1">SUM(OFFSET($P190,0,L$1,1,4))</f>
        <v>839.00182601448887</v>
      </c>
      <c r="M190" s="58">
        <f ca="1">SUM(OFFSET($P190,0,M$1,1,4))</f>
        <v>1019.2150636738497</v>
      </c>
      <c r="N190" s="58">
        <f ca="1">SUM(OFFSET($P190,0,N$1,1,4))</f>
        <v>1209.3979380177052</v>
      </c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>
        <f>AI202*AI75</f>
        <v>122.1621</v>
      </c>
      <c r="AJ190" s="58">
        <f>J190-SUM(AG190:AI190)</f>
        <v>119.16190000000007</v>
      </c>
      <c r="AK190" s="58">
        <f>AK202*AK75</f>
        <v>121.509258</v>
      </c>
      <c r="AL190" s="58">
        <f>AL202*AL75</f>
        <v>155.74748399999996</v>
      </c>
      <c r="AM190" s="58">
        <f>AM202*AM75</f>
        <v>178.22098799999998</v>
      </c>
      <c r="AN190" s="58">
        <f>AN202*AN75</f>
        <v>173.42690399999998</v>
      </c>
      <c r="AO190" s="58">
        <f t="shared" ref="AO190:AZ190" ca="1" si="274">+AO106+AO$173*AO198</f>
        <v>174.49678520613531</v>
      </c>
      <c r="AP190" s="58">
        <f t="shared" ca="1" si="274"/>
        <v>205.2445031511958</v>
      </c>
      <c r="AQ190" s="58">
        <f t="shared" ca="1" si="274"/>
        <v>225.55292400755386</v>
      </c>
      <c r="AR190" s="58">
        <f t="shared" ca="1" si="274"/>
        <v>233.70761364960396</v>
      </c>
      <c r="AS190" s="58">
        <f t="shared" ca="1" si="274"/>
        <v>219.94938116726175</v>
      </c>
      <c r="AT190" s="58">
        <f t="shared" ca="1" si="274"/>
        <v>248.51375105003297</v>
      </c>
      <c r="AU190" s="58">
        <f t="shared" ca="1" si="274"/>
        <v>267.69267054890599</v>
      </c>
      <c r="AV190" s="58">
        <f t="shared" ca="1" si="274"/>
        <v>283.05926090764899</v>
      </c>
      <c r="AW190" s="58">
        <f t="shared" ca="1" si="274"/>
        <v>267.24531436660436</v>
      </c>
      <c r="AX190" s="58">
        <f t="shared" ca="1" si="274"/>
        <v>294.63577195166499</v>
      </c>
      <c r="AY190" s="58">
        <f t="shared" ca="1" si="274"/>
        <v>311.56944524719376</v>
      </c>
      <c r="AZ190" s="58">
        <f t="shared" ca="1" si="274"/>
        <v>335.94740645224215</v>
      </c>
    </row>
    <row r="191" spans="2:52">
      <c r="B191" s="52" t="s">
        <v>418</v>
      </c>
      <c r="C191" s="1" t="s">
        <v>88</v>
      </c>
      <c r="F191" s="67"/>
      <c r="G191" s="67"/>
      <c r="H191" s="67"/>
      <c r="I191" s="67">
        <v>70.2</v>
      </c>
      <c r="J191" s="67">
        <v>90.8</v>
      </c>
      <c r="K191" s="67">
        <v>188.6</v>
      </c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8"/>
    </row>
    <row r="192" spans="2:52">
      <c r="B192" s="52" t="s">
        <v>416</v>
      </c>
      <c r="C192" s="1" t="s">
        <v>88</v>
      </c>
      <c r="F192" s="67"/>
      <c r="G192" s="67"/>
      <c r="H192" s="67"/>
      <c r="I192" s="67">
        <v>23.6</v>
      </c>
      <c r="J192" s="67">
        <v>38.200000000000003</v>
      </c>
      <c r="K192" s="67">
        <v>78.099999999999994</v>
      </c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8"/>
    </row>
    <row r="193" spans="2:52">
      <c r="B193" s="52" t="s">
        <v>410</v>
      </c>
      <c r="C193" s="1" t="s">
        <v>88</v>
      </c>
      <c r="F193" s="67"/>
      <c r="G193" s="67"/>
      <c r="H193" s="67"/>
      <c r="I193" s="58">
        <f>I190-SUM(I191:I192)</f>
        <v>78.66399999999993</v>
      </c>
      <c r="J193" s="58">
        <f>J190-SUM(J191:J192)</f>
        <v>112.32400000000007</v>
      </c>
      <c r="K193" s="58">
        <f>K190-SUM(K191:K192)</f>
        <v>191.28999999999979</v>
      </c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</row>
    <row r="194" spans="2:52">
      <c r="B194" s="74" t="s">
        <v>87</v>
      </c>
      <c r="C194" s="36"/>
      <c r="D194" s="36"/>
      <c r="E194" s="36"/>
      <c r="F194" s="72"/>
      <c r="G194" s="72"/>
      <c r="H194" s="72"/>
      <c r="I194" s="172">
        <v>1204.4639999999999</v>
      </c>
      <c r="J194" s="172">
        <v>1765.8240000000001</v>
      </c>
      <c r="K194" s="172">
        <v>2674.99</v>
      </c>
      <c r="L194" s="72">
        <f ca="1">SUM(L186:L190)</f>
        <v>3514.6663224224822</v>
      </c>
      <c r="M194" s="72">
        <f ca="1">SUM(M186:M190)</f>
        <v>4317.8028714580832</v>
      </c>
      <c r="N194" s="72">
        <f t="shared" ref="N194" ca="1" si="275">SUM(N186:N190)</f>
        <v>5197.748972119959</v>
      </c>
      <c r="O194" s="58"/>
      <c r="P194" s="58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>
        <v>465.32400000000001</v>
      </c>
      <c r="AJ194" s="73">
        <v>552.36900000000003</v>
      </c>
      <c r="AK194" s="73">
        <v>496.14499999999998</v>
      </c>
      <c r="AL194" s="73">
        <v>627.62300000000005</v>
      </c>
      <c r="AM194" s="73">
        <v>777.03800000000001</v>
      </c>
      <c r="AN194" s="73">
        <v>774.18399999999997</v>
      </c>
      <c r="AO194" s="72">
        <f t="shared" ref="AO194:AZ194" ca="1" si="276">SUM(AO186:AO190)</f>
        <v>788.81288621583587</v>
      </c>
      <c r="AP194" s="72">
        <f t="shared" ca="1" si="276"/>
        <v>853.40266498903566</v>
      </c>
      <c r="AQ194" s="72">
        <f t="shared" ca="1" si="276"/>
        <v>887.52031080697463</v>
      </c>
      <c r="AR194" s="72">
        <f t="shared" ca="1" si="276"/>
        <v>984.93046041063599</v>
      </c>
      <c r="AS194" s="72">
        <f t="shared" ca="1" si="276"/>
        <v>1003.5410548740754</v>
      </c>
      <c r="AT194" s="72">
        <f t="shared" ca="1" si="276"/>
        <v>1044.3393123681867</v>
      </c>
      <c r="AU194" s="72">
        <f t="shared" ca="1" si="276"/>
        <v>1066.1256082193245</v>
      </c>
      <c r="AV194" s="72">
        <f t="shared" ca="1" si="276"/>
        <v>1203.7968959964971</v>
      </c>
      <c r="AW194" s="72">
        <f t="shared" ca="1" si="276"/>
        <v>1234.8344868161726</v>
      </c>
      <c r="AX194" s="72">
        <f t="shared" ca="1" si="276"/>
        <v>1255.7817749281053</v>
      </c>
      <c r="AY194" s="72">
        <f t="shared" ca="1" si="276"/>
        <v>1260.62114921907</v>
      </c>
      <c r="AZ194" s="72">
        <f t="shared" ca="1" si="276"/>
        <v>1446.5115611566107</v>
      </c>
    </row>
    <row r="195" spans="2:52">
      <c r="B195" s="3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  <c r="AI195" s="67"/>
      <c r="AJ195" s="67"/>
      <c r="AK195" s="67"/>
      <c r="AL195" s="67"/>
      <c r="AM195" s="67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8"/>
    </row>
    <row r="196" spans="2:52">
      <c r="B196" s="11" t="s">
        <v>86</v>
      </c>
      <c r="O196" s="58"/>
      <c r="P196" s="58"/>
      <c r="AM196" s="70"/>
      <c r="AN196" s="70"/>
      <c r="AO196" s="70"/>
      <c r="AP196" s="70"/>
    </row>
    <row r="197" spans="2:52">
      <c r="B197" s="3" t="s">
        <v>29</v>
      </c>
      <c r="F197" s="4"/>
      <c r="G197" s="4"/>
      <c r="H197" s="4"/>
      <c r="I197" s="4">
        <f t="shared" ref="I197:N197" si="277">+I186/I$194</f>
        <v>0.85681265691627151</v>
      </c>
      <c r="J197" s="4">
        <f t="shared" si="277"/>
        <v>0.86333632343880251</v>
      </c>
      <c r="K197" s="4">
        <f t="shared" si="277"/>
        <v>0.82878814500241127</v>
      </c>
      <c r="L197" s="4">
        <f t="shared" ca="1" si="277"/>
        <v>0.761285496531515</v>
      </c>
      <c r="M197" s="4">
        <f t="shared" ca="1" si="277"/>
        <v>0.76395053363571708</v>
      </c>
      <c r="N197" s="4">
        <f t="shared" ca="1" si="277"/>
        <v>0.76732274980866588</v>
      </c>
      <c r="O197" s="58"/>
      <c r="P197" s="58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>
        <f>+AI186/AI$194</f>
        <v>0.73746873146452796</v>
      </c>
      <c r="AJ197" s="4">
        <f>+AJ186/AJ$194</f>
        <v>0.78427120276481832</v>
      </c>
      <c r="AK197" s="71">
        <f t="shared" ref="AK197:AZ197" ca="1" si="278">+AK105/SUM(AK$105:AK$106)</f>
        <v>0.75509325298047947</v>
      </c>
      <c r="AL197" s="71">
        <f t="shared" ca="1" si="278"/>
        <v>0.75184548048749011</v>
      </c>
      <c r="AM197" s="71">
        <f t="shared" ca="1" si="278"/>
        <v>0.77064057613655967</v>
      </c>
      <c r="AN197" s="71">
        <f t="shared" ca="1" si="278"/>
        <v>0.77598748617899627</v>
      </c>
      <c r="AO197" s="71">
        <f t="shared" ca="1" si="278"/>
        <v>0.77878557988162822</v>
      </c>
      <c r="AP197" s="71">
        <f t="shared" ca="1" si="278"/>
        <v>0.75949863813252472</v>
      </c>
      <c r="AQ197" s="71">
        <f t="shared" ca="1" si="278"/>
        <v>0.74586167633451594</v>
      </c>
      <c r="AR197" s="71">
        <f t="shared" ca="1" si="278"/>
        <v>0.76271663529203182</v>
      </c>
      <c r="AS197" s="71">
        <f t="shared" ca="1" si="278"/>
        <v>0.78082672343199644</v>
      </c>
      <c r="AT197" s="71">
        <f t="shared" ca="1" si="278"/>
        <v>0.76203734925338296</v>
      </c>
      <c r="AU197" s="71">
        <f t="shared" ca="1" si="278"/>
        <v>0.74891075827733422</v>
      </c>
      <c r="AV197" s="71">
        <f t="shared" ca="1" si="278"/>
        <v>0.76486128029651224</v>
      </c>
      <c r="AW197" s="71">
        <f t="shared" ca="1" si="278"/>
        <v>0.78357802829458179</v>
      </c>
      <c r="AX197" s="71">
        <f t="shared" ca="1" si="278"/>
        <v>0.7653766141266598</v>
      </c>
      <c r="AY197" s="71">
        <f t="shared" ca="1" si="278"/>
        <v>0.75284450412385606</v>
      </c>
      <c r="AZ197" s="71">
        <f t="shared" ca="1" si="278"/>
        <v>0.76775338996694686</v>
      </c>
    </row>
    <row r="198" spans="2:52">
      <c r="B198" s="3" t="s">
        <v>34</v>
      </c>
      <c r="F198" s="4"/>
      <c r="G198" s="4"/>
      <c r="H198" s="4"/>
      <c r="I198" s="4">
        <f t="shared" ref="I198:N198" si="279">+I190/I$194</f>
        <v>0.14318734308372849</v>
      </c>
      <c r="J198" s="4">
        <f t="shared" si="279"/>
        <v>0.13666367656119752</v>
      </c>
      <c r="K198" s="4">
        <f t="shared" si="279"/>
        <v>0.1712118549975887</v>
      </c>
      <c r="L198" s="4">
        <f t="shared" ca="1" si="279"/>
        <v>0.23871450346848494</v>
      </c>
      <c r="M198" s="4">
        <f t="shared" ca="1" si="279"/>
        <v>0.23604946636428309</v>
      </c>
      <c r="N198" s="4">
        <f t="shared" ca="1" si="279"/>
        <v>0.23267725019133406</v>
      </c>
      <c r="O198" s="58"/>
      <c r="P198" s="58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>
        <f>+AI190/AI$194</f>
        <v>0.26253126853547204</v>
      </c>
      <c r="AJ198" s="4">
        <f>+AJ190/AJ$194</f>
        <v>0.21572879723518168</v>
      </c>
      <c r="AK198" s="71">
        <f t="shared" ref="AK198:AZ198" ca="1" si="280">+AK106/SUM(AK$105:AK$106)</f>
        <v>0.2449067470195205</v>
      </c>
      <c r="AL198" s="71">
        <f t="shared" ca="1" si="280"/>
        <v>0.2481545195125098</v>
      </c>
      <c r="AM198" s="71">
        <f t="shared" ca="1" si="280"/>
        <v>0.22935942386344041</v>
      </c>
      <c r="AN198" s="71">
        <f t="shared" ca="1" si="280"/>
        <v>0.22401251382100376</v>
      </c>
      <c r="AO198" s="71">
        <f t="shared" ca="1" si="280"/>
        <v>0.22121442011837175</v>
      </c>
      <c r="AP198" s="71">
        <f t="shared" ca="1" si="280"/>
        <v>0.24050136186747523</v>
      </c>
      <c r="AQ198" s="71">
        <f t="shared" ca="1" si="280"/>
        <v>0.254138323665484</v>
      </c>
      <c r="AR198" s="71">
        <f t="shared" ca="1" si="280"/>
        <v>0.23728336470796821</v>
      </c>
      <c r="AS198" s="71">
        <f t="shared" ca="1" si="280"/>
        <v>0.21917327656800353</v>
      </c>
      <c r="AT198" s="71">
        <f t="shared" ca="1" si="280"/>
        <v>0.23796265074661704</v>
      </c>
      <c r="AU198" s="71">
        <f t="shared" ca="1" si="280"/>
        <v>0.25108924172266578</v>
      </c>
      <c r="AV198" s="71">
        <f t="shared" ca="1" si="280"/>
        <v>0.23513871970348782</v>
      </c>
      <c r="AW198" s="71">
        <f t="shared" ca="1" si="280"/>
        <v>0.21642197170541824</v>
      </c>
      <c r="AX198" s="71">
        <f t="shared" ca="1" si="280"/>
        <v>0.23462338587334028</v>
      </c>
      <c r="AY198" s="71">
        <f t="shared" ca="1" si="280"/>
        <v>0.24715549587614402</v>
      </c>
      <c r="AZ198" s="71">
        <f t="shared" ca="1" si="280"/>
        <v>0.23224661003305305</v>
      </c>
    </row>
    <row r="199" spans="2:52">
      <c r="B199" s="3"/>
      <c r="F199" s="4"/>
      <c r="G199" s="4"/>
      <c r="H199" s="4"/>
      <c r="I199" s="4"/>
      <c r="J199" s="4"/>
      <c r="K199" s="4"/>
      <c r="L199" s="4"/>
      <c r="M199" s="4"/>
      <c r="N199" s="4"/>
      <c r="O199" s="58"/>
      <c r="P199" s="58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  <c r="AV199" s="71"/>
      <c r="AW199" s="71"/>
      <c r="AX199" s="71"/>
      <c r="AY199" s="71"/>
      <c r="AZ199" s="71"/>
    </row>
    <row r="200" spans="2:52">
      <c r="B200" s="11" t="s">
        <v>85</v>
      </c>
      <c r="F200" s="4"/>
      <c r="G200" s="4"/>
      <c r="H200" s="4"/>
      <c r="I200" s="4"/>
      <c r="J200" s="4"/>
      <c r="K200" s="4"/>
      <c r="L200" s="4"/>
      <c r="M200" s="4"/>
      <c r="N200" s="4"/>
      <c r="O200" s="58"/>
      <c r="P200" s="58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  <c r="AW200" s="71"/>
      <c r="AX200" s="71"/>
      <c r="AY200" s="71"/>
      <c r="AZ200" s="71"/>
    </row>
    <row r="201" spans="2:52">
      <c r="B201" s="3" t="s">
        <v>29</v>
      </c>
      <c r="F201" s="4"/>
      <c r="G201" s="4"/>
      <c r="H201" s="4"/>
      <c r="I201" s="4">
        <f t="shared" ref="I201:N201" si="281">I186/I$75</f>
        <v>0.19403660824008798</v>
      </c>
      <c r="J201" s="4">
        <f t="shared" si="281"/>
        <v>0.13566296922412796</v>
      </c>
      <c r="K201" s="4">
        <f t="shared" si="281"/>
        <v>0.12757252558499513</v>
      </c>
      <c r="L201" s="4">
        <f t="shared" ca="1" si="281"/>
        <v>0.10665631557338751</v>
      </c>
      <c r="M201" s="4">
        <f t="shared" ca="1" si="281"/>
        <v>0.10124026045046169</v>
      </c>
      <c r="N201" s="4">
        <f t="shared" ca="1" si="281"/>
        <v>9.6019148027682827E-2</v>
      </c>
      <c r="O201" s="58"/>
      <c r="P201" s="58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>
        <f t="shared" ref="AI201:AZ201" si="282">AI186/AI$75</f>
        <v>0.10534012799387044</v>
      </c>
      <c r="AJ201" s="4">
        <f t="shared" si="282"/>
        <v>0.13730306587776803</v>
      </c>
      <c r="AK201" s="4">
        <f t="shared" si="282"/>
        <v>0.11407791210444228</v>
      </c>
      <c r="AL201" s="4">
        <f t="shared" si="282"/>
        <v>0.10907090207633791</v>
      </c>
      <c r="AM201" s="4">
        <f t="shared" si="282"/>
        <v>0.12095888746840525</v>
      </c>
      <c r="AN201" s="4">
        <f t="shared" si="282"/>
        <v>0.12470530786849544</v>
      </c>
      <c r="AO201" s="4">
        <f t="shared" ca="1" si="282"/>
        <v>0.12013860636234575</v>
      </c>
      <c r="AP201" s="4">
        <f t="shared" ca="1" si="282"/>
        <v>0.10501134668504511</v>
      </c>
      <c r="AQ201" s="4">
        <f t="shared" ca="1" si="282"/>
        <v>9.4921366874852711E-2</v>
      </c>
      <c r="AR201" s="4">
        <f t="shared" ca="1" si="282"/>
        <v>0.11003257977038339</v>
      </c>
      <c r="AS201" s="4">
        <f t="shared" ca="1" si="282"/>
        <v>0.11388686686722473</v>
      </c>
      <c r="AT201" s="4">
        <f t="shared" ca="1" si="282"/>
        <v>9.9525287916389441E-2</v>
      </c>
      <c r="AU201" s="4">
        <f t="shared" ca="1" si="282"/>
        <v>8.9947336876869524E-2</v>
      </c>
      <c r="AV201" s="4">
        <f t="shared" ca="1" si="282"/>
        <v>0.10429205756821648</v>
      </c>
      <c r="AW201" s="4">
        <f t="shared" ca="1" si="282"/>
        <v>0.10792368243131917</v>
      </c>
      <c r="AX201" s="4">
        <f t="shared" ca="1" si="282"/>
        <v>9.4290104737984187E-2</v>
      </c>
      <c r="AY201" s="4">
        <f t="shared" ca="1" si="282"/>
        <v>8.5198952942822467E-2</v>
      </c>
      <c r="AZ201" s="4">
        <f t="shared" ca="1" si="282"/>
        <v>9.881515074887115E-2</v>
      </c>
    </row>
    <row r="202" spans="2:52">
      <c r="B202" s="3" t="s">
        <v>34</v>
      </c>
      <c r="F202" s="4"/>
      <c r="G202" s="4"/>
      <c r="H202" s="4"/>
      <c r="I202" s="4">
        <f t="shared" ref="I202:N202" si="283">I190/I$75</f>
        <v>3.2426675972401668E-2</v>
      </c>
      <c r="J202" s="4">
        <f t="shared" si="283"/>
        <v>2.1475060928201683E-2</v>
      </c>
      <c r="K202" s="4">
        <f t="shared" si="283"/>
        <v>2.6354055477073476E-2</v>
      </c>
      <c r="L202" s="4">
        <f t="shared" ca="1" si="283"/>
        <v>3.3443970139821581E-2</v>
      </c>
      <c r="M202" s="4">
        <f t="shared" ca="1" si="283"/>
        <v>3.1281749801496866E-2</v>
      </c>
      <c r="N202" s="4">
        <f t="shared" ca="1" si="283"/>
        <v>2.9116133119168962E-2</v>
      </c>
      <c r="O202" s="58"/>
      <c r="P202" s="58"/>
      <c r="Q202" s="60"/>
      <c r="R202" s="60"/>
      <c r="S202" s="60"/>
      <c r="T202" s="4"/>
      <c r="U202" s="60"/>
      <c r="V202" s="60"/>
      <c r="W202" s="60"/>
      <c r="X202" s="4"/>
      <c r="Y202" s="60"/>
      <c r="Z202" s="60"/>
      <c r="AA202" s="60"/>
      <c r="AB202" s="4"/>
      <c r="AC202" s="60"/>
      <c r="AD202" s="60"/>
      <c r="AE202" s="60"/>
      <c r="AF202" s="4"/>
      <c r="AG202" s="60"/>
      <c r="AH202" s="60"/>
      <c r="AI202" s="60">
        <v>3.7499999999999999E-2</v>
      </c>
      <c r="AJ202" s="4">
        <f>AJ190/AJ$75</f>
        <v>3.7767834843473291E-2</v>
      </c>
      <c r="AK202" s="60">
        <v>3.6999999999999998E-2</v>
      </c>
      <c r="AL202" s="60">
        <v>3.5999999999999997E-2</v>
      </c>
      <c r="AM202" s="60">
        <v>3.5999999999999997E-2</v>
      </c>
      <c r="AN202" s="60">
        <v>3.5999999999999997E-2</v>
      </c>
      <c r="AO202" s="4">
        <f t="shared" ref="AO202:AZ202" ca="1" si="284">AO190/AO$75</f>
        <v>3.4125429164103334E-2</v>
      </c>
      <c r="AP202" s="4">
        <f t="shared" ca="1" si="284"/>
        <v>3.3252688841403984E-2</v>
      </c>
      <c r="AQ202" s="4">
        <f t="shared" ca="1" si="284"/>
        <v>3.2342668651596372E-2</v>
      </c>
      <c r="AR202" s="4">
        <f t="shared" ca="1" si="284"/>
        <v>3.4231455756065697E-2</v>
      </c>
      <c r="AS202" s="4">
        <f t="shared" ca="1" si="284"/>
        <v>3.1967345661072954E-2</v>
      </c>
      <c r="AT202" s="4">
        <f t="shared" ca="1" si="284"/>
        <v>3.1078924611908244E-2</v>
      </c>
      <c r="AU202" s="4">
        <f t="shared" ca="1" si="284"/>
        <v>3.0156875651428158E-2</v>
      </c>
      <c r="AV202" s="4">
        <f t="shared" ca="1" si="284"/>
        <v>3.2062154960081191E-2</v>
      </c>
      <c r="AW202" s="4">
        <f t="shared" ca="1" si="284"/>
        <v>2.9808207098827106E-2</v>
      </c>
      <c r="AX202" s="4">
        <f t="shared" ca="1" si="284"/>
        <v>2.8904284792162099E-2</v>
      </c>
      <c r="AY202" s="4">
        <f t="shared" ca="1" si="284"/>
        <v>2.7970436587323802E-2</v>
      </c>
      <c r="AZ202" s="4">
        <f t="shared" ca="1" si="284"/>
        <v>2.9891738781275119E-2</v>
      </c>
    </row>
    <row r="203" spans="2:52">
      <c r="B203" s="3"/>
      <c r="F203" s="38"/>
      <c r="G203" s="38"/>
      <c r="H203" s="38"/>
      <c r="I203" s="38"/>
      <c r="O203" s="58"/>
      <c r="P203" s="58"/>
      <c r="AM203" s="70"/>
      <c r="AN203" s="70"/>
      <c r="AO203" s="70"/>
      <c r="AP203" s="70"/>
    </row>
    <row r="204" spans="2:52">
      <c r="B204" s="1" t="s">
        <v>84</v>
      </c>
      <c r="F204" s="67"/>
      <c r="G204" s="67"/>
      <c r="H204" s="67"/>
      <c r="I204" s="67">
        <v>499.95699999999999</v>
      </c>
      <c r="J204" s="67">
        <v>824.48199999999997</v>
      </c>
      <c r="K204" s="67">
        <v>1269.806</v>
      </c>
      <c r="L204" s="58">
        <f ca="1">SUM(OFFSET($P204,0,L$1,1,4))</f>
        <v>1630.295153823555</v>
      </c>
      <c r="M204" s="58">
        <f ca="1">SUM(OFFSET($P204,0,M$1,1,4))</f>
        <v>1946.9919038438898</v>
      </c>
      <c r="N204" s="58">
        <f ca="1">SUM(OFFSET($P204,0,N$1,1,4))</f>
        <v>2263.4957678655019</v>
      </c>
      <c r="O204" s="58"/>
      <c r="P204" s="58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>
        <v>229.97200000000001</v>
      </c>
      <c r="AJ204" s="67">
        <v>243.92</v>
      </c>
      <c r="AK204" s="67">
        <v>268.88</v>
      </c>
      <c r="AL204" s="67">
        <v>294.37099999999998</v>
      </c>
      <c r="AM204" s="67">
        <v>342.32799999999997</v>
      </c>
      <c r="AN204" s="67">
        <v>364.22699999999998</v>
      </c>
      <c r="AO204" s="58">
        <f t="shared" ref="AO204:AZ204" si="285">+AO174+AO107</f>
        <v>380.44560903365141</v>
      </c>
      <c r="AP204" s="58">
        <f t="shared" si="285"/>
        <v>409.84951204411232</v>
      </c>
      <c r="AQ204" s="58">
        <f t="shared" si="285"/>
        <v>400.31134135369513</v>
      </c>
      <c r="AR204" s="58">
        <f t="shared" si="285"/>
        <v>439.68869139209619</v>
      </c>
      <c r="AS204" s="58">
        <f t="shared" si="285"/>
        <v>475.17409820271052</v>
      </c>
      <c r="AT204" s="58">
        <f t="shared" si="285"/>
        <v>488.26160219973355</v>
      </c>
      <c r="AU204" s="58">
        <f t="shared" si="285"/>
        <v>462.13364503474128</v>
      </c>
      <c r="AV204" s="58">
        <f t="shared" si="285"/>
        <v>521.4225584067043</v>
      </c>
      <c r="AW204" s="58">
        <f t="shared" si="285"/>
        <v>571.29399961218962</v>
      </c>
      <c r="AX204" s="58">
        <f t="shared" si="285"/>
        <v>567.99614796935077</v>
      </c>
      <c r="AY204" s="58">
        <f t="shared" si="285"/>
        <v>520.4411316013676</v>
      </c>
      <c r="AZ204" s="58">
        <f t="shared" si="285"/>
        <v>603.76448868259388</v>
      </c>
    </row>
    <row r="205" spans="2:52">
      <c r="B205" s="52" t="s">
        <v>419</v>
      </c>
      <c r="F205" s="67"/>
      <c r="G205" s="67"/>
      <c r="H205" s="67"/>
      <c r="I205" s="67">
        <v>416.4</v>
      </c>
      <c r="J205" s="67">
        <v>704.7</v>
      </c>
      <c r="K205" s="67">
        <v>1118.0999999999999</v>
      </c>
      <c r="L205" s="58"/>
      <c r="M205" s="58"/>
      <c r="N205" s="58"/>
      <c r="O205" s="58"/>
      <c r="P205" s="58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  <c r="AK205" s="67"/>
      <c r="AL205" s="67"/>
      <c r="AM205" s="67"/>
      <c r="AN205" s="67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8"/>
    </row>
    <row r="206" spans="2:52">
      <c r="B206" s="52" t="s">
        <v>410</v>
      </c>
      <c r="F206" s="67"/>
      <c r="G206" s="67"/>
      <c r="H206" s="67"/>
      <c r="I206" s="58">
        <f>I204-I205</f>
        <v>83.557000000000016</v>
      </c>
      <c r="J206" s="58">
        <f>J204-J205</f>
        <v>119.78199999999993</v>
      </c>
      <c r="K206" s="58">
        <f>K204-K205</f>
        <v>151.70600000000013</v>
      </c>
      <c r="L206" s="58"/>
      <c r="M206" s="58"/>
      <c r="N206" s="58"/>
      <c r="O206" s="58"/>
      <c r="P206" s="58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  <c r="AK206" s="67"/>
      <c r="AL206" s="67"/>
      <c r="AM206" s="67"/>
      <c r="AN206" s="67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8"/>
    </row>
    <row r="207" spans="2:52">
      <c r="B207" s="52"/>
    </row>
    <row r="208" spans="2:52">
      <c r="B208" s="57" t="s">
        <v>422</v>
      </c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</row>
    <row r="209" spans="2:14">
      <c r="B209" s="1" t="s">
        <v>432</v>
      </c>
      <c r="G209" s="50"/>
      <c r="H209" s="50"/>
      <c r="I209" s="50"/>
      <c r="J209" s="50"/>
    </row>
    <row r="210" spans="2:14">
      <c r="B210" s="3" t="s">
        <v>426</v>
      </c>
      <c r="C210" s="1" t="s">
        <v>2</v>
      </c>
      <c r="D210" s="1" t="s">
        <v>425</v>
      </c>
      <c r="G210" s="50"/>
      <c r="H210" s="50"/>
      <c r="I210" s="50"/>
      <c r="J210" s="50"/>
      <c r="K210" s="67">
        <v>765</v>
      </c>
    </row>
    <row r="211" spans="2:14">
      <c r="B211" s="3" t="s">
        <v>427</v>
      </c>
      <c r="C211" s="1" t="s">
        <v>2</v>
      </c>
      <c r="D211" s="1" t="s">
        <v>425</v>
      </c>
      <c r="G211" s="50"/>
      <c r="H211" s="50"/>
      <c r="I211" s="50"/>
      <c r="J211" s="67">
        <f>+J212/0.746</f>
        <v>730.56300268096516</v>
      </c>
      <c r="K211" s="67">
        <v>752</v>
      </c>
    </row>
    <row r="212" spans="2:14">
      <c r="B212" s="3" t="s">
        <v>433</v>
      </c>
      <c r="C212" s="1" t="s">
        <v>2</v>
      </c>
      <c r="D212" s="1" t="s">
        <v>425</v>
      </c>
      <c r="F212" s="67">
        <v>372</v>
      </c>
      <c r="G212" s="40"/>
      <c r="H212" s="40"/>
      <c r="I212" s="40"/>
      <c r="J212" s="67">
        <v>545</v>
      </c>
    </row>
    <row r="213" spans="2:14">
      <c r="B213" s="52" t="s">
        <v>435</v>
      </c>
      <c r="C213" s="1" t="s">
        <v>436</v>
      </c>
      <c r="D213" s="1" t="s">
        <v>425</v>
      </c>
      <c r="F213" s="147">
        <v>1.2E-2</v>
      </c>
      <c r="G213" s="40"/>
      <c r="H213" s="40"/>
      <c r="I213" s="40"/>
      <c r="J213" s="147">
        <v>0.13200000000000001</v>
      </c>
    </row>
    <row r="214" spans="2:14">
      <c r="B214" s="3" t="s">
        <v>428</v>
      </c>
      <c r="G214" s="50"/>
      <c r="H214" s="50"/>
      <c r="I214" s="50"/>
      <c r="J214" s="67">
        <f>2768.6/(1.173)^6</f>
        <v>1062.8504037836674</v>
      </c>
      <c r="K214" s="67"/>
    </row>
    <row r="215" spans="2:14">
      <c r="B215" s="3" t="s">
        <v>423</v>
      </c>
      <c r="C215" s="1" t="s">
        <v>424</v>
      </c>
      <c r="D215" s="1" t="s">
        <v>425</v>
      </c>
      <c r="F215" s="67">
        <v>50.8</v>
      </c>
      <c r="G215" s="67">
        <v>63.6</v>
      </c>
      <c r="H215" s="67">
        <v>88.8</v>
      </c>
      <c r="I215" s="67">
        <v>105.7</v>
      </c>
      <c r="J215" s="67">
        <v>156.9</v>
      </c>
      <c r="K215" s="67">
        <v>223.1</v>
      </c>
      <c r="L215" s="67">
        <v>296.5</v>
      </c>
      <c r="M215" s="67">
        <v>384.9</v>
      </c>
      <c r="N215" s="67">
        <v>489.3</v>
      </c>
    </row>
    <row r="216" spans="2:14">
      <c r="B216" s="3" t="s">
        <v>434</v>
      </c>
      <c r="C216" s="1" t="s">
        <v>424</v>
      </c>
      <c r="D216" s="1" t="s">
        <v>425</v>
      </c>
      <c r="F216" s="67">
        <v>0.4</v>
      </c>
      <c r="G216" s="67">
        <v>0.7</v>
      </c>
      <c r="H216" s="67">
        <v>1.4</v>
      </c>
      <c r="I216" s="67">
        <v>5.2</v>
      </c>
      <c r="J216" s="67">
        <v>12.1</v>
      </c>
      <c r="K216" s="67">
        <v>23.6</v>
      </c>
      <c r="L216" s="67">
        <v>33.299999999999997</v>
      </c>
      <c r="M216" s="67">
        <v>44.6</v>
      </c>
      <c r="N216" s="67">
        <v>56.3</v>
      </c>
    </row>
    <row r="217" spans="2:14">
      <c r="B217" s="3" t="s">
        <v>293</v>
      </c>
      <c r="C217" s="1" t="s">
        <v>424</v>
      </c>
      <c r="D217" s="1" t="s">
        <v>425</v>
      </c>
      <c r="F217" s="67">
        <f>+F219/0.165</f>
        <v>468.48484848484844</v>
      </c>
      <c r="G217" s="67"/>
      <c r="H217" s="67"/>
      <c r="I217" s="67"/>
      <c r="J217" s="67">
        <f>+J219/0.447</f>
        <v>649.2170022371364</v>
      </c>
      <c r="K217" s="67"/>
      <c r="L217" s="67"/>
      <c r="M217" s="67"/>
      <c r="N217" s="67"/>
    </row>
    <row r="218" spans="2:14">
      <c r="B218" s="3" t="s">
        <v>448</v>
      </c>
      <c r="C218" s="1" t="s">
        <v>424</v>
      </c>
      <c r="D218" s="1" t="s">
        <v>425</v>
      </c>
      <c r="F218" s="67">
        <f>+F217*0.223</f>
        <v>104.47212121212121</v>
      </c>
      <c r="G218" s="67"/>
      <c r="H218" s="67"/>
      <c r="I218" s="67"/>
      <c r="J218" s="67">
        <f>+J217*0.162</f>
        <v>105.1731543624161</v>
      </c>
      <c r="K218" s="67"/>
      <c r="L218" s="67"/>
      <c r="M218" s="67"/>
      <c r="N218" s="67"/>
    </row>
    <row r="219" spans="2:14">
      <c r="B219" s="3" t="s">
        <v>446</v>
      </c>
      <c r="C219" s="1" t="s">
        <v>424</v>
      </c>
      <c r="D219" s="1" t="s">
        <v>425</v>
      </c>
      <c r="F219" s="67">
        <v>77.3</v>
      </c>
      <c r="G219" s="67"/>
      <c r="H219" s="67"/>
      <c r="I219" s="67"/>
      <c r="J219" s="67">
        <v>290.2</v>
      </c>
      <c r="K219" s="67"/>
      <c r="L219" s="67"/>
      <c r="M219" s="67"/>
      <c r="N219" s="67"/>
    </row>
    <row r="220" spans="2:14">
      <c r="B220" s="3" t="s">
        <v>447</v>
      </c>
      <c r="C220" s="1" t="s">
        <v>424</v>
      </c>
      <c r="D220" s="1" t="s">
        <v>425</v>
      </c>
      <c r="F220" s="67">
        <v>2.4</v>
      </c>
      <c r="G220" s="67"/>
      <c r="H220" s="67"/>
      <c r="I220" s="67"/>
      <c r="J220" s="67">
        <v>32.6</v>
      </c>
      <c r="K220" s="67"/>
      <c r="L220" s="67"/>
      <c r="M220" s="67"/>
      <c r="N220" s="67"/>
    </row>
    <row r="221" spans="2:14">
      <c r="B221" s="3" t="s">
        <v>449</v>
      </c>
      <c r="C221" s="1" t="s">
        <v>424</v>
      </c>
      <c r="D221" s="1" t="s">
        <v>425</v>
      </c>
      <c r="F221" s="67">
        <v>6.7</v>
      </c>
      <c r="G221" s="67">
        <v>9.8000000000000007</v>
      </c>
      <c r="H221" s="67">
        <v>15.2</v>
      </c>
      <c r="I221" s="67">
        <v>23.3</v>
      </c>
      <c r="J221" s="67">
        <v>32.6</v>
      </c>
      <c r="K221" s="67">
        <v>46.3</v>
      </c>
      <c r="L221" s="67">
        <v>60.2</v>
      </c>
      <c r="M221" s="67">
        <v>77.099999999999994</v>
      </c>
      <c r="N221" s="67">
        <v>93.6</v>
      </c>
    </row>
    <row r="222" spans="2:14">
      <c r="G222" s="2"/>
      <c r="H222" s="2"/>
      <c r="I222" s="2"/>
      <c r="J222" s="2"/>
    </row>
    <row r="223" spans="2:14">
      <c r="B223" s="1" t="s">
        <v>0</v>
      </c>
      <c r="G223" s="2"/>
      <c r="H223" s="2"/>
      <c r="I223" s="2"/>
      <c r="J223" s="2"/>
    </row>
    <row r="224" spans="2:14">
      <c r="B224" s="3" t="s">
        <v>430</v>
      </c>
      <c r="C224" s="1" t="s">
        <v>429</v>
      </c>
      <c r="D224" s="1" t="s">
        <v>425</v>
      </c>
      <c r="F224" s="67">
        <v>169</v>
      </c>
      <c r="G224" s="2"/>
      <c r="H224" s="2"/>
      <c r="I224" s="2"/>
      <c r="J224" s="67">
        <v>152</v>
      </c>
    </row>
    <row r="225" spans="2:10">
      <c r="B225" s="3" t="s">
        <v>431</v>
      </c>
      <c r="C225" s="1" t="s">
        <v>429</v>
      </c>
      <c r="D225" s="1" t="s">
        <v>425</v>
      </c>
      <c r="F225" s="67">
        <v>13</v>
      </c>
      <c r="G225" s="2"/>
      <c r="H225" s="2"/>
      <c r="I225" s="2"/>
      <c r="J225" s="67">
        <v>95</v>
      </c>
    </row>
    <row r="226" spans="2:10">
      <c r="G226" s="40"/>
      <c r="H226" s="40"/>
      <c r="I226" s="40"/>
      <c r="J226" s="40"/>
    </row>
    <row r="227" spans="2:10">
      <c r="B227" s="1" t="s">
        <v>437</v>
      </c>
    </row>
    <row r="228" spans="2:10">
      <c r="B228" s="3" t="s">
        <v>438</v>
      </c>
      <c r="C228" s="1" t="s">
        <v>436</v>
      </c>
      <c r="D228" s="1" t="s">
        <v>425</v>
      </c>
      <c r="G228" s="38"/>
      <c r="H228" s="38"/>
      <c r="I228" s="38"/>
      <c r="J228" s="147">
        <v>0.28100000000000003</v>
      </c>
    </row>
    <row r="229" spans="2:10">
      <c r="B229" s="3" t="s">
        <v>439</v>
      </c>
      <c r="C229" s="1" t="s">
        <v>440</v>
      </c>
      <c r="D229" s="1" t="s">
        <v>425</v>
      </c>
      <c r="G229" s="38"/>
      <c r="H229" s="38"/>
      <c r="I229" s="38"/>
      <c r="J229" s="67">
        <v>110.5</v>
      </c>
    </row>
    <row r="230" spans="2:10">
      <c r="B230" s="3" t="s">
        <v>441</v>
      </c>
      <c r="C230" s="1" t="s">
        <v>443</v>
      </c>
      <c r="D230" s="1" t="s">
        <v>425</v>
      </c>
      <c r="H230" s="38"/>
      <c r="I230" s="38"/>
      <c r="J230" s="67">
        <v>11.4</v>
      </c>
    </row>
    <row r="231" spans="2:10">
      <c r="B231" s="3" t="s">
        <v>442</v>
      </c>
      <c r="C231" s="1" t="s">
        <v>443</v>
      </c>
      <c r="D231" s="1" t="s">
        <v>425</v>
      </c>
      <c r="H231" s="38"/>
      <c r="I231" s="38"/>
      <c r="J231" s="67">
        <v>5.0999999999999996</v>
      </c>
    </row>
    <row r="232" spans="2:10">
      <c r="B232" s="3" t="s">
        <v>444</v>
      </c>
      <c r="C232" s="1" t="s">
        <v>424</v>
      </c>
      <c r="D232" s="1" t="s">
        <v>425</v>
      </c>
      <c r="H232" s="38"/>
      <c r="I232" s="38"/>
      <c r="J232" s="67">
        <v>45.7</v>
      </c>
    </row>
    <row r="233" spans="2:10">
      <c r="B233" s="3" t="s">
        <v>445</v>
      </c>
      <c r="C233" s="1" t="s">
        <v>424</v>
      </c>
      <c r="D233" s="1" t="s">
        <v>425</v>
      </c>
      <c r="H233" s="38"/>
      <c r="I233" s="38"/>
      <c r="J233" s="67">
        <v>12.1</v>
      </c>
    </row>
    <row r="236" spans="2:10">
      <c r="G236" s="38"/>
      <c r="H236" s="38"/>
      <c r="I236" s="38"/>
      <c r="J236" s="37"/>
    </row>
  </sheetData>
  <pageMargins left="0.75" right="0.75" top="1" bottom="1" header="0.5" footer="0.5"/>
  <pageSetup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A320"/>
  <sheetViews>
    <sheetView zoomScaleNormal="100" workbookViewId="0">
      <pane xSplit="2" ySplit="4" topLeftCell="C200" activePane="bottomRight" state="frozen"/>
      <selection activeCell="BB6" sqref="BB6"/>
      <selection pane="topRight" activeCell="BB6" sqref="BB6"/>
      <selection pane="bottomLeft" activeCell="BB6" sqref="BB6"/>
      <selection pane="bottomRight" activeCell="C200" sqref="C200"/>
    </sheetView>
  </sheetViews>
  <sheetFormatPr defaultColWidth="10.83203125" defaultRowHeight="11.25"/>
  <cols>
    <col min="1" max="1" width="10.83203125" style="1"/>
    <col min="2" max="2" width="59.83203125" style="1" customWidth="1"/>
    <col min="3" max="4" width="12.6640625" style="1" customWidth="1"/>
    <col min="5" max="52" width="13.1640625" style="1" customWidth="1"/>
    <col min="53" max="53" width="13.1640625" style="20" customWidth="1"/>
    <col min="54" max="16384" width="10.83203125" style="20"/>
  </cols>
  <sheetData>
    <row r="1" spans="1:53">
      <c r="D1" s="48" t="s">
        <v>140</v>
      </c>
      <c r="E1" s="48"/>
      <c r="F1" s="48">
        <v>1</v>
      </c>
      <c r="G1" s="49">
        <f t="shared" ref="G1:N1" si="0">F1+4</f>
        <v>5</v>
      </c>
      <c r="H1" s="49">
        <f t="shared" si="0"/>
        <v>9</v>
      </c>
      <c r="I1" s="49">
        <f t="shared" si="0"/>
        <v>13</v>
      </c>
      <c r="J1" s="49">
        <f t="shared" si="0"/>
        <v>17</v>
      </c>
      <c r="K1" s="49">
        <f t="shared" si="0"/>
        <v>21</v>
      </c>
      <c r="L1" s="49">
        <f t="shared" si="0"/>
        <v>25</v>
      </c>
      <c r="M1" s="49">
        <f t="shared" si="0"/>
        <v>29</v>
      </c>
      <c r="N1" s="49">
        <f t="shared" si="0"/>
        <v>33</v>
      </c>
      <c r="AO1" s="49">
        <v>1</v>
      </c>
      <c r="AP1" s="49">
        <f>AO1+1</f>
        <v>2</v>
      </c>
      <c r="AQ1" s="49">
        <f t="shared" ref="AQ1:AZ1" si="1">AP1+1</f>
        <v>3</v>
      </c>
      <c r="AR1" s="49">
        <f t="shared" si="1"/>
        <v>4</v>
      </c>
      <c r="AS1" s="49">
        <f t="shared" si="1"/>
        <v>5</v>
      </c>
      <c r="AT1" s="49">
        <f t="shared" si="1"/>
        <v>6</v>
      </c>
      <c r="AU1" s="49">
        <f t="shared" si="1"/>
        <v>7</v>
      </c>
      <c r="AV1" s="49">
        <f t="shared" si="1"/>
        <v>8</v>
      </c>
      <c r="AW1" s="49">
        <f t="shared" si="1"/>
        <v>9</v>
      </c>
      <c r="AX1" s="49">
        <f t="shared" si="1"/>
        <v>10</v>
      </c>
      <c r="AY1" s="49">
        <f t="shared" si="1"/>
        <v>11</v>
      </c>
      <c r="AZ1" s="49">
        <f t="shared" si="1"/>
        <v>12</v>
      </c>
    </row>
    <row r="2" spans="1:53">
      <c r="A2" s="47"/>
      <c r="B2" s="19" t="s">
        <v>579</v>
      </c>
      <c r="D2" s="48" t="s">
        <v>138</v>
      </c>
      <c r="F2" s="48">
        <f t="shared" ref="F2:N2" si="2">F1+3</f>
        <v>4</v>
      </c>
      <c r="G2" s="48">
        <f t="shared" si="2"/>
        <v>8</v>
      </c>
      <c r="H2" s="48">
        <f t="shared" si="2"/>
        <v>12</v>
      </c>
      <c r="I2" s="48">
        <f t="shared" si="2"/>
        <v>16</v>
      </c>
      <c r="J2" s="48">
        <f t="shared" si="2"/>
        <v>20</v>
      </c>
      <c r="K2" s="48">
        <f t="shared" si="2"/>
        <v>24</v>
      </c>
      <c r="L2" s="48">
        <f t="shared" si="2"/>
        <v>28</v>
      </c>
      <c r="M2" s="48">
        <f t="shared" si="2"/>
        <v>32</v>
      </c>
      <c r="N2" s="48">
        <f t="shared" si="2"/>
        <v>36</v>
      </c>
    </row>
    <row r="3" spans="1:53">
      <c r="A3" s="47"/>
      <c r="B3" s="18" t="s">
        <v>88</v>
      </c>
    </row>
    <row r="4" spans="1:53">
      <c r="C4" s="1" t="s">
        <v>5</v>
      </c>
      <c r="D4" s="1" t="s">
        <v>4</v>
      </c>
      <c r="E4" s="106"/>
      <c r="F4" s="46">
        <v>2012</v>
      </c>
      <c r="G4" s="46">
        <f t="shared" ref="G4:N4" si="3">+F4+1</f>
        <v>2013</v>
      </c>
      <c r="H4" s="46">
        <f t="shared" si="3"/>
        <v>2014</v>
      </c>
      <c r="I4" s="46">
        <f t="shared" si="3"/>
        <v>2015</v>
      </c>
      <c r="J4" s="46">
        <f t="shared" si="3"/>
        <v>2016</v>
      </c>
      <c r="K4" s="46">
        <f t="shared" si="3"/>
        <v>2017</v>
      </c>
      <c r="L4" s="45">
        <f t="shared" si="3"/>
        <v>2018</v>
      </c>
      <c r="M4" s="45">
        <f t="shared" si="3"/>
        <v>2019</v>
      </c>
      <c r="N4" s="45">
        <f t="shared" si="3"/>
        <v>2020</v>
      </c>
      <c r="Q4" s="16">
        <v>12</v>
      </c>
      <c r="R4" s="15">
        <f>Q4</f>
        <v>12</v>
      </c>
      <c r="S4" s="14">
        <f>R4</f>
        <v>12</v>
      </c>
      <c r="T4" s="17">
        <f>S4</f>
        <v>12</v>
      </c>
      <c r="U4" s="16">
        <f t="shared" ref="U4:AZ4" si="4">Q4+1</f>
        <v>13</v>
      </c>
      <c r="V4" s="15">
        <f t="shared" si="4"/>
        <v>13</v>
      </c>
      <c r="W4" s="14">
        <f t="shared" si="4"/>
        <v>13</v>
      </c>
      <c r="X4" s="17">
        <f t="shared" si="4"/>
        <v>13</v>
      </c>
      <c r="Y4" s="16">
        <f t="shared" si="4"/>
        <v>14</v>
      </c>
      <c r="Z4" s="15">
        <f t="shared" si="4"/>
        <v>14</v>
      </c>
      <c r="AA4" s="14">
        <f t="shared" si="4"/>
        <v>14</v>
      </c>
      <c r="AB4" s="17">
        <f t="shared" si="4"/>
        <v>14</v>
      </c>
      <c r="AC4" s="16">
        <f t="shared" si="4"/>
        <v>15</v>
      </c>
      <c r="AD4" s="15">
        <f t="shared" si="4"/>
        <v>15</v>
      </c>
      <c r="AE4" s="14">
        <f t="shared" si="4"/>
        <v>15</v>
      </c>
      <c r="AF4" s="17">
        <f t="shared" si="4"/>
        <v>15</v>
      </c>
      <c r="AG4" s="16">
        <f t="shared" si="4"/>
        <v>16</v>
      </c>
      <c r="AH4" s="15">
        <f t="shared" si="4"/>
        <v>16</v>
      </c>
      <c r="AI4" s="14">
        <f t="shared" si="4"/>
        <v>16</v>
      </c>
      <c r="AJ4" s="17">
        <f t="shared" si="4"/>
        <v>16</v>
      </c>
      <c r="AK4" s="16">
        <f t="shared" si="4"/>
        <v>17</v>
      </c>
      <c r="AL4" s="15">
        <f t="shared" si="4"/>
        <v>17</v>
      </c>
      <c r="AM4" s="14">
        <f t="shared" si="4"/>
        <v>17</v>
      </c>
      <c r="AN4" s="17">
        <f t="shared" si="4"/>
        <v>17</v>
      </c>
      <c r="AO4" s="44">
        <f t="shared" si="4"/>
        <v>18</v>
      </c>
      <c r="AP4" s="43">
        <f t="shared" si="4"/>
        <v>18</v>
      </c>
      <c r="AQ4" s="42">
        <f t="shared" si="4"/>
        <v>18</v>
      </c>
      <c r="AR4" s="41">
        <f t="shared" si="4"/>
        <v>18</v>
      </c>
      <c r="AS4" s="44">
        <f t="shared" si="4"/>
        <v>19</v>
      </c>
      <c r="AT4" s="43">
        <f t="shared" si="4"/>
        <v>19</v>
      </c>
      <c r="AU4" s="42">
        <f t="shared" si="4"/>
        <v>19</v>
      </c>
      <c r="AV4" s="41">
        <f t="shared" si="4"/>
        <v>19</v>
      </c>
      <c r="AW4" s="44">
        <f t="shared" si="4"/>
        <v>20</v>
      </c>
      <c r="AX4" s="43">
        <f t="shared" si="4"/>
        <v>20</v>
      </c>
      <c r="AY4" s="42">
        <f t="shared" si="4"/>
        <v>20</v>
      </c>
      <c r="AZ4" s="41">
        <f t="shared" si="4"/>
        <v>20</v>
      </c>
    </row>
    <row r="5" spans="1:53">
      <c r="B5" s="122" t="s">
        <v>268</v>
      </c>
      <c r="C5" s="5"/>
      <c r="D5" s="5"/>
      <c r="E5" s="144"/>
      <c r="F5" s="144"/>
      <c r="G5" s="144"/>
      <c r="H5" s="144"/>
      <c r="I5" s="144"/>
      <c r="J5" s="144"/>
      <c r="K5" s="143"/>
      <c r="L5" s="143"/>
      <c r="M5" s="143"/>
      <c r="N5" s="143"/>
      <c r="O5" s="5"/>
      <c r="P5" s="5"/>
      <c r="Q5" s="142"/>
      <c r="R5" s="141"/>
      <c r="S5" s="140"/>
      <c r="T5" s="139"/>
      <c r="U5" s="142"/>
      <c r="V5" s="141"/>
      <c r="W5" s="140"/>
      <c r="X5" s="139"/>
      <c r="Y5" s="142"/>
      <c r="Z5" s="141"/>
      <c r="AA5" s="140"/>
      <c r="AB5" s="139"/>
      <c r="AC5" s="142"/>
      <c r="AD5" s="141"/>
      <c r="AE5" s="140"/>
      <c r="AF5" s="139"/>
      <c r="AG5" s="142"/>
      <c r="AH5" s="141"/>
      <c r="AI5" s="140"/>
      <c r="AJ5" s="139"/>
      <c r="AK5" s="138"/>
      <c r="AL5" s="137"/>
      <c r="AM5" s="136"/>
      <c r="AN5" s="135"/>
      <c r="AO5" s="138"/>
      <c r="AP5" s="137"/>
      <c r="AQ5" s="136"/>
      <c r="AR5" s="135"/>
      <c r="AS5" s="138"/>
      <c r="AT5" s="137"/>
      <c r="AU5" s="136"/>
      <c r="AV5" s="135"/>
      <c r="AW5" s="135"/>
      <c r="AX5" s="135"/>
      <c r="AY5" s="135"/>
      <c r="AZ5" s="135"/>
    </row>
    <row r="6" spans="1:53">
      <c r="B6" s="8" t="s">
        <v>153</v>
      </c>
      <c r="E6" s="106"/>
      <c r="F6" s="106"/>
      <c r="G6" s="106"/>
      <c r="H6" s="106"/>
      <c r="I6" s="106"/>
      <c r="J6" s="106"/>
      <c r="K6" s="134"/>
      <c r="L6" s="134"/>
      <c r="M6" s="134"/>
      <c r="N6" s="134"/>
      <c r="Q6" s="133"/>
      <c r="R6" s="132"/>
      <c r="S6" s="131"/>
      <c r="T6" s="130"/>
      <c r="U6" s="133"/>
      <c r="V6" s="132"/>
      <c r="W6" s="131"/>
      <c r="X6" s="130"/>
      <c r="Y6" s="133"/>
      <c r="Z6" s="132"/>
      <c r="AA6" s="131"/>
      <c r="AB6" s="130"/>
      <c r="AC6" s="133"/>
      <c r="AD6" s="132"/>
      <c r="AE6" s="131"/>
      <c r="AF6" s="130"/>
      <c r="AG6" s="133"/>
      <c r="AH6" s="132"/>
      <c r="AI6" s="131"/>
      <c r="AJ6" s="130"/>
      <c r="AK6" s="129"/>
      <c r="AL6" s="128"/>
      <c r="AM6" s="127"/>
      <c r="AN6" s="120"/>
      <c r="AO6" s="120"/>
      <c r="AP6" s="128"/>
      <c r="AQ6" s="127"/>
      <c r="AR6" s="126"/>
      <c r="AS6" s="129"/>
      <c r="AT6" s="128"/>
      <c r="AU6" s="127"/>
      <c r="AV6" s="126"/>
      <c r="AW6" s="126"/>
      <c r="AX6" s="126"/>
      <c r="AY6" s="126"/>
      <c r="AZ6" s="126"/>
    </row>
    <row r="7" spans="1:53">
      <c r="B7" s="3" t="s">
        <v>267</v>
      </c>
      <c r="E7" s="120"/>
      <c r="F7" s="109"/>
      <c r="G7" s="109"/>
      <c r="H7" s="109"/>
      <c r="I7" s="109"/>
      <c r="J7" s="109">
        <f t="shared" ref="J7:N13" ca="1" si="5">OFFSET($P7,0,J$2,1,1)</f>
        <v>964.20699999999999</v>
      </c>
      <c r="K7" s="109">
        <f t="shared" ca="1" si="5"/>
        <v>733.01</v>
      </c>
      <c r="L7" s="109">
        <f t="shared" ca="1" si="5"/>
        <v>5784.9804199632745</v>
      </c>
      <c r="M7" s="109">
        <f t="shared" ca="1" si="5"/>
        <v>6456.5761400608953</v>
      </c>
      <c r="N7" s="109">
        <f t="shared" ca="1" si="5"/>
        <v>4564.5843108464005</v>
      </c>
      <c r="O7" s="58"/>
      <c r="P7" s="58"/>
      <c r="Q7" s="58"/>
      <c r="R7" s="58"/>
      <c r="S7" s="58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>
        <v>964.20699999999999</v>
      </c>
      <c r="AK7" s="120"/>
      <c r="AL7" s="120"/>
      <c r="AM7" s="120"/>
      <c r="AN7" s="120">
        <v>733.01</v>
      </c>
      <c r="AO7" s="58">
        <f t="shared" ref="AO7:AZ7" ca="1" si="6">AO111</f>
        <v>13859.156836529512</v>
      </c>
      <c r="AP7" s="58">
        <f t="shared" ca="1" si="6"/>
        <v>10650.253669964433</v>
      </c>
      <c r="AQ7" s="58">
        <f t="shared" ca="1" si="6"/>
        <v>8061.6640627597626</v>
      </c>
      <c r="AR7" s="58">
        <f t="shared" ca="1" si="6"/>
        <v>5784.9804199632745</v>
      </c>
      <c r="AS7" s="58">
        <f t="shared" ca="1" si="6"/>
        <v>3600.1484532384397</v>
      </c>
      <c r="AT7" s="58">
        <f t="shared" ca="1" si="6"/>
        <v>2144.5093806244827</v>
      </c>
      <c r="AU7" s="58">
        <f t="shared" ca="1" si="6"/>
        <v>5900.2356504586187</v>
      </c>
      <c r="AV7" s="58">
        <f t="shared" ca="1" si="6"/>
        <v>6456.5761400608953</v>
      </c>
      <c r="AW7" s="58">
        <f t="shared" ca="1" si="6"/>
        <v>3316.5331802035298</v>
      </c>
      <c r="AX7" s="58">
        <f t="shared" ca="1" si="6"/>
        <v>4656.5186125736109</v>
      </c>
      <c r="AY7" s="58">
        <f t="shared" ca="1" si="6"/>
        <v>937.35275307269512</v>
      </c>
      <c r="AZ7" s="58">
        <f t="shared" ca="1" si="6"/>
        <v>4564.5843108464005</v>
      </c>
      <c r="BA7" s="58"/>
    </row>
    <row r="8" spans="1:53">
      <c r="B8" s="3" t="s">
        <v>265</v>
      </c>
      <c r="E8" s="120"/>
      <c r="F8" s="109"/>
      <c r="G8" s="109"/>
      <c r="H8" s="109"/>
      <c r="I8" s="109"/>
      <c r="J8" s="109">
        <f t="shared" ca="1" si="5"/>
        <v>902.97799999999995</v>
      </c>
      <c r="K8" s="109">
        <f t="shared" ca="1" si="5"/>
        <v>779.91600000000005</v>
      </c>
      <c r="L8" s="109">
        <f t="shared" ca="1" si="5"/>
        <v>0</v>
      </c>
      <c r="M8" s="109">
        <f t="shared" ca="1" si="5"/>
        <v>0</v>
      </c>
      <c r="N8" s="109">
        <f t="shared" ca="1" si="5"/>
        <v>0</v>
      </c>
      <c r="O8" s="58"/>
      <c r="P8" s="58"/>
      <c r="Q8" s="58"/>
      <c r="R8" s="58"/>
      <c r="S8" s="58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>
        <v>902.97799999999995</v>
      </c>
      <c r="AK8" s="120"/>
      <c r="AL8" s="120"/>
      <c r="AM8" s="120"/>
      <c r="AN8" s="120">
        <v>779.91600000000005</v>
      </c>
      <c r="AO8" s="89">
        <v>0</v>
      </c>
      <c r="AP8" s="89">
        <f t="shared" ref="AP8:AZ8" si="7">AO8</f>
        <v>0</v>
      </c>
      <c r="AQ8" s="89">
        <f t="shared" si="7"/>
        <v>0</v>
      </c>
      <c r="AR8" s="89">
        <f t="shared" si="7"/>
        <v>0</v>
      </c>
      <c r="AS8" s="89">
        <f t="shared" si="7"/>
        <v>0</v>
      </c>
      <c r="AT8" s="89">
        <f t="shared" si="7"/>
        <v>0</v>
      </c>
      <c r="AU8" s="89">
        <f t="shared" si="7"/>
        <v>0</v>
      </c>
      <c r="AV8" s="89">
        <f t="shared" si="7"/>
        <v>0</v>
      </c>
      <c r="AW8" s="89">
        <f t="shared" si="7"/>
        <v>0</v>
      </c>
      <c r="AX8" s="89">
        <f t="shared" si="7"/>
        <v>0</v>
      </c>
      <c r="AY8" s="89">
        <f t="shared" si="7"/>
        <v>0</v>
      </c>
      <c r="AZ8" s="89">
        <f t="shared" si="7"/>
        <v>0</v>
      </c>
      <c r="BA8" s="58"/>
    </row>
    <row r="9" spans="1:53">
      <c r="B9" s="3" t="s">
        <v>266</v>
      </c>
      <c r="E9" s="120"/>
      <c r="F9" s="109"/>
      <c r="G9" s="109"/>
      <c r="H9" s="109"/>
      <c r="I9" s="109"/>
      <c r="J9" s="109">
        <f t="shared" ca="1" si="5"/>
        <v>0</v>
      </c>
      <c r="K9" s="109">
        <f t="shared" ca="1" si="5"/>
        <v>0</v>
      </c>
      <c r="L9" s="109">
        <f t="shared" ca="1" si="5"/>
        <v>0</v>
      </c>
      <c r="M9" s="109">
        <f t="shared" ca="1" si="5"/>
        <v>0</v>
      </c>
      <c r="N9" s="109">
        <f t="shared" ca="1" si="5"/>
        <v>0</v>
      </c>
      <c r="O9" s="58"/>
      <c r="P9" s="58"/>
      <c r="Q9" s="58"/>
      <c r="R9" s="58"/>
      <c r="S9" s="58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>
        <v>0</v>
      </c>
      <c r="AK9" s="120"/>
      <c r="AL9" s="120"/>
      <c r="AM9" s="120"/>
      <c r="AN9" s="120">
        <v>0</v>
      </c>
      <c r="AO9" s="89">
        <f t="shared" ref="AO9" si="8">AN9</f>
        <v>0</v>
      </c>
      <c r="AP9" s="89">
        <f t="shared" ref="AP9" si="9">AO9</f>
        <v>0</v>
      </c>
      <c r="AQ9" s="89">
        <f t="shared" ref="AQ9" si="10">AP9</f>
        <v>0</v>
      </c>
      <c r="AR9" s="89">
        <f t="shared" ref="AR9" si="11">AQ9</f>
        <v>0</v>
      </c>
      <c r="AS9" s="89">
        <f t="shared" ref="AS9" si="12">AR9</f>
        <v>0</v>
      </c>
      <c r="AT9" s="89">
        <f t="shared" ref="AT9" si="13">AS9</f>
        <v>0</v>
      </c>
      <c r="AU9" s="89">
        <f t="shared" ref="AU9" si="14">AT9</f>
        <v>0</v>
      </c>
      <c r="AV9" s="89">
        <f t="shared" ref="AV9" si="15">AU9</f>
        <v>0</v>
      </c>
      <c r="AW9" s="89">
        <f t="shared" ref="AW9" si="16">AV9</f>
        <v>0</v>
      </c>
      <c r="AX9" s="89">
        <f t="shared" ref="AX9" si="17">AW9</f>
        <v>0</v>
      </c>
      <c r="AY9" s="89">
        <f t="shared" ref="AY9" si="18">AX9</f>
        <v>0</v>
      </c>
      <c r="AZ9" s="89">
        <f t="shared" ref="AZ9" si="19">AY9</f>
        <v>0</v>
      </c>
      <c r="BA9" s="58"/>
    </row>
    <row r="10" spans="1:53">
      <c r="B10" s="3" t="s">
        <v>264</v>
      </c>
      <c r="E10" s="58"/>
      <c r="F10" s="109"/>
      <c r="G10" s="109"/>
      <c r="H10" s="109"/>
      <c r="I10" s="109"/>
      <c r="J10" s="109">
        <f t="shared" ca="1" si="5"/>
        <v>1779.6590000000001</v>
      </c>
      <c r="K10" s="109">
        <f t="shared" ca="1" si="5"/>
        <v>2235.384</v>
      </c>
      <c r="L10" s="109">
        <f t="shared" ca="1" si="5"/>
        <v>3079.7512124775731</v>
      </c>
      <c r="M10" s="109">
        <f t="shared" ca="1" si="5"/>
        <v>4612.2571968969769</v>
      </c>
      <c r="N10" s="109">
        <f t="shared" ca="1" si="5"/>
        <v>6530.4397690942842</v>
      </c>
      <c r="O10" s="58"/>
      <c r="P10" s="58"/>
      <c r="Q10" s="58"/>
      <c r="R10" s="58"/>
      <c r="S10" s="58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>
        <v>1779.6590000000001</v>
      </c>
      <c r="AK10" s="120"/>
      <c r="AL10" s="120"/>
      <c r="AM10" s="120"/>
      <c r="AN10" s="120">
        <v>2235.384</v>
      </c>
      <c r="AO10" s="109">
        <f t="shared" ref="AO10:AZ10" si="20">AO297</f>
        <v>2510.0667643505349</v>
      </c>
      <c r="AP10" s="109">
        <f t="shared" si="20"/>
        <v>2645.2509932060448</v>
      </c>
      <c r="AQ10" s="109">
        <f t="shared" si="20"/>
        <v>2305.8548264998426</v>
      </c>
      <c r="AR10" s="109">
        <f t="shared" si="20"/>
        <v>3079.7512124775731</v>
      </c>
      <c r="AS10" s="109">
        <f t="shared" si="20"/>
        <v>2667.0588050661972</v>
      </c>
      <c r="AT10" s="109">
        <f t="shared" si="20"/>
        <v>3577.5713983637761</v>
      </c>
      <c r="AU10" s="109">
        <f t="shared" si="20"/>
        <v>2024.2235958518359</v>
      </c>
      <c r="AV10" s="109">
        <f t="shared" si="20"/>
        <v>4612.2571968969769</v>
      </c>
      <c r="AW10" s="109">
        <f t="shared" si="20"/>
        <v>2389.330424643701</v>
      </c>
      <c r="AX10" s="109">
        <f t="shared" si="20"/>
        <v>5330.0344280695481</v>
      </c>
      <c r="AY10" s="109">
        <f t="shared" si="20"/>
        <v>1368.792924719879</v>
      </c>
      <c r="AZ10" s="109">
        <f t="shared" si="20"/>
        <v>6530.4397690942842</v>
      </c>
      <c r="BA10" s="58"/>
    </row>
    <row r="11" spans="1:53">
      <c r="B11" s="3" t="s">
        <v>263</v>
      </c>
      <c r="E11" s="58"/>
      <c r="F11" s="109"/>
      <c r="G11" s="109"/>
      <c r="H11" s="109"/>
      <c r="I11" s="109"/>
      <c r="J11" s="109">
        <f t="shared" ca="1" si="5"/>
        <v>273.02300000000002</v>
      </c>
      <c r="K11" s="109">
        <f t="shared" ca="1" si="5"/>
        <v>9.9789999999999992</v>
      </c>
      <c r="L11" s="109">
        <f t="shared" ca="1" si="5"/>
        <v>9.9789999999999992</v>
      </c>
      <c r="M11" s="109">
        <f t="shared" ca="1" si="5"/>
        <v>9.9789999999999992</v>
      </c>
      <c r="N11" s="109">
        <f t="shared" ca="1" si="5"/>
        <v>9.9789999999999992</v>
      </c>
      <c r="O11" s="58"/>
      <c r="P11" s="58"/>
      <c r="Q11" s="58"/>
      <c r="R11" s="58"/>
      <c r="S11" s="58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>
        <v>273.02300000000002</v>
      </c>
      <c r="AK11" s="120"/>
      <c r="AL11" s="120"/>
      <c r="AM11" s="120"/>
      <c r="AN11" s="120">
        <v>9.9789999999999992</v>
      </c>
      <c r="AO11" s="89">
        <f t="shared" ref="AO11:AZ11" si="21">AN11</f>
        <v>9.9789999999999992</v>
      </c>
      <c r="AP11" s="89">
        <f t="shared" si="21"/>
        <v>9.9789999999999992</v>
      </c>
      <c r="AQ11" s="89">
        <f t="shared" si="21"/>
        <v>9.9789999999999992</v>
      </c>
      <c r="AR11" s="89">
        <f t="shared" si="21"/>
        <v>9.9789999999999992</v>
      </c>
      <c r="AS11" s="89">
        <f t="shared" si="21"/>
        <v>9.9789999999999992</v>
      </c>
      <c r="AT11" s="89">
        <f t="shared" si="21"/>
        <v>9.9789999999999992</v>
      </c>
      <c r="AU11" s="89">
        <f t="shared" si="21"/>
        <v>9.9789999999999992</v>
      </c>
      <c r="AV11" s="89">
        <f t="shared" si="21"/>
        <v>9.9789999999999992</v>
      </c>
      <c r="AW11" s="89">
        <f t="shared" si="21"/>
        <v>9.9789999999999992</v>
      </c>
      <c r="AX11" s="89">
        <f t="shared" si="21"/>
        <v>9.9789999999999992</v>
      </c>
      <c r="AY11" s="89">
        <f t="shared" si="21"/>
        <v>9.9789999999999992</v>
      </c>
      <c r="AZ11" s="89">
        <f t="shared" si="21"/>
        <v>9.9789999999999992</v>
      </c>
      <c r="BA11" s="58"/>
    </row>
    <row r="12" spans="1:53">
      <c r="B12" s="3" t="s">
        <v>262</v>
      </c>
      <c r="E12" s="58"/>
      <c r="F12" s="109"/>
      <c r="G12" s="109"/>
      <c r="H12" s="109"/>
      <c r="I12" s="109"/>
      <c r="J12" s="109">
        <f t="shared" ca="1" si="5"/>
        <v>737.995</v>
      </c>
      <c r="K12" s="109">
        <f t="shared" ca="1" si="5"/>
        <v>1123.3720000000001</v>
      </c>
      <c r="L12" s="109">
        <f t="shared" ca="1" si="5"/>
        <v>1739.5868690514569</v>
      </c>
      <c r="M12" s="109">
        <f t="shared" ca="1" si="5"/>
        <v>2024.6365701672169</v>
      </c>
      <c r="N12" s="109">
        <f t="shared" ca="1" si="5"/>
        <v>2533.9616545881076</v>
      </c>
      <c r="O12" s="58"/>
      <c r="P12" s="58"/>
      <c r="Q12" s="58"/>
      <c r="R12" s="58"/>
      <c r="S12" s="58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>
        <v>737.995</v>
      </c>
      <c r="AK12" s="120"/>
      <c r="AL12" s="120"/>
      <c r="AM12" s="120"/>
      <c r="AN12" s="120">
        <v>1123.3720000000001</v>
      </c>
      <c r="AO12" s="109">
        <f t="shared" ref="AO12:AZ12" si="22">AO299</f>
        <v>1134.7030553047027</v>
      </c>
      <c r="AP12" s="109">
        <f t="shared" si="22"/>
        <v>1523.1011690560756</v>
      </c>
      <c r="AQ12" s="109">
        <f t="shared" si="22"/>
        <v>1405.0937834477729</v>
      </c>
      <c r="AR12" s="109">
        <f t="shared" si="22"/>
        <v>1739.5868690514569</v>
      </c>
      <c r="AS12" s="109">
        <f t="shared" si="22"/>
        <v>1117.7347480756464</v>
      </c>
      <c r="AT12" s="109">
        <f t="shared" si="22"/>
        <v>1908.7356148386882</v>
      </c>
      <c r="AU12" s="109">
        <f t="shared" si="22"/>
        <v>871.61315312047623</v>
      </c>
      <c r="AV12" s="109">
        <f t="shared" si="22"/>
        <v>2024.6365701672169</v>
      </c>
      <c r="AW12" s="109">
        <f t="shared" si="22"/>
        <v>741.56860907553596</v>
      </c>
      <c r="AX12" s="109">
        <f t="shared" si="22"/>
        <v>2216.3906741747596</v>
      </c>
      <c r="AY12" s="109">
        <f t="shared" si="22"/>
        <v>350.77823251704376</v>
      </c>
      <c r="AZ12" s="109">
        <f t="shared" si="22"/>
        <v>2533.9616545881076</v>
      </c>
      <c r="BA12" s="58"/>
    </row>
    <row r="13" spans="1:53">
      <c r="B13" s="3" t="s">
        <v>467</v>
      </c>
      <c r="E13" s="58"/>
      <c r="F13" s="109"/>
      <c r="G13" s="109"/>
      <c r="H13" s="109"/>
      <c r="I13" s="109"/>
      <c r="J13" s="109">
        <f t="shared" ca="1" si="5"/>
        <v>496.44299999999998</v>
      </c>
      <c r="K13" s="109">
        <f t="shared" ca="1" si="5"/>
        <v>818.86699999999996</v>
      </c>
      <c r="L13" s="109">
        <f t="shared" ca="1" si="5"/>
        <v>959.63490499999943</v>
      </c>
      <c r="M13" s="109">
        <f t="shared" ca="1" si="5"/>
        <v>1503.5549694799115</v>
      </c>
      <c r="N13" s="109">
        <f t="shared" ca="1" si="5"/>
        <v>1636.0008749889957</v>
      </c>
      <c r="O13" s="58"/>
      <c r="P13" s="58"/>
      <c r="Q13" s="58"/>
      <c r="R13" s="58"/>
      <c r="S13" s="58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>
        <v>496.44299999999998</v>
      </c>
      <c r="AK13" s="120"/>
      <c r="AL13" s="120"/>
      <c r="AM13" s="120"/>
      <c r="AN13" s="120">
        <v>818.86699999999996</v>
      </c>
      <c r="AO13" s="109">
        <f ca="1">SUM(AO209:AO210)</f>
        <v>889.25095249999913</v>
      </c>
      <c r="AP13" s="109">
        <f t="shared" ref="AP13:AZ13" ca="1" si="23">SUM(AP209:AP210)</f>
        <v>936.17358749999903</v>
      </c>
      <c r="AQ13" s="109">
        <f t="shared" ca="1" si="23"/>
        <v>959.63490499999853</v>
      </c>
      <c r="AR13" s="109">
        <f t="shared" ca="1" si="23"/>
        <v>959.63490499999943</v>
      </c>
      <c r="AS13" s="109">
        <f t="shared" ca="1" si="23"/>
        <v>959.63490499999853</v>
      </c>
      <c r="AT13" s="109">
        <f t="shared" ca="1" si="23"/>
        <v>959.63490499999853</v>
      </c>
      <c r="AU13" s="109">
        <f t="shared" ca="1" si="23"/>
        <v>1241.8942869130874</v>
      </c>
      <c r="AV13" s="109">
        <f t="shared" ca="1" si="23"/>
        <v>1503.5549694799115</v>
      </c>
      <c r="AW13" s="109">
        <f t="shared" ca="1" si="23"/>
        <v>1715.9581110533463</v>
      </c>
      <c r="AX13" s="109">
        <f t="shared" ca="1" si="23"/>
        <v>1820.2397526868581</v>
      </c>
      <c r="AY13" s="109">
        <f t="shared" ca="1" si="23"/>
        <v>1711.3951022651554</v>
      </c>
      <c r="AZ13" s="109">
        <f t="shared" ca="1" si="23"/>
        <v>1636.0008749889957</v>
      </c>
      <c r="BA13" s="58"/>
    </row>
    <row r="14" spans="1:53">
      <c r="B14" s="9" t="s">
        <v>259</v>
      </c>
      <c r="C14" s="8"/>
      <c r="D14" s="8"/>
      <c r="E14" s="82"/>
      <c r="F14" s="117"/>
      <c r="G14" s="117"/>
      <c r="H14" s="117"/>
      <c r="I14" s="117"/>
      <c r="J14" s="117">
        <f t="shared" ref="J14:N14" ca="1" si="24">SUM(J7:J13)</f>
        <v>5154.3050000000003</v>
      </c>
      <c r="K14" s="117">
        <f t="shared" ca="1" si="24"/>
        <v>5700.5280000000002</v>
      </c>
      <c r="L14" s="117">
        <f t="shared" ca="1" si="24"/>
        <v>11573.932406492302</v>
      </c>
      <c r="M14" s="117">
        <f t="shared" ca="1" si="24"/>
        <v>14607.003876605</v>
      </c>
      <c r="N14" s="117">
        <f t="shared" ca="1" si="24"/>
        <v>15274.965609517789</v>
      </c>
      <c r="O14" s="82"/>
      <c r="P14" s="82"/>
      <c r="Q14" s="82"/>
      <c r="R14" s="82"/>
      <c r="S14" s="82"/>
      <c r="T14" s="117">
        <f t="shared" ref="T14:AZ14" si="25">SUM(T7:T13)</f>
        <v>0</v>
      </c>
      <c r="U14" s="117">
        <f t="shared" si="25"/>
        <v>0</v>
      </c>
      <c r="V14" s="117">
        <f t="shared" si="25"/>
        <v>0</v>
      </c>
      <c r="W14" s="117">
        <f t="shared" si="25"/>
        <v>0</v>
      </c>
      <c r="X14" s="117">
        <f t="shared" si="25"/>
        <v>0</v>
      </c>
      <c r="Y14" s="117">
        <f t="shared" si="25"/>
        <v>0</v>
      </c>
      <c r="Z14" s="117">
        <f t="shared" si="25"/>
        <v>0</v>
      </c>
      <c r="AA14" s="117">
        <f t="shared" si="25"/>
        <v>0</v>
      </c>
      <c r="AB14" s="117">
        <f t="shared" si="25"/>
        <v>0</v>
      </c>
      <c r="AC14" s="117">
        <f t="shared" si="25"/>
        <v>0</v>
      </c>
      <c r="AD14" s="117">
        <f t="shared" si="25"/>
        <v>0</v>
      </c>
      <c r="AE14" s="117">
        <f t="shared" si="25"/>
        <v>0</v>
      </c>
      <c r="AF14" s="117">
        <f t="shared" si="25"/>
        <v>0</v>
      </c>
      <c r="AG14" s="117">
        <f t="shared" si="25"/>
        <v>0</v>
      </c>
      <c r="AH14" s="117">
        <f t="shared" si="25"/>
        <v>0</v>
      </c>
      <c r="AI14" s="117">
        <f t="shared" si="25"/>
        <v>0</v>
      </c>
      <c r="AJ14" s="117">
        <f t="shared" si="25"/>
        <v>5154.3050000000003</v>
      </c>
      <c r="AK14" s="117">
        <f t="shared" si="25"/>
        <v>0</v>
      </c>
      <c r="AL14" s="117">
        <f t="shared" si="25"/>
        <v>0</v>
      </c>
      <c r="AM14" s="117">
        <f t="shared" si="25"/>
        <v>0</v>
      </c>
      <c r="AN14" s="117">
        <f t="shared" si="25"/>
        <v>5700.5280000000002</v>
      </c>
      <c r="AO14" s="117">
        <f t="shared" ca="1" si="25"/>
        <v>18403.156608684749</v>
      </c>
      <c r="AP14" s="117">
        <f t="shared" ca="1" si="25"/>
        <v>15764.758419726553</v>
      </c>
      <c r="AQ14" s="117">
        <f t="shared" ca="1" si="25"/>
        <v>12742.226577707377</v>
      </c>
      <c r="AR14" s="117">
        <f t="shared" ca="1" si="25"/>
        <v>11573.932406492302</v>
      </c>
      <c r="AS14" s="117">
        <f t="shared" ca="1" si="25"/>
        <v>8354.5559113802829</v>
      </c>
      <c r="AT14" s="117">
        <f t="shared" ca="1" si="25"/>
        <v>8600.4302988269446</v>
      </c>
      <c r="AU14" s="117">
        <f t="shared" ca="1" si="25"/>
        <v>10047.945686344019</v>
      </c>
      <c r="AV14" s="117">
        <f t="shared" ca="1" si="25"/>
        <v>14607.003876605</v>
      </c>
      <c r="AW14" s="117">
        <f t="shared" ca="1" si="25"/>
        <v>8173.3693249761136</v>
      </c>
      <c r="AX14" s="117">
        <f t="shared" ca="1" si="25"/>
        <v>14033.162467504775</v>
      </c>
      <c r="AY14" s="117">
        <f t="shared" ca="1" si="25"/>
        <v>4378.2980125747727</v>
      </c>
      <c r="AZ14" s="117">
        <f t="shared" ca="1" si="25"/>
        <v>15274.965609517789</v>
      </c>
      <c r="BA14" s="58"/>
    </row>
    <row r="15" spans="1:53">
      <c r="B15" s="9"/>
      <c r="C15" s="8"/>
      <c r="D15" s="8"/>
      <c r="E15" s="82"/>
      <c r="F15" s="117"/>
      <c r="G15" s="117"/>
      <c r="H15" s="117"/>
      <c r="I15" s="117"/>
      <c r="J15" s="117"/>
      <c r="K15" s="117"/>
      <c r="L15" s="117"/>
      <c r="M15" s="117"/>
      <c r="N15" s="117"/>
      <c r="O15" s="82"/>
      <c r="P15" s="82"/>
      <c r="Q15" s="82"/>
      <c r="R15" s="82"/>
      <c r="S15" s="82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58"/>
    </row>
    <row r="16" spans="1:53">
      <c r="B16" s="3" t="s">
        <v>258</v>
      </c>
      <c r="E16" s="58"/>
      <c r="F16" s="109"/>
      <c r="G16" s="109"/>
      <c r="H16" s="109"/>
      <c r="I16" s="109"/>
      <c r="J16" s="109">
        <f t="shared" ref="J16:N23" ca="1" si="26">OFFSET($P16,0,J$2,1,1)</f>
        <v>539.21100000000001</v>
      </c>
      <c r="K16" s="109">
        <f t="shared" ca="1" si="26"/>
        <v>1248.9680000000001</v>
      </c>
      <c r="L16" s="109">
        <f t="shared" ca="1" si="26"/>
        <v>2250.5639550101755</v>
      </c>
      <c r="M16" s="109">
        <f t="shared" ca="1" si="26"/>
        <v>3107.2155107687672</v>
      </c>
      <c r="N16" s="109">
        <f t="shared" ca="1" si="26"/>
        <v>3844.6796462626544</v>
      </c>
      <c r="O16" s="58"/>
      <c r="P16" s="58"/>
      <c r="Q16" s="58"/>
      <c r="R16" s="58"/>
      <c r="S16" s="58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>
        <v>539.21100000000001</v>
      </c>
      <c r="AK16" s="120"/>
      <c r="AL16" s="120"/>
      <c r="AM16" s="120"/>
      <c r="AN16" s="120">
        <v>1248.9680000000001</v>
      </c>
      <c r="AO16" s="109">
        <f t="shared" ref="AO16:AZ16" ca="1" si="27">AO161</f>
        <v>1457.8728292137112</v>
      </c>
      <c r="AP16" s="109">
        <f t="shared" ca="1" si="27"/>
        <v>1714.0156756404124</v>
      </c>
      <c r="AQ16" s="109">
        <f t="shared" ca="1" si="27"/>
        <v>1998.0784668443926</v>
      </c>
      <c r="AR16" s="109">
        <f t="shared" ca="1" si="27"/>
        <v>2250.5639550101755</v>
      </c>
      <c r="AS16" s="109">
        <f t="shared" ca="1" si="27"/>
        <v>2423.7299802350462</v>
      </c>
      <c r="AT16" s="109">
        <f t="shared" ca="1" si="27"/>
        <v>2640.321664065787</v>
      </c>
      <c r="AU16" s="109">
        <f t="shared" ca="1" si="27"/>
        <v>2884.7847389405247</v>
      </c>
      <c r="AV16" s="109">
        <f t="shared" ca="1" si="27"/>
        <v>3107.2155107687672</v>
      </c>
      <c r="AW16" s="109">
        <f t="shared" ca="1" si="27"/>
        <v>3249.8495758233853</v>
      </c>
      <c r="AX16" s="109">
        <f t="shared" ca="1" si="27"/>
        <v>3434.6571241268589</v>
      </c>
      <c r="AY16" s="109">
        <f t="shared" ca="1" si="27"/>
        <v>3645.9477841953208</v>
      </c>
      <c r="AZ16" s="109">
        <f t="shared" ca="1" si="27"/>
        <v>3844.6796462626544</v>
      </c>
      <c r="BA16" s="58"/>
    </row>
    <row r="17" spans="2:53">
      <c r="B17" s="3" t="s">
        <v>257</v>
      </c>
      <c r="E17" s="58"/>
      <c r="F17" s="109"/>
      <c r="G17" s="109"/>
      <c r="H17" s="109"/>
      <c r="I17" s="109"/>
      <c r="J17" s="109">
        <f t="shared" ca="1" si="26"/>
        <v>382.97500000000002</v>
      </c>
      <c r="K17" s="109">
        <f t="shared" ca="1" si="26"/>
        <v>428.005</v>
      </c>
      <c r="L17" s="109">
        <f t="shared" ca="1" si="26"/>
        <v>467.49210981871153</v>
      </c>
      <c r="M17" s="109">
        <f t="shared" ca="1" si="26"/>
        <v>531.40476341357214</v>
      </c>
      <c r="N17" s="109">
        <f t="shared" ca="1" si="26"/>
        <v>617.49274323759266</v>
      </c>
      <c r="O17" s="58"/>
      <c r="P17" s="58"/>
      <c r="Q17" s="58"/>
      <c r="R17" s="58"/>
      <c r="S17" s="58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>
        <v>382.97500000000002</v>
      </c>
      <c r="AK17" s="120"/>
      <c r="AL17" s="120"/>
      <c r="AM17" s="120"/>
      <c r="AN17" s="120">
        <v>428.005</v>
      </c>
      <c r="AO17" s="109">
        <f t="shared" ref="AO17:AZ17" ca="1" si="28">AO171</f>
        <v>431.0906996589672</v>
      </c>
      <c r="AP17" s="109">
        <f t="shared" ca="1" si="28"/>
        <v>440.85758596867123</v>
      </c>
      <c r="AQ17" s="109">
        <f t="shared" ca="1" si="28"/>
        <v>455.15736227772442</v>
      </c>
      <c r="AR17" s="109">
        <f t="shared" ca="1" si="28"/>
        <v>467.49210981871153</v>
      </c>
      <c r="AS17" s="109">
        <f t="shared" ca="1" si="28"/>
        <v>477.06052358546071</v>
      </c>
      <c r="AT17" s="109">
        <f t="shared" ca="1" si="28"/>
        <v>492.85949052450371</v>
      </c>
      <c r="AU17" s="109">
        <f t="shared" ca="1" si="28"/>
        <v>512.99236627144012</v>
      </c>
      <c r="AV17" s="109">
        <f t="shared" ca="1" si="28"/>
        <v>531.40476341357214</v>
      </c>
      <c r="AW17" s="109">
        <f t="shared" ca="1" si="28"/>
        <v>546.59018811052226</v>
      </c>
      <c r="AX17" s="109">
        <f t="shared" ca="1" si="28"/>
        <v>567.92403982310543</v>
      </c>
      <c r="AY17" s="109">
        <f t="shared" ca="1" si="28"/>
        <v>593.31227319016557</v>
      </c>
      <c r="AZ17" s="109">
        <f t="shared" ca="1" si="28"/>
        <v>617.49274323759266</v>
      </c>
      <c r="BA17" s="58"/>
    </row>
    <row r="18" spans="2:53">
      <c r="B18" s="3" t="s">
        <v>256</v>
      </c>
      <c r="E18" s="58"/>
      <c r="F18" s="109"/>
      <c r="G18" s="109"/>
      <c r="H18" s="109"/>
      <c r="I18" s="109"/>
      <c r="J18" s="109">
        <f t="shared" ca="1" si="26"/>
        <v>3276.107</v>
      </c>
      <c r="K18" s="109">
        <f t="shared" ca="1" si="26"/>
        <v>3276.107</v>
      </c>
      <c r="L18" s="109">
        <f t="shared" ca="1" si="26"/>
        <v>3276.107</v>
      </c>
      <c r="M18" s="109">
        <f t="shared" ca="1" si="26"/>
        <v>3276.107</v>
      </c>
      <c r="N18" s="109">
        <f t="shared" ca="1" si="26"/>
        <v>3276.107</v>
      </c>
      <c r="O18" s="58"/>
      <c r="P18" s="58"/>
      <c r="Q18" s="58"/>
      <c r="R18" s="58"/>
      <c r="S18" s="58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>
        <v>3276.107</v>
      </c>
      <c r="AK18" s="120"/>
      <c r="AL18" s="120"/>
      <c r="AM18" s="120"/>
      <c r="AN18" s="120">
        <v>3276.107</v>
      </c>
      <c r="AO18" s="89">
        <f t="shared" ref="AO18:AZ20" si="29">AN18</f>
        <v>3276.107</v>
      </c>
      <c r="AP18" s="89">
        <f t="shared" si="29"/>
        <v>3276.107</v>
      </c>
      <c r="AQ18" s="89">
        <f t="shared" si="29"/>
        <v>3276.107</v>
      </c>
      <c r="AR18" s="89">
        <f t="shared" si="29"/>
        <v>3276.107</v>
      </c>
      <c r="AS18" s="89">
        <f t="shared" si="29"/>
        <v>3276.107</v>
      </c>
      <c r="AT18" s="89">
        <f t="shared" si="29"/>
        <v>3276.107</v>
      </c>
      <c r="AU18" s="89">
        <f t="shared" si="29"/>
        <v>3276.107</v>
      </c>
      <c r="AV18" s="89">
        <f t="shared" si="29"/>
        <v>3276.107</v>
      </c>
      <c r="AW18" s="89">
        <f t="shared" si="29"/>
        <v>3276.107</v>
      </c>
      <c r="AX18" s="89">
        <f t="shared" si="29"/>
        <v>3276.107</v>
      </c>
      <c r="AY18" s="89">
        <f t="shared" si="29"/>
        <v>3276.107</v>
      </c>
      <c r="AZ18" s="89">
        <f t="shared" si="29"/>
        <v>3276.107</v>
      </c>
      <c r="BA18" s="58"/>
    </row>
    <row r="19" spans="2:53">
      <c r="B19" s="3" t="s">
        <v>255</v>
      </c>
      <c r="E19" s="58"/>
      <c r="F19" s="109"/>
      <c r="G19" s="109"/>
      <c r="H19" s="109"/>
      <c r="I19" s="109"/>
      <c r="J19" s="109">
        <f t="shared" ca="1" si="26"/>
        <v>183.76400000000001</v>
      </c>
      <c r="K19" s="109">
        <f t="shared" ca="1" si="26"/>
        <v>567.88699999999994</v>
      </c>
      <c r="L19" s="109">
        <f t="shared" ca="1" si="26"/>
        <v>567.88699999999994</v>
      </c>
      <c r="M19" s="109">
        <f t="shared" ca="1" si="26"/>
        <v>567.88699999999994</v>
      </c>
      <c r="N19" s="109">
        <f t="shared" ca="1" si="26"/>
        <v>567.88699999999994</v>
      </c>
      <c r="O19" s="58"/>
      <c r="P19" s="58"/>
      <c r="Q19" s="58"/>
      <c r="R19" s="58"/>
      <c r="S19" s="58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>
        <v>183.76400000000001</v>
      </c>
      <c r="AK19" s="120"/>
      <c r="AL19" s="120"/>
      <c r="AM19" s="120"/>
      <c r="AN19" s="120">
        <v>567.88699999999994</v>
      </c>
      <c r="AO19" s="89">
        <f t="shared" si="29"/>
        <v>567.88699999999994</v>
      </c>
      <c r="AP19" s="89">
        <f t="shared" si="29"/>
        <v>567.88699999999994</v>
      </c>
      <c r="AQ19" s="89">
        <f t="shared" si="29"/>
        <v>567.88699999999994</v>
      </c>
      <c r="AR19" s="89">
        <f t="shared" si="29"/>
        <v>567.88699999999994</v>
      </c>
      <c r="AS19" s="89">
        <f t="shared" si="29"/>
        <v>567.88699999999994</v>
      </c>
      <c r="AT19" s="89">
        <f t="shared" si="29"/>
        <v>567.88699999999994</v>
      </c>
      <c r="AU19" s="89">
        <f t="shared" si="29"/>
        <v>567.88699999999994</v>
      </c>
      <c r="AV19" s="89">
        <f t="shared" si="29"/>
        <v>567.88699999999994</v>
      </c>
      <c r="AW19" s="89">
        <f t="shared" si="29"/>
        <v>567.88699999999994</v>
      </c>
      <c r="AX19" s="89">
        <f t="shared" si="29"/>
        <v>567.88699999999994</v>
      </c>
      <c r="AY19" s="89">
        <f t="shared" si="29"/>
        <v>567.88699999999994</v>
      </c>
      <c r="AZ19" s="89">
        <f t="shared" si="29"/>
        <v>567.88699999999994</v>
      </c>
      <c r="BA19" s="58"/>
    </row>
    <row r="20" spans="2:53">
      <c r="B20" s="3" t="s">
        <v>254</v>
      </c>
      <c r="E20" s="58"/>
      <c r="F20" s="109"/>
      <c r="G20" s="109"/>
      <c r="H20" s="109"/>
      <c r="I20" s="109"/>
      <c r="J20" s="109">
        <f t="shared" ca="1" si="26"/>
        <v>3.8530000000000002</v>
      </c>
      <c r="K20" s="109">
        <f t="shared" ca="1" si="26"/>
        <v>11.38</v>
      </c>
      <c r="L20" s="109">
        <f t="shared" ca="1" si="26"/>
        <v>11.38</v>
      </c>
      <c r="M20" s="109">
        <f t="shared" ca="1" si="26"/>
        <v>11.38</v>
      </c>
      <c r="N20" s="109">
        <f t="shared" ca="1" si="26"/>
        <v>11.38</v>
      </c>
      <c r="O20" s="58"/>
      <c r="P20" s="58"/>
      <c r="Q20" s="58"/>
      <c r="R20" s="58"/>
      <c r="S20" s="58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>
        <v>3.8530000000000002</v>
      </c>
      <c r="AK20" s="120"/>
      <c r="AL20" s="120"/>
      <c r="AM20" s="120"/>
      <c r="AN20" s="120">
        <v>11.38</v>
      </c>
      <c r="AO20" s="89">
        <f t="shared" si="29"/>
        <v>11.38</v>
      </c>
      <c r="AP20" s="89">
        <f t="shared" si="29"/>
        <v>11.38</v>
      </c>
      <c r="AQ20" s="89">
        <f t="shared" si="29"/>
        <v>11.38</v>
      </c>
      <c r="AR20" s="89">
        <f t="shared" si="29"/>
        <v>11.38</v>
      </c>
      <c r="AS20" s="89">
        <f t="shared" si="29"/>
        <v>11.38</v>
      </c>
      <c r="AT20" s="89">
        <f t="shared" si="29"/>
        <v>11.38</v>
      </c>
      <c r="AU20" s="89">
        <f t="shared" si="29"/>
        <v>11.38</v>
      </c>
      <c r="AV20" s="89">
        <f t="shared" si="29"/>
        <v>11.38</v>
      </c>
      <c r="AW20" s="89">
        <f t="shared" si="29"/>
        <v>11.38</v>
      </c>
      <c r="AX20" s="89">
        <f t="shared" si="29"/>
        <v>11.38</v>
      </c>
      <c r="AY20" s="89">
        <f t="shared" si="29"/>
        <v>11.38</v>
      </c>
      <c r="AZ20" s="89">
        <f t="shared" si="29"/>
        <v>11.38</v>
      </c>
      <c r="BA20" s="58"/>
    </row>
    <row r="21" spans="2:53">
      <c r="B21" s="3" t="s">
        <v>262</v>
      </c>
      <c r="E21" s="58"/>
      <c r="F21" s="109"/>
      <c r="G21" s="109"/>
      <c r="H21" s="109"/>
      <c r="I21" s="109"/>
      <c r="J21" s="109">
        <f t="shared" ca="1" si="26"/>
        <v>1231.19</v>
      </c>
      <c r="K21" s="109">
        <f t="shared" ca="1" si="26"/>
        <v>2845.6619999999998</v>
      </c>
      <c r="L21" s="109">
        <f t="shared" ca="1" si="26"/>
        <v>4078.0917381029135</v>
      </c>
      <c r="M21" s="109">
        <f t="shared" ca="1" si="26"/>
        <v>4648.1911403344329</v>
      </c>
      <c r="N21" s="109">
        <f t="shared" ca="1" si="26"/>
        <v>5666.8413091762141</v>
      </c>
      <c r="O21" s="58"/>
      <c r="P21" s="58"/>
      <c r="Q21" s="58"/>
      <c r="R21" s="58"/>
      <c r="S21" s="58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>
        <v>1231.19</v>
      </c>
      <c r="AK21" s="120"/>
      <c r="AL21" s="120"/>
      <c r="AM21" s="120"/>
      <c r="AN21" s="120">
        <v>2845.6619999999998</v>
      </c>
      <c r="AO21" s="109">
        <f>AO302</f>
        <v>1670.4881106094058</v>
      </c>
      <c r="AP21" s="109">
        <f t="shared" ref="AP21:AZ21" si="30">AP302</f>
        <v>3645.1203381121509</v>
      </c>
      <c r="AQ21" s="109">
        <f t="shared" si="30"/>
        <v>2211.2695668955462</v>
      </c>
      <c r="AR21" s="109">
        <f t="shared" si="30"/>
        <v>4078.0917381029135</v>
      </c>
      <c r="AS21" s="109">
        <f t="shared" si="30"/>
        <v>1636.5514961512931</v>
      </c>
      <c r="AT21" s="109">
        <f t="shared" si="30"/>
        <v>4416.3892296773756</v>
      </c>
      <c r="AU21" s="109">
        <f t="shared" si="30"/>
        <v>1144.3083062409532</v>
      </c>
      <c r="AV21" s="109">
        <f t="shared" si="30"/>
        <v>4648.1911403344329</v>
      </c>
      <c r="AW21" s="109">
        <f t="shared" si="30"/>
        <v>884.21921815107271</v>
      </c>
      <c r="AX21" s="109">
        <f t="shared" si="30"/>
        <v>5031.699348349518</v>
      </c>
      <c r="AY21" s="109">
        <f t="shared" si="30"/>
        <v>102.63846503408877</v>
      </c>
      <c r="AZ21" s="109">
        <f t="shared" si="30"/>
        <v>5666.8413091762141</v>
      </c>
      <c r="BA21" s="58"/>
    </row>
    <row r="22" spans="2:53">
      <c r="B22" s="3" t="s">
        <v>467</v>
      </c>
      <c r="E22" s="58"/>
      <c r="F22" s="109"/>
      <c r="G22" s="109"/>
      <c r="H22" s="109"/>
      <c r="I22" s="109"/>
      <c r="J22" s="109">
        <f t="shared" ca="1" si="26"/>
        <v>2446.7249999999999</v>
      </c>
      <c r="K22" s="109">
        <f t="shared" ca="1" si="26"/>
        <v>4558.0829999999996</v>
      </c>
      <c r="L22" s="109">
        <f t="shared" ca="1" si="26"/>
        <v>4984.9739535612935</v>
      </c>
      <c r="M22" s="109">
        <f t="shared" ca="1" si="26"/>
        <v>4263.3102914030933</v>
      </c>
      <c r="N22" s="109">
        <f t="shared" ca="1" si="26"/>
        <v>3417.1719714737937</v>
      </c>
      <c r="O22" s="58"/>
      <c r="P22" s="58"/>
      <c r="Q22" s="58"/>
      <c r="R22" s="58"/>
      <c r="S22" s="58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>
        <v>2446.7249999999999</v>
      </c>
      <c r="AK22" s="120"/>
      <c r="AL22" s="120"/>
      <c r="AM22" s="120"/>
      <c r="AN22" s="120">
        <v>4558.0829999999996</v>
      </c>
      <c r="AO22" s="109">
        <f ca="1">SUM(AO226:AO227)</f>
        <v>5103.4242070654391</v>
      </c>
      <c r="AP22" s="109">
        <f t="shared" ref="AP22:AZ22" ca="1" si="31">SUM(AP226:AP227)</f>
        <v>5216.4090075082058</v>
      </c>
      <c r="AQ22" s="109">
        <f t="shared" ca="1" si="31"/>
        <v>5255.8042742538237</v>
      </c>
      <c r="AR22" s="109">
        <f t="shared" ca="1" si="31"/>
        <v>4984.9739535612935</v>
      </c>
      <c r="AS22" s="109">
        <f t="shared" ca="1" si="31"/>
        <v>4967.2781544609188</v>
      </c>
      <c r="AT22" s="109">
        <f t="shared" ca="1" si="31"/>
        <v>5031.7277363848043</v>
      </c>
      <c r="AU22" s="109">
        <f t="shared" ca="1" si="31"/>
        <v>4756.0437322354555</v>
      </c>
      <c r="AV22" s="109">
        <f t="shared" ca="1" si="31"/>
        <v>4263.3102914030933</v>
      </c>
      <c r="AW22" s="109">
        <f t="shared" ca="1" si="31"/>
        <v>3855.8140975358947</v>
      </c>
      <c r="AX22" s="109">
        <f t="shared" ca="1" si="31"/>
        <v>3601.3175578472328</v>
      </c>
      <c r="AY22" s="109">
        <f t="shared" ca="1" si="31"/>
        <v>3572.716548118271</v>
      </c>
      <c r="AZ22" s="109">
        <f t="shared" ca="1" si="31"/>
        <v>3417.1719714737937</v>
      </c>
      <c r="BA22" s="58"/>
    </row>
    <row r="23" spans="2:53">
      <c r="B23" s="3" t="s">
        <v>468</v>
      </c>
      <c r="E23" s="58"/>
      <c r="F23" s="109"/>
      <c r="G23" s="109"/>
      <c r="H23" s="109"/>
      <c r="I23" s="109"/>
      <c r="J23" s="109">
        <f t="shared" ca="1" si="26"/>
        <v>413.50599999999997</v>
      </c>
      <c r="K23" s="109">
        <f t="shared" ca="1" si="26"/>
        <v>1564.279</v>
      </c>
      <c r="L23" s="109">
        <f t="shared" ca="1" si="26"/>
        <v>3917.4274677372259</v>
      </c>
      <c r="M23" s="109">
        <f t="shared" ca="1" si="26"/>
        <v>5738.1136604315243</v>
      </c>
      <c r="N23" s="109">
        <f t="shared" ca="1" si="26"/>
        <v>6670.125369973397</v>
      </c>
      <c r="O23" s="58"/>
      <c r="P23" s="58"/>
      <c r="Q23" s="58"/>
      <c r="R23" s="58"/>
      <c r="S23" s="58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>
        <v>413.50599999999997</v>
      </c>
      <c r="AK23" s="120"/>
      <c r="AL23" s="120"/>
      <c r="AM23" s="120"/>
      <c r="AN23" s="120">
        <v>1564.279</v>
      </c>
      <c r="AO23" s="109">
        <f>AO268</f>
        <v>2042.9347093044476</v>
      </c>
      <c r="AP23" s="109">
        <f t="shared" ref="AP23:AZ23" si="32">AP268</f>
        <v>2639.7256711216719</v>
      </c>
      <c r="AQ23" s="109">
        <f t="shared" si="32"/>
        <v>3314.5436720043131</v>
      </c>
      <c r="AR23" s="109">
        <f t="shared" si="32"/>
        <v>3917.4274677372259</v>
      </c>
      <c r="AS23" s="109">
        <f t="shared" si="32"/>
        <v>4388.8309768081444</v>
      </c>
      <c r="AT23" s="109">
        <f t="shared" si="32"/>
        <v>4891.2500577832061</v>
      </c>
      <c r="AU23" s="109">
        <f t="shared" si="32"/>
        <v>5392.0269728807725</v>
      </c>
      <c r="AV23" s="109">
        <f t="shared" si="32"/>
        <v>5738.1136604315243</v>
      </c>
      <c r="AW23" s="109">
        <f t="shared" si="32"/>
        <v>5925.6712346749318</v>
      </c>
      <c r="AX23" s="109">
        <f t="shared" si="32"/>
        <v>6104.1519407728301</v>
      </c>
      <c r="AY23" s="109">
        <f t="shared" si="32"/>
        <v>6439.0759733325449</v>
      </c>
      <c r="AZ23" s="109">
        <f t="shared" si="32"/>
        <v>6670.125369973397</v>
      </c>
      <c r="BA23" s="58"/>
    </row>
    <row r="24" spans="2:53">
      <c r="B24" s="9" t="s">
        <v>250</v>
      </c>
      <c r="E24" s="58"/>
      <c r="F24" s="117"/>
      <c r="G24" s="117"/>
      <c r="H24" s="117"/>
      <c r="I24" s="117"/>
      <c r="J24" s="117">
        <f t="shared" ref="J24:N24" ca="1" si="33">SUM(J16:J23)</f>
        <v>8477.3310000000001</v>
      </c>
      <c r="K24" s="117">
        <f t="shared" ca="1" si="33"/>
        <v>14500.371000000001</v>
      </c>
      <c r="L24" s="117">
        <f t="shared" ca="1" si="33"/>
        <v>19553.923224230319</v>
      </c>
      <c r="M24" s="117">
        <f t="shared" ca="1" si="33"/>
        <v>22143.609366351389</v>
      </c>
      <c r="N24" s="117">
        <f t="shared" ca="1" si="33"/>
        <v>24071.685040123652</v>
      </c>
      <c r="O24" s="58"/>
      <c r="P24" s="58"/>
      <c r="Q24" s="58"/>
      <c r="R24" s="58"/>
      <c r="S24" s="58"/>
      <c r="T24" s="117">
        <f t="shared" ref="T24:AZ24" si="34">SUM(T16:T23)</f>
        <v>0</v>
      </c>
      <c r="U24" s="117">
        <f t="shared" si="34"/>
        <v>0</v>
      </c>
      <c r="V24" s="117">
        <f t="shared" si="34"/>
        <v>0</v>
      </c>
      <c r="W24" s="117">
        <f t="shared" si="34"/>
        <v>0</v>
      </c>
      <c r="X24" s="117">
        <f t="shared" si="34"/>
        <v>0</v>
      </c>
      <c r="Y24" s="117">
        <f t="shared" si="34"/>
        <v>0</v>
      </c>
      <c r="Z24" s="117">
        <f t="shared" si="34"/>
        <v>0</v>
      </c>
      <c r="AA24" s="117">
        <f t="shared" si="34"/>
        <v>0</v>
      </c>
      <c r="AB24" s="117">
        <f t="shared" si="34"/>
        <v>0</v>
      </c>
      <c r="AC24" s="117">
        <f t="shared" si="34"/>
        <v>0</v>
      </c>
      <c r="AD24" s="117">
        <f t="shared" si="34"/>
        <v>0</v>
      </c>
      <c r="AE24" s="117">
        <f t="shared" si="34"/>
        <v>0</v>
      </c>
      <c r="AF24" s="117">
        <f t="shared" si="34"/>
        <v>0</v>
      </c>
      <c r="AG24" s="117">
        <f t="shared" si="34"/>
        <v>0</v>
      </c>
      <c r="AH24" s="117">
        <f t="shared" si="34"/>
        <v>0</v>
      </c>
      <c r="AI24" s="117">
        <f t="shared" si="34"/>
        <v>0</v>
      </c>
      <c r="AJ24" s="117">
        <f t="shared" si="34"/>
        <v>8477.3310000000001</v>
      </c>
      <c r="AK24" s="117">
        <f t="shared" si="34"/>
        <v>0</v>
      </c>
      <c r="AL24" s="117">
        <f t="shared" si="34"/>
        <v>0</v>
      </c>
      <c r="AM24" s="117">
        <f t="shared" si="34"/>
        <v>0</v>
      </c>
      <c r="AN24" s="117">
        <f t="shared" si="34"/>
        <v>14500.371000000001</v>
      </c>
      <c r="AO24" s="117">
        <f t="shared" ca="1" si="34"/>
        <v>14561.184555851969</v>
      </c>
      <c r="AP24" s="117">
        <f t="shared" ca="1" si="34"/>
        <v>17511.502278351112</v>
      </c>
      <c r="AQ24" s="117">
        <f t="shared" ca="1" si="34"/>
        <v>17090.227342275801</v>
      </c>
      <c r="AR24" s="117">
        <f t="shared" ca="1" si="34"/>
        <v>19553.923224230319</v>
      </c>
      <c r="AS24" s="117">
        <f t="shared" ca="1" si="34"/>
        <v>17748.825131240865</v>
      </c>
      <c r="AT24" s="117">
        <f t="shared" ca="1" si="34"/>
        <v>21327.922178435678</v>
      </c>
      <c r="AU24" s="117">
        <f t="shared" ca="1" si="34"/>
        <v>18545.530116569145</v>
      </c>
      <c r="AV24" s="117">
        <f t="shared" ca="1" si="34"/>
        <v>22143.609366351389</v>
      </c>
      <c r="AW24" s="117">
        <f t="shared" ca="1" si="34"/>
        <v>18317.518314295805</v>
      </c>
      <c r="AX24" s="117">
        <f t="shared" ca="1" si="34"/>
        <v>22595.124010919546</v>
      </c>
      <c r="AY24" s="117">
        <f t="shared" ca="1" si="34"/>
        <v>18209.065043870389</v>
      </c>
      <c r="AZ24" s="117">
        <f t="shared" ca="1" si="34"/>
        <v>24071.685040123652</v>
      </c>
      <c r="BA24" s="58"/>
    </row>
    <row r="25" spans="2:53">
      <c r="B25" s="9"/>
      <c r="E25" s="58"/>
      <c r="F25" s="109"/>
      <c r="G25" s="109"/>
      <c r="H25" s="109"/>
      <c r="I25" s="109"/>
      <c r="J25" s="115"/>
      <c r="K25" s="115"/>
      <c r="L25" s="115"/>
      <c r="M25" s="115"/>
      <c r="N25" s="115"/>
      <c r="O25" s="58"/>
      <c r="P25" s="58"/>
      <c r="Q25" s="58"/>
      <c r="R25" s="58"/>
      <c r="S25" s="58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70"/>
      <c r="AO25" s="70"/>
      <c r="AP25" s="70"/>
      <c r="BA25" s="58"/>
    </row>
    <row r="26" spans="2:53">
      <c r="B26" s="9" t="s">
        <v>249</v>
      </c>
      <c r="C26" s="8"/>
      <c r="D26" s="8"/>
      <c r="E26" s="82"/>
      <c r="F26" s="117"/>
      <c r="G26" s="117"/>
      <c r="H26" s="117"/>
      <c r="I26" s="117"/>
      <c r="J26" s="117">
        <f t="shared" ref="J26:N26" ca="1" si="35">J24+J14</f>
        <v>13631.636</v>
      </c>
      <c r="K26" s="117">
        <f t="shared" ca="1" si="35"/>
        <v>20200.899000000001</v>
      </c>
      <c r="L26" s="117">
        <f t="shared" ca="1" si="35"/>
        <v>31127.855630722621</v>
      </c>
      <c r="M26" s="117">
        <f t="shared" ca="1" si="35"/>
        <v>36750.613242956388</v>
      </c>
      <c r="N26" s="117">
        <f t="shared" ca="1" si="35"/>
        <v>39346.650649641437</v>
      </c>
      <c r="O26" s="82"/>
      <c r="P26" s="82"/>
      <c r="Q26" s="82"/>
      <c r="R26" s="82"/>
      <c r="S26" s="82"/>
      <c r="T26" s="117">
        <f t="shared" ref="T26:AZ26" si="36">T24+T14</f>
        <v>0</v>
      </c>
      <c r="U26" s="117">
        <f t="shared" si="36"/>
        <v>0</v>
      </c>
      <c r="V26" s="117">
        <f t="shared" si="36"/>
        <v>0</v>
      </c>
      <c r="W26" s="117">
        <f t="shared" si="36"/>
        <v>0</v>
      </c>
      <c r="X26" s="117">
        <f t="shared" si="36"/>
        <v>0</v>
      </c>
      <c r="Y26" s="117">
        <f t="shared" si="36"/>
        <v>0</v>
      </c>
      <c r="Z26" s="117">
        <f t="shared" si="36"/>
        <v>0</v>
      </c>
      <c r="AA26" s="117">
        <f t="shared" si="36"/>
        <v>0</v>
      </c>
      <c r="AB26" s="117">
        <f t="shared" si="36"/>
        <v>0</v>
      </c>
      <c r="AC26" s="117">
        <f t="shared" si="36"/>
        <v>0</v>
      </c>
      <c r="AD26" s="117">
        <f t="shared" si="36"/>
        <v>0</v>
      </c>
      <c r="AE26" s="117">
        <f t="shared" si="36"/>
        <v>0</v>
      </c>
      <c r="AF26" s="117">
        <f t="shared" si="36"/>
        <v>0</v>
      </c>
      <c r="AG26" s="117">
        <f t="shared" si="36"/>
        <v>0</v>
      </c>
      <c r="AH26" s="117">
        <f t="shared" si="36"/>
        <v>0</v>
      </c>
      <c r="AI26" s="117">
        <f t="shared" si="36"/>
        <v>0</v>
      </c>
      <c r="AJ26" s="117">
        <f t="shared" si="36"/>
        <v>13631.636</v>
      </c>
      <c r="AK26" s="117">
        <f t="shared" si="36"/>
        <v>0</v>
      </c>
      <c r="AL26" s="117">
        <f t="shared" si="36"/>
        <v>0</v>
      </c>
      <c r="AM26" s="117">
        <f t="shared" si="36"/>
        <v>0</v>
      </c>
      <c r="AN26" s="117">
        <f t="shared" si="36"/>
        <v>20200.899000000001</v>
      </c>
      <c r="AO26" s="117">
        <f t="shared" ca="1" si="36"/>
        <v>32964.341164536716</v>
      </c>
      <c r="AP26" s="117">
        <f t="shared" ca="1" si="36"/>
        <v>33276.260698077662</v>
      </c>
      <c r="AQ26" s="117">
        <f t="shared" ca="1" si="36"/>
        <v>29832.453919983178</v>
      </c>
      <c r="AR26" s="117">
        <f t="shared" ca="1" si="36"/>
        <v>31127.855630722621</v>
      </c>
      <c r="AS26" s="117">
        <f t="shared" ca="1" si="36"/>
        <v>26103.381042621149</v>
      </c>
      <c r="AT26" s="117">
        <f t="shared" ca="1" si="36"/>
        <v>29928.352477262622</v>
      </c>
      <c r="AU26" s="117">
        <f t="shared" ca="1" si="36"/>
        <v>28593.475802913163</v>
      </c>
      <c r="AV26" s="117">
        <f t="shared" ca="1" si="36"/>
        <v>36750.613242956388</v>
      </c>
      <c r="AW26" s="117">
        <f t="shared" ca="1" si="36"/>
        <v>26490.887639271918</v>
      </c>
      <c r="AX26" s="117">
        <f t="shared" ca="1" si="36"/>
        <v>36628.286478424321</v>
      </c>
      <c r="AY26" s="117">
        <f t="shared" ca="1" si="36"/>
        <v>22587.36305644516</v>
      </c>
      <c r="AZ26" s="117">
        <f t="shared" ca="1" si="36"/>
        <v>39346.650649641437</v>
      </c>
      <c r="BA26" s="58"/>
    </row>
    <row r="27" spans="2:53">
      <c r="B27" s="8"/>
      <c r="C27" s="8"/>
      <c r="D27" s="8"/>
      <c r="E27" s="82"/>
      <c r="F27" s="117"/>
      <c r="G27" s="117"/>
      <c r="H27" s="117"/>
      <c r="I27" s="117"/>
      <c r="J27" s="125"/>
      <c r="K27" s="125"/>
      <c r="L27" s="125"/>
      <c r="M27" s="125"/>
      <c r="N27" s="125"/>
      <c r="O27" s="82"/>
      <c r="P27" s="82"/>
      <c r="Q27" s="82"/>
      <c r="R27" s="82"/>
      <c r="S27" s="82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70"/>
      <c r="AO27" s="70"/>
      <c r="AP27" s="70"/>
      <c r="BA27" s="58"/>
    </row>
    <row r="28" spans="2:53">
      <c r="B28" s="8" t="s">
        <v>248</v>
      </c>
      <c r="E28" s="58"/>
      <c r="F28" s="109"/>
      <c r="G28" s="109"/>
      <c r="H28" s="109"/>
      <c r="I28" s="109"/>
      <c r="J28" s="109"/>
      <c r="K28" s="109"/>
      <c r="L28" s="109"/>
      <c r="M28" s="109"/>
      <c r="N28" s="109"/>
      <c r="O28" s="58"/>
      <c r="P28" s="58"/>
      <c r="Q28" s="58"/>
      <c r="R28" s="58"/>
      <c r="S28" s="58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58"/>
    </row>
    <row r="29" spans="2:53">
      <c r="B29" s="3" t="s">
        <v>192</v>
      </c>
      <c r="E29" s="58"/>
      <c r="F29" s="109"/>
      <c r="G29" s="109"/>
      <c r="H29" s="109"/>
      <c r="I29" s="109"/>
      <c r="J29" s="109">
        <f t="shared" ref="J29:N31" ca="1" si="37">OFFSET($P29,0,J$2,1,1)</f>
        <v>100</v>
      </c>
      <c r="K29" s="109">
        <f t="shared" ca="1" si="37"/>
        <v>299.37400000000002</v>
      </c>
      <c r="L29" s="109">
        <f t="shared" ca="1" si="37"/>
        <v>0</v>
      </c>
      <c r="M29" s="109">
        <f t="shared" ca="1" si="37"/>
        <v>0</v>
      </c>
      <c r="N29" s="109">
        <f t="shared" ca="1" si="37"/>
        <v>0</v>
      </c>
      <c r="O29" s="58"/>
      <c r="P29" s="58"/>
      <c r="Q29" s="58"/>
      <c r="R29" s="58"/>
      <c r="S29" s="58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>
        <v>100</v>
      </c>
      <c r="AK29" s="120"/>
      <c r="AL29" s="120"/>
      <c r="AM29" s="120"/>
      <c r="AN29" s="120">
        <v>299.37400000000002</v>
      </c>
      <c r="AO29" s="109">
        <f>SUM(AO129:AO131)</f>
        <v>299.37400000000002</v>
      </c>
      <c r="AP29" s="109">
        <f t="shared" ref="AP29:AZ29" si="38">SUM(AP129:AP131)</f>
        <v>299.37400000000002</v>
      </c>
      <c r="AQ29" s="109">
        <f t="shared" si="38"/>
        <v>193.71600000000001</v>
      </c>
      <c r="AR29" s="109">
        <f t="shared" si="38"/>
        <v>0</v>
      </c>
      <c r="AS29" s="109">
        <f t="shared" si="38"/>
        <v>0</v>
      </c>
      <c r="AT29" s="109">
        <f t="shared" si="38"/>
        <v>0</v>
      </c>
      <c r="AU29" s="109">
        <f t="shared" si="38"/>
        <v>0</v>
      </c>
      <c r="AV29" s="109">
        <f t="shared" si="38"/>
        <v>0</v>
      </c>
      <c r="AW29" s="109">
        <f t="shared" si="38"/>
        <v>0</v>
      </c>
      <c r="AX29" s="109">
        <f t="shared" si="38"/>
        <v>0</v>
      </c>
      <c r="AY29" s="109">
        <f t="shared" si="38"/>
        <v>0</v>
      </c>
      <c r="AZ29" s="109">
        <f t="shared" si="38"/>
        <v>0</v>
      </c>
      <c r="BA29" s="58"/>
    </row>
    <row r="30" spans="2:53">
      <c r="B30" s="3" t="s">
        <v>246</v>
      </c>
      <c r="E30" s="58"/>
      <c r="F30" s="109"/>
      <c r="G30" s="109"/>
      <c r="H30" s="109"/>
      <c r="I30" s="109"/>
      <c r="J30" s="109">
        <f t="shared" ca="1" si="37"/>
        <v>0</v>
      </c>
      <c r="K30" s="109">
        <f t="shared" ca="1" si="37"/>
        <v>10</v>
      </c>
      <c r="L30" s="109">
        <f t="shared" ca="1" si="37"/>
        <v>10</v>
      </c>
      <c r="M30" s="109">
        <f t="shared" ca="1" si="37"/>
        <v>274</v>
      </c>
      <c r="N30" s="109">
        <f t="shared" ca="1" si="37"/>
        <v>0</v>
      </c>
      <c r="O30" s="58"/>
      <c r="P30" s="58"/>
      <c r="Q30" s="58"/>
      <c r="R30" s="58"/>
      <c r="S30" s="58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>
        <v>0</v>
      </c>
      <c r="AK30" s="120"/>
      <c r="AL30" s="120"/>
      <c r="AM30" s="120"/>
      <c r="AN30" s="120">
        <v>10</v>
      </c>
      <c r="AO30" s="109">
        <f>SUM(AO132:AO133)+SUMIF($C149:$C151,"&lt;"&amp;AS140,AO135:AO137)</f>
        <v>10</v>
      </c>
      <c r="AP30" s="109">
        <f t="shared" ref="AP30:AV30" si="39">SUM(AP132:AP133)+SUMIF($C149:$C151,"&lt;"&amp;AT140,AP135:AP137)</f>
        <v>10</v>
      </c>
      <c r="AQ30" s="109">
        <f t="shared" si="39"/>
        <v>10</v>
      </c>
      <c r="AR30" s="109">
        <f t="shared" si="39"/>
        <v>10</v>
      </c>
      <c r="AS30" s="109">
        <f t="shared" si="39"/>
        <v>10</v>
      </c>
      <c r="AT30" s="109">
        <f t="shared" si="39"/>
        <v>279</v>
      </c>
      <c r="AU30" s="109">
        <f t="shared" si="39"/>
        <v>279</v>
      </c>
      <c r="AV30" s="109">
        <f t="shared" si="39"/>
        <v>274</v>
      </c>
      <c r="AW30" s="109">
        <f>SUM(AW132:AW133)+SUMIF($C149:$C151,"&lt;"&amp;#REF!,AW135:AW137)</f>
        <v>0</v>
      </c>
      <c r="AX30" s="109">
        <f>SUM(AX132:AX133)+SUMIF($C149:$C151,"&lt;"&amp;#REF!,AX135:AX137)</f>
        <v>0</v>
      </c>
      <c r="AY30" s="109">
        <f>SUM(AY132:AY133)+SUMIF($C149:$C151,"&lt;"&amp;#REF!,AY135:AY137)</f>
        <v>0</v>
      </c>
      <c r="AZ30" s="109">
        <f>SUM(AZ132:AZ133)+SUMIF($C149:$C151,"&lt;"&amp;#REF!,AZ135:AZ137)</f>
        <v>0</v>
      </c>
      <c r="BA30" s="58"/>
    </row>
    <row r="31" spans="2:53">
      <c r="B31" s="3" t="s">
        <v>471</v>
      </c>
      <c r="E31" s="58"/>
      <c r="F31" s="109"/>
      <c r="G31" s="109"/>
      <c r="H31" s="109"/>
      <c r="I31" s="109"/>
      <c r="J31" s="109">
        <f t="shared" ca="1" si="37"/>
        <v>4184.558</v>
      </c>
      <c r="K31" s="109">
        <f t="shared" ca="1" si="37"/>
        <v>7041.3040000000001</v>
      </c>
      <c r="L31" s="109">
        <f t="shared" ca="1" si="37"/>
        <v>9297.6641238430075</v>
      </c>
      <c r="M31" s="109">
        <f t="shared" ca="1" si="37"/>
        <v>12424.177273468806</v>
      </c>
      <c r="N31" s="109">
        <f t="shared" ca="1" si="37"/>
        <v>15661.693731854055</v>
      </c>
      <c r="O31" s="58"/>
      <c r="P31" s="58"/>
      <c r="Q31" s="58"/>
      <c r="R31" s="58"/>
      <c r="S31" s="58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>
        <v>4184.558</v>
      </c>
      <c r="AK31" s="120"/>
      <c r="AL31" s="120"/>
      <c r="AM31" s="120"/>
      <c r="AN31" s="120">
        <v>7041.3040000000001</v>
      </c>
      <c r="AO31" s="109">
        <f ca="1">SUM(AO32:AO33)</f>
        <v>6888.7874793929459</v>
      </c>
      <c r="AP31" s="109">
        <f t="shared" ref="AP31:AZ31" ca="1" si="40">SUM(AP32:AP33)</f>
        <v>8698.6684024729984</v>
      </c>
      <c r="AQ31" s="109">
        <f t="shared" ca="1" si="40"/>
        <v>7135.9279722522433</v>
      </c>
      <c r="AR31" s="109">
        <f t="shared" ca="1" si="40"/>
        <v>9297.6641238430075</v>
      </c>
      <c r="AS31" s="109">
        <f t="shared" ca="1" si="40"/>
        <v>7698.2319527837581</v>
      </c>
      <c r="AT31" s="109">
        <f t="shared" ca="1" si="40"/>
        <v>11113.810507752743</v>
      </c>
      <c r="AU31" s="109">
        <f t="shared" ca="1" si="40"/>
        <v>6340.7475067448777</v>
      </c>
      <c r="AV31" s="109">
        <f t="shared" ca="1" si="40"/>
        <v>12424.177273468806</v>
      </c>
      <c r="AW31" s="109">
        <f t="shared" ca="1" si="40"/>
        <v>6884.876406386089</v>
      </c>
      <c r="AX31" s="109">
        <f t="shared" ca="1" si="40"/>
        <v>14182.613852049421</v>
      </c>
      <c r="AY31" s="109">
        <f t="shared" ca="1" si="40"/>
        <v>4405.4990525153826</v>
      </c>
      <c r="AZ31" s="109">
        <f t="shared" ca="1" si="40"/>
        <v>15661.693731854055</v>
      </c>
      <c r="BA31" s="58"/>
    </row>
    <row r="32" spans="2:53">
      <c r="B32" s="52" t="s">
        <v>591</v>
      </c>
      <c r="E32" s="58"/>
      <c r="F32" s="109"/>
      <c r="G32" s="109"/>
      <c r="H32" s="109"/>
      <c r="I32" s="109"/>
      <c r="J32" s="109">
        <f>J122</f>
        <v>2194.5540000000001</v>
      </c>
      <c r="K32" s="109">
        <f>K122</f>
        <v>4040.4760000000001</v>
      </c>
      <c r="L32" s="109">
        <f t="shared" ref="L32:N36" ca="1" si="41">OFFSET($P32,0,L$2,1,1)</f>
        <v>5085.7541954012577</v>
      </c>
      <c r="M32" s="109">
        <f t="shared" ca="1" si="41"/>
        <v>5645.5917733405549</v>
      </c>
      <c r="N32" s="109">
        <f t="shared" ca="1" si="41"/>
        <v>5920.5442286584303</v>
      </c>
      <c r="O32" s="58"/>
      <c r="P32" s="58"/>
      <c r="Q32" s="58"/>
      <c r="R32" s="58"/>
      <c r="S32" s="58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>
        <v>2194.5540000000001</v>
      </c>
      <c r="AK32" s="120"/>
      <c r="AL32" s="120"/>
      <c r="AM32" s="120"/>
      <c r="AN32" s="120">
        <v>4040.4760000000001</v>
      </c>
      <c r="AO32" s="109">
        <f>AO239</f>
        <v>4174.4214871349313</v>
      </c>
      <c r="AP32" s="109">
        <f t="shared" ref="AP32:AZ32" si="42">AP239</f>
        <v>4465.3113594541283</v>
      </c>
      <c r="AQ32" s="109">
        <f t="shared" si="42"/>
        <v>4831.5377262435559</v>
      </c>
      <c r="AR32" s="109">
        <f t="shared" si="42"/>
        <v>5085.7541954012577</v>
      </c>
      <c r="AS32" s="109">
        <f t="shared" si="42"/>
        <v>5194.5710036355968</v>
      </c>
      <c r="AT32" s="109">
        <f t="shared" si="42"/>
        <v>5366.5343201620517</v>
      </c>
      <c r="AU32" s="109">
        <f t="shared" si="42"/>
        <v>5563.8384101390147</v>
      </c>
      <c r="AV32" s="109">
        <f t="shared" si="42"/>
        <v>5645.5917733405549</v>
      </c>
      <c r="AW32" s="109">
        <f t="shared" si="42"/>
        <v>5663.1213096273623</v>
      </c>
      <c r="AX32" s="109">
        <f t="shared" si="42"/>
        <v>5762.8234810428021</v>
      </c>
      <c r="AY32" s="109">
        <f t="shared" si="42"/>
        <v>5883.1896582124346</v>
      </c>
      <c r="AZ32" s="109">
        <f t="shared" si="42"/>
        <v>5920.5442286584303</v>
      </c>
      <c r="BA32" s="58"/>
    </row>
    <row r="33" spans="1:53">
      <c r="B33" s="52" t="s">
        <v>592</v>
      </c>
      <c r="E33" s="58"/>
      <c r="F33" s="109"/>
      <c r="G33" s="109"/>
      <c r="H33" s="109"/>
      <c r="I33" s="109"/>
      <c r="J33" s="109">
        <f ca="1">J31-J32</f>
        <v>1990.0039999999999</v>
      </c>
      <c r="K33" s="109">
        <f ca="1">K31-K32</f>
        <v>3000.828</v>
      </c>
      <c r="L33" s="109">
        <f t="shared" ca="1" si="41"/>
        <v>4211.9099284417498</v>
      </c>
      <c r="M33" s="109">
        <f t="shared" ca="1" si="41"/>
        <v>6778.5855001282507</v>
      </c>
      <c r="N33" s="109">
        <f t="shared" ca="1" si="41"/>
        <v>9741.1495031956256</v>
      </c>
      <c r="O33" s="58"/>
      <c r="P33" s="58"/>
      <c r="Q33" s="58"/>
      <c r="R33" s="58"/>
      <c r="S33" s="58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>
        <v>1990.0039999999999</v>
      </c>
      <c r="AK33" s="120"/>
      <c r="AL33" s="120"/>
      <c r="AM33" s="120"/>
      <c r="AN33" s="120">
        <v>3000.828</v>
      </c>
      <c r="AO33" s="109">
        <f ca="1">AO305</f>
        <v>2714.365992258015</v>
      </c>
      <c r="AP33" s="109">
        <f t="shared" ref="AP33:AZ33" ca="1" si="43">AP305</f>
        <v>4233.3570430188702</v>
      </c>
      <c r="AQ33" s="109">
        <f t="shared" ca="1" si="43"/>
        <v>2304.3902460086874</v>
      </c>
      <c r="AR33" s="109">
        <f t="shared" ca="1" si="43"/>
        <v>4211.9099284417498</v>
      </c>
      <c r="AS33" s="109">
        <f t="shared" ca="1" si="43"/>
        <v>2503.6609491481613</v>
      </c>
      <c r="AT33" s="109">
        <f t="shared" ca="1" si="43"/>
        <v>5747.2761875906926</v>
      </c>
      <c r="AU33" s="109">
        <f t="shared" ca="1" si="43"/>
        <v>776.90909660586294</v>
      </c>
      <c r="AV33" s="109">
        <f t="shared" ca="1" si="43"/>
        <v>6778.5855001282507</v>
      </c>
      <c r="AW33" s="109">
        <f t="shared" ca="1" si="43"/>
        <v>1221.7550967587267</v>
      </c>
      <c r="AX33" s="109">
        <f t="shared" ca="1" si="43"/>
        <v>8419.7903710066184</v>
      </c>
      <c r="AY33" s="109">
        <f t="shared" ca="1" si="43"/>
        <v>-1477.690605697052</v>
      </c>
      <c r="AZ33" s="109">
        <f t="shared" ca="1" si="43"/>
        <v>9741.1495031956256</v>
      </c>
      <c r="BA33" s="58"/>
    </row>
    <row r="34" spans="1:53">
      <c r="B34" s="3" t="s">
        <v>243</v>
      </c>
      <c r="E34" s="58"/>
      <c r="F34" s="109"/>
      <c r="G34" s="109"/>
      <c r="H34" s="109"/>
      <c r="I34" s="109"/>
      <c r="J34" s="109">
        <f t="shared" ref="J34:K36" ca="1" si="44">OFFSET($P34,0,J$2,1,1)</f>
        <v>4946.87</v>
      </c>
      <c r="K34" s="109">
        <f t="shared" ca="1" si="44"/>
        <v>130.09899999999999</v>
      </c>
      <c r="L34" s="109">
        <f t="shared" ca="1" si="41"/>
        <v>130.09899999999999</v>
      </c>
      <c r="M34" s="109">
        <f t="shared" ca="1" si="41"/>
        <v>130.09899999999999</v>
      </c>
      <c r="N34" s="109">
        <f t="shared" ca="1" si="41"/>
        <v>130.09899999999999</v>
      </c>
      <c r="O34" s="58"/>
      <c r="P34" s="58"/>
      <c r="Q34" s="58"/>
      <c r="R34" s="58"/>
      <c r="S34" s="58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>
        <v>4946.87</v>
      </c>
      <c r="AK34" s="120"/>
      <c r="AL34" s="120"/>
      <c r="AM34" s="120"/>
      <c r="AN34" s="120">
        <v>130.09899999999999</v>
      </c>
      <c r="AO34" s="89">
        <f t="shared" ref="AO34:AZ34" si="45">AN34</f>
        <v>130.09899999999999</v>
      </c>
      <c r="AP34" s="89">
        <f t="shared" si="45"/>
        <v>130.09899999999999</v>
      </c>
      <c r="AQ34" s="89">
        <f t="shared" si="45"/>
        <v>130.09899999999999</v>
      </c>
      <c r="AR34" s="89">
        <f t="shared" si="45"/>
        <v>130.09899999999999</v>
      </c>
      <c r="AS34" s="89">
        <f t="shared" si="45"/>
        <v>130.09899999999999</v>
      </c>
      <c r="AT34" s="89">
        <f t="shared" si="45"/>
        <v>130.09899999999999</v>
      </c>
      <c r="AU34" s="89">
        <f t="shared" si="45"/>
        <v>130.09899999999999</v>
      </c>
      <c r="AV34" s="89">
        <f t="shared" si="45"/>
        <v>130.09899999999999</v>
      </c>
      <c r="AW34" s="89">
        <f t="shared" si="45"/>
        <v>130.09899999999999</v>
      </c>
      <c r="AX34" s="89">
        <f t="shared" si="45"/>
        <v>130.09899999999999</v>
      </c>
      <c r="AY34" s="89">
        <f t="shared" si="45"/>
        <v>130.09899999999999</v>
      </c>
      <c r="AZ34" s="89">
        <f t="shared" si="45"/>
        <v>130.09899999999999</v>
      </c>
      <c r="BA34" s="58"/>
    </row>
    <row r="35" spans="1:53">
      <c r="B35" s="3" t="s">
        <v>469</v>
      </c>
      <c r="E35" s="58"/>
      <c r="F35" s="109"/>
      <c r="G35" s="109"/>
      <c r="H35" s="109"/>
      <c r="I35" s="109"/>
      <c r="J35" s="109">
        <f t="shared" ca="1" si="44"/>
        <v>796.70299999999997</v>
      </c>
      <c r="K35" s="109">
        <f t="shared" ca="1" si="44"/>
        <v>1633.6489999999999</v>
      </c>
      <c r="L35" s="109">
        <f t="shared" ca="1" si="41"/>
        <v>2559.700697512365</v>
      </c>
      <c r="M35" s="109">
        <f t="shared" ca="1" si="41"/>
        <v>3402.1824315755748</v>
      </c>
      <c r="N35" s="109">
        <f t="shared" ca="1" si="41"/>
        <v>3953.3669320280769</v>
      </c>
      <c r="O35" s="58"/>
      <c r="P35" s="58"/>
      <c r="Q35" s="58"/>
      <c r="R35" s="58"/>
      <c r="S35" s="58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>
        <v>796.70299999999997</v>
      </c>
      <c r="AK35" s="120"/>
      <c r="AL35" s="120"/>
      <c r="AM35" s="120"/>
      <c r="AN35" s="120">
        <v>1633.6489999999999</v>
      </c>
      <c r="AO35" s="109">
        <f t="shared" ref="AO35:AZ35" si="46">AO307</f>
        <v>1723.9467375764666</v>
      </c>
      <c r="AP35" s="109">
        <f t="shared" si="46"/>
        <v>2235.3284507978651</v>
      </c>
      <c r="AQ35" s="109">
        <f t="shared" si="46"/>
        <v>2098.6483275200999</v>
      </c>
      <c r="AR35" s="109">
        <f t="shared" si="46"/>
        <v>2559.700697512365</v>
      </c>
      <c r="AS35" s="109">
        <f t="shared" si="46"/>
        <v>2228.1614672559263</v>
      </c>
      <c r="AT35" s="109">
        <f t="shared" si="46"/>
        <v>3164.9421868642094</v>
      </c>
      <c r="AU35" s="109">
        <f t="shared" si="46"/>
        <v>2847.2554952194587</v>
      </c>
      <c r="AV35" s="109">
        <f t="shared" si="46"/>
        <v>3402.1824315755748</v>
      </c>
      <c r="AW35" s="109">
        <f t="shared" si="46"/>
        <v>3258.2879893381414</v>
      </c>
      <c r="AX35" s="109">
        <f t="shared" si="46"/>
        <v>3909.7850009717949</v>
      </c>
      <c r="AY35" s="109">
        <f t="shared" si="46"/>
        <v>4228.767234769115</v>
      </c>
      <c r="AZ35" s="109">
        <f t="shared" si="46"/>
        <v>3953.3669320280769</v>
      </c>
      <c r="BA35" s="58"/>
    </row>
    <row r="36" spans="1:53">
      <c r="B36" s="3" t="s">
        <v>470</v>
      </c>
      <c r="E36" s="58"/>
      <c r="F36" s="109"/>
      <c r="G36" s="109"/>
      <c r="H36" s="109"/>
      <c r="I36" s="109"/>
      <c r="J36" s="109">
        <f t="shared" ca="1" si="44"/>
        <v>1861.722</v>
      </c>
      <c r="K36" s="109">
        <f t="shared" ca="1" si="44"/>
        <v>2511.1860000000001</v>
      </c>
      <c r="L36" s="109">
        <f t="shared" ca="1" si="41"/>
        <v>3844.3308788686386</v>
      </c>
      <c r="M36" s="109">
        <f t="shared" ca="1" si="41"/>
        <v>5264.041173528637</v>
      </c>
      <c r="N36" s="109">
        <f t="shared" ca="1" si="41"/>
        <v>7282.2886600708116</v>
      </c>
      <c r="O36" s="58"/>
      <c r="P36" s="58"/>
      <c r="Q36" s="58"/>
      <c r="R36" s="58"/>
      <c r="S36" s="58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>
        <v>1861.722</v>
      </c>
      <c r="AK36" s="120"/>
      <c r="AL36" s="120"/>
      <c r="AM36" s="120"/>
      <c r="AN36" s="120">
        <v>2511.1860000000001</v>
      </c>
      <c r="AO36" s="109">
        <f>AO308</f>
        <v>2819.7591633931193</v>
      </c>
      <c r="AP36" s="109">
        <f t="shared" ref="AP36:AZ36" si="47">AP308</f>
        <v>2971.62244188252</v>
      </c>
      <c r="AQ36" s="109">
        <f t="shared" si="47"/>
        <v>2917.5264665864001</v>
      </c>
      <c r="AR36" s="109">
        <f t="shared" si="47"/>
        <v>3844.3308788686386</v>
      </c>
      <c r="AS36" s="109">
        <f t="shared" si="47"/>
        <v>2611.521386655169</v>
      </c>
      <c r="AT36" s="109">
        <f t="shared" si="47"/>
        <v>4140.9751052215179</v>
      </c>
      <c r="AU36" s="109">
        <f t="shared" si="47"/>
        <v>2605.4323950288781</v>
      </c>
      <c r="AV36" s="109">
        <f t="shared" si="47"/>
        <v>5264.041173528637</v>
      </c>
      <c r="AW36" s="109">
        <f t="shared" si="47"/>
        <v>2306.9749334062908</v>
      </c>
      <c r="AX36" s="109">
        <f t="shared" si="47"/>
        <v>6085.8427174137032</v>
      </c>
      <c r="AY36" s="109">
        <f t="shared" si="47"/>
        <v>1533.5535398070442</v>
      </c>
      <c r="AZ36" s="109">
        <f t="shared" si="47"/>
        <v>7282.2886600708116</v>
      </c>
      <c r="BA36" s="58"/>
    </row>
    <row r="37" spans="1:53" s="7" customFormat="1">
      <c r="A37" s="8"/>
      <c r="B37" s="9" t="s">
        <v>239</v>
      </c>
      <c r="C37" s="8"/>
      <c r="D37" s="8"/>
      <c r="E37" s="82"/>
      <c r="F37" s="117"/>
      <c r="G37" s="117"/>
      <c r="H37" s="117"/>
      <c r="I37" s="117"/>
      <c r="J37" s="117">
        <f ca="1">SUM(J29:J36)-SUM(J32:J33)</f>
        <v>11889.852999999999</v>
      </c>
      <c r="K37" s="117">
        <f t="shared" ref="K37:N37" ca="1" si="48">SUM(K29:K36)-SUM(K32:K33)</f>
        <v>11625.612000000001</v>
      </c>
      <c r="L37" s="117">
        <f t="shared" ca="1" si="48"/>
        <v>15841.794700224009</v>
      </c>
      <c r="M37" s="117">
        <f t="shared" ca="1" si="48"/>
        <v>21494.49987857302</v>
      </c>
      <c r="N37" s="117">
        <f t="shared" ca="1" si="48"/>
        <v>27027.44832395294</v>
      </c>
      <c r="O37" s="82"/>
      <c r="P37" s="82"/>
      <c r="Q37" s="82"/>
      <c r="R37" s="82"/>
      <c r="S37" s="82"/>
      <c r="T37" s="117">
        <f>SUM(T29:T36)-SUM(T32:T33)</f>
        <v>0</v>
      </c>
      <c r="U37" s="117">
        <f t="shared" ref="U37:AZ37" si="49">SUM(U29:U36)-SUM(U32:U33)</f>
        <v>0</v>
      </c>
      <c r="V37" s="117">
        <f t="shared" si="49"/>
        <v>0</v>
      </c>
      <c r="W37" s="117">
        <f t="shared" si="49"/>
        <v>0</v>
      </c>
      <c r="X37" s="117">
        <f t="shared" si="49"/>
        <v>0</v>
      </c>
      <c r="Y37" s="117">
        <f t="shared" si="49"/>
        <v>0</v>
      </c>
      <c r="Z37" s="117">
        <f t="shared" si="49"/>
        <v>0</v>
      </c>
      <c r="AA37" s="117">
        <f t="shared" si="49"/>
        <v>0</v>
      </c>
      <c r="AB37" s="117">
        <f t="shared" si="49"/>
        <v>0</v>
      </c>
      <c r="AC37" s="117">
        <f t="shared" si="49"/>
        <v>0</v>
      </c>
      <c r="AD37" s="117">
        <f t="shared" si="49"/>
        <v>0</v>
      </c>
      <c r="AE37" s="117">
        <f t="shared" si="49"/>
        <v>0</v>
      </c>
      <c r="AF37" s="117">
        <f t="shared" si="49"/>
        <v>0</v>
      </c>
      <c r="AG37" s="117">
        <f t="shared" si="49"/>
        <v>0</v>
      </c>
      <c r="AH37" s="117">
        <f t="shared" si="49"/>
        <v>0</v>
      </c>
      <c r="AI37" s="117">
        <f t="shared" si="49"/>
        <v>0</v>
      </c>
      <c r="AJ37" s="117">
        <f t="shared" si="49"/>
        <v>11889.852999999999</v>
      </c>
      <c r="AK37" s="117">
        <f t="shared" si="49"/>
        <v>0</v>
      </c>
      <c r="AL37" s="117">
        <f t="shared" si="49"/>
        <v>0</v>
      </c>
      <c r="AM37" s="117">
        <f t="shared" si="49"/>
        <v>0</v>
      </c>
      <c r="AN37" s="117">
        <f t="shared" si="49"/>
        <v>11625.612000000001</v>
      </c>
      <c r="AO37" s="117">
        <f t="shared" ca="1" si="49"/>
        <v>11871.966380362532</v>
      </c>
      <c r="AP37" s="117">
        <f t="shared" ca="1" si="49"/>
        <v>14345.092295153379</v>
      </c>
      <c r="AQ37" s="117">
        <f t="shared" ca="1" si="49"/>
        <v>12485.917766358743</v>
      </c>
      <c r="AR37" s="117">
        <f t="shared" ca="1" si="49"/>
        <v>15841.794700224009</v>
      </c>
      <c r="AS37" s="117">
        <f t="shared" ca="1" si="49"/>
        <v>12678.013806694853</v>
      </c>
      <c r="AT37" s="117">
        <f t="shared" ca="1" si="49"/>
        <v>18828.826799838469</v>
      </c>
      <c r="AU37" s="117">
        <f t="shared" ca="1" si="49"/>
        <v>12202.534396993213</v>
      </c>
      <c r="AV37" s="117">
        <f t="shared" ca="1" si="49"/>
        <v>21494.49987857302</v>
      </c>
      <c r="AW37" s="117">
        <f t="shared" ca="1" si="49"/>
        <v>12580.238329130521</v>
      </c>
      <c r="AX37" s="117">
        <f t="shared" ca="1" si="49"/>
        <v>24308.340570434921</v>
      </c>
      <c r="AY37" s="117">
        <f t="shared" ca="1" si="49"/>
        <v>10297.918827091542</v>
      </c>
      <c r="AZ37" s="117">
        <f t="shared" ca="1" si="49"/>
        <v>27027.44832395294</v>
      </c>
      <c r="BA37" s="58"/>
    </row>
    <row r="38" spans="1:53" s="7" customFormat="1">
      <c r="A38" s="8"/>
      <c r="B38" s="9"/>
      <c r="C38" s="8"/>
      <c r="D38" s="8"/>
      <c r="E38" s="82"/>
      <c r="F38" s="117"/>
      <c r="G38" s="117"/>
      <c r="H38" s="117"/>
      <c r="I38" s="117"/>
      <c r="J38" s="117"/>
      <c r="K38" s="117"/>
      <c r="L38" s="117"/>
      <c r="M38" s="117"/>
      <c r="N38" s="117"/>
      <c r="O38" s="82"/>
      <c r="P38" s="82"/>
      <c r="Q38" s="82"/>
      <c r="R38" s="82"/>
      <c r="S38" s="82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58"/>
    </row>
    <row r="39" spans="1:53">
      <c r="B39" s="3" t="s">
        <v>238</v>
      </c>
      <c r="E39" s="58"/>
      <c r="F39" s="109"/>
      <c r="G39" s="109"/>
      <c r="H39" s="109"/>
      <c r="I39" s="109"/>
      <c r="J39" s="109">
        <f t="shared" ref="J39:N41" ca="1" si="50">OFFSET($P39,0,J$2,1,1)</f>
        <v>0</v>
      </c>
      <c r="K39" s="109">
        <f t="shared" ca="1" si="50"/>
        <v>284</v>
      </c>
      <c r="L39" s="109">
        <f t="shared" ca="1" si="50"/>
        <v>274</v>
      </c>
      <c r="M39" s="109">
        <f t="shared" ca="1" si="50"/>
        <v>0</v>
      </c>
      <c r="N39" s="109">
        <f t="shared" ca="1" si="50"/>
        <v>0</v>
      </c>
      <c r="O39" s="58"/>
      <c r="P39" s="58"/>
      <c r="Q39" s="58"/>
      <c r="R39" s="58"/>
      <c r="S39" s="58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>
        <v>0</v>
      </c>
      <c r="AK39" s="120"/>
      <c r="AL39" s="120"/>
      <c r="AM39" s="120"/>
      <c r="AN39" s="120">
        <v>284</v>
      </c>
      <c r="AO39" s="109">
        <f>SUMIF($C149:$C151,"&gt;="&amp;AS140,AO135:AO137)</f>
        <v>284</v>
      </c>
      <c r="AP39" s="109">
        <f t="shared" ref="AP39:AV39" si="51">SUMIF($C149:$C151,"&gt;="&amp;AT140,AP135:AP137)</f>
        <v>279</v>
      </c>
      <c r="AQ39" s="109">
        <f t="shared" si="51"/>
        <v>279</v>
      </c>
      <c r="AR39" s="109">
        <f t="shared" si="51"/>
        <v>274</v>
      </c>
      <c r="AS39" s="109">
        <f t="shared" si="51"/>
        <v>274</v>
      </c>
      <c r="AT39" s="109">
        <f t="shared" si="51"/>
        <v>0</v>
      </c>
      <c r="AU39" s="109">
        <f t="shared" si="51"/>
        <v>0</v>
      </c>
      <c r="AV39" s="109">
        <f t="shared" si="51"/>
        <v>0</v>
      </c>
      <c r="AW39" s="109">
        <f>SUMIF($C149:$C151,"&gt;="&amp;#REF!,AW135:AW137)</f>
        <v>0</v>
      </c>
      <c r="AX39" s="109">
        <f>SUMIF($C149:$C151,"&gt;="&amp;#REF!,AX135:AX137)</f>
        <v>0</v>
      </c>
      <c r="AY39" s="109">
        <f>SUMIF($C149:$C151,"&gt;="&amp;#REF!,AY135:AY137)</f>
        <v>0</v>
      </c>
      <c r="AZ39" s="109">
        <f>SUMIF($C149:$C151,"&gt;="&amp;#REF!,AZ135:AZ137)</f>
        <v>0</v>
      </c>
      <c r="BA39" s="58"/>
    </row>
    <row r="40" spans="1:53">
      <c r="B40" s="3" t="s">
        <v>234</v>
      </c>
      <c r="E40" s="58"/>
      <c r="F40" s="109"/>
      <c r="G40" s="109"/>
      <c r="H40" s="109"/>
      <c r="I40" s="109"/>
      <c r="J40" s="109">
        <f t="shared" ca="1" si="50"/>
        <v>6.9420000000000002</v>
      </c>
      <c r="K40" s="109">
        <f t="shared" ca="1" si="50"/>
        <v>2.2549999999999999</v>
      </c>
      <c r="L40" s="109">
        <f t="shared" ca="1" si="50"/>
        <v>2.2549999999999999</v>
      </c>
      <c r="M40" s="109">
        <f t="shared" ca="1" si="50"/>
        <v>2.2549999999999999</v>
      </c>
      <c r="N40" s="109">
        <f t="shared" ca="1" si="50"/>
        <v>2.2549999999999999</v>
      </c>
      <c r="O40" s="58"/>
      <c r="P40" s="58"/>
      <c r="Q40" s="58"/>
      <c r="R40" s="58"/>
      <c r="S40" s="58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>
        <v>6.9420000000000002</v>
      </c>
      <c r="AK40" s="120"/>
      <c r="AL40" s="120"/>
      <c r="AM40" s="120"/>
      <c r="AN40" s="120">
        <v>2.2549999999999999</v>
      </c>
      <c r="AO40" s="89">
        <f t="shared" ref="AO40:AZ41" si="52">AN40</f>
        <v>2.2549999999999999</v>
      </c>
      <c r="AP40" s="89">
        <f t="shared" si="52"/>
        <v>2.2549999999999999</v>
      </c>
      <c r="AQ40" s="89">
        <f t="shared" si="52"/>
        <v>2.2549999999999999</v>
      </c>
      <c r="AR40" s="89">
        <f t="shared" si="52"/>
        <v>2.2549999999999999</v>
      </c>
      <c r="AS40" s="89">
        <f t="shared" si="52"/>
        <v>2.2549999999999999</v>
      </c>
      <c r="AT40" s="89">
        <f t="shared" si="52"/>
        <v>2.2549999999999999</v>
      </c>
      <c r="AU40" s="89">
        <f t="shared" si="52"/>
        <v>2.2549999999999999</v>
      </c>
      <c r="AV40" s="89">
        <f t="shared" si="52"/>
        <v>2.2549999999999999</v>
      </c>
      <c r="AW40" s="89">
        <f t="shared" si="52"/>
        <v>2.2549999999999999</v>
      </c>
      <c r="AX40" s="89">
        <f t="shared" si="52"/>
        <v>2.2549999999999999</v>
      </c>
      <c r="AY40" s="89">
        <f t="shared" si="52"/>
        <v>2.2549999999999999</v>
      </c>
      <c r="AZ40" s="89">
        <f t="shared" si="52"/>
        <v>2.2549999999999999</v>
      </c>
      <c r="BA40" s="58"/>
    </row>
    <row r="41" spans="1:53">
      <c r="B41" s="3" t="s">
        <v>472</v>
      </c>
      <c r="E41" s="58"/>
      <c r="F41" s="109"/>
      <c r="G41" s="109"/>
      <c r="H41" s="109"/>
      <c r="I41" s="109"/>
      <c r="J41" s="109">
        <f t="shared" ca="1" si="50"/>
        <v>0.34699999999999998</v>
      </c>
      <c r="K41" s="109">
        <f t="shared" ca="1" si="50"/>
        <v>6.4320000000000004</v>
      </c>
      <c r="L41" s="109">
        <f t="shared" ca="1" si="50"/>
        <v>6.4320000000000004</v>
      </c>
      <c r="M41" s="109">
        <f t="shared" ca="1" si="50"/>
        <v>6.4320000000000004</v>
      </c>
      <c r="N41" s="109">
        <f t="shared" ca="1" si="50"/>
        <v>6.4320000000000004</v>
      </c>
      <c r="O41" s="58"/>
      <c r="P41" s="58"/>
      <c r="Q41" s="58"/>
      <c r="R41" s="58"/>
      <c r="S41" s="58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>
        <v>0.34699999999999998</v>
      </c>
      <c r="AK41" s="120"/>
      <c r="AL41" s="120"/>
      <c r="AM41" s="120"/>
      <c r="AN41" s="120">
        <v>6.4320000000000004</v>
      </c>
      <c r="AO41" s="89">
        <f t="shared" si="52"/>
        <v>6.4320000000000004</v>
      </c>
      <c r="AP41" s="89">
        <f t="shared" si="52"/>
        <v>6.4320000000000004</v>
      </c>
      <c r="AQ41" s="89">
        <f t="shared" si="52"/>
        <v>6.4320000000000004</v>
      </c>
      <c r="AR41" s="89">
        <f t="shared" si="52"/>
        <v>6.4320000000000004</v>
      </c>
      <c r="AS41" s="89">
        <f t="shared" si="52"/>
        <v>6.4320000000000004</v>
      </c>
      <c r="AT41" s="89">
        <f t="shared" si="52"/>
        <v>6.4320000000000004</v>
      </c>
      <c r="AU41" s="89">
        <f t="shared" si="52"/>
        <v>6.4320000000000004</v>
      </c>
      <c r="AV41" s="89">
        <f t="shared" si="52"/>
        <v>6.4320000000000004</v>
      </c>
      <c r="AW41" s="89">
        <f t="shared" si="52"/>
        <v>6.4320000000000004</v>
      </c>
      <c r="AX41" s="89">
        <f t="shared" si="52"/>
        <v>6.4320000000000004</v>
      </c>
      <c r="AY41" s="89">
        <f t="shared" si="52"/>
        <v>6.4320000000000004</v>
      </c>
      <c r="AZ41" s="89">
        <f t="shared" si="52"/>
        <v>6.4320000000000004</v>
      </c>
      <c r="BA41" s="58"/>
    </row>
    <row r="42" spans="1:53">
      <c r="B42" s="9" t="s">
        <v>231</v>
      </c>
      <c r="E42" s="58"/>
      <c r="F42" s="117"/>
      <c r="G42" s="117"/>
      <c r="H42" s="117"/>
      <c r="I42" s="117"/>
      <c r="J42" s="117">
        <f t="shared" ref="J42:N42" ca="1" si="53">SUM(J39:J41)</f>
        <v>7.2889999999999997</v>
      </c>
      <c r="K42" s="117">
        <f t="shared" ca="1" si="53"/>
        <v>292.68700000000001</v>
      </c>
      <c r="L42" s="117">
        <f t="shared" ca="1" si="53"/>
        <v>282.68700000000001</v>
      </c>
      <c r="M42" s="117">
        <f t="shared" ca="1" si="53"/>
        <v>8.6870000000000012</v>
      </c>
      <c r="N42" s="117">
        <f t="shared" ca="1" si="53"/>
        <v>8.6870000000000012</v>
      </c>
      <c r="O42" s="58"/>
      <c r="P42" s="58"/>
      <c r="Q42" s="95"/>
      <c r="R42" s="95"/>
      <c r="S42" s="95"/>
      <c r="T42" s="117">
        <f t="shared" ref="T42:AZ42" si="54">SUM(T39:T41)</f>
        <v>0</v>
      </c>
      <c r="U42" s="117">
        <f t="shared" si="54"/>
        <v>0</v>
      </c>
      <c r="V42" s="117">
        <f t="shared" si="54"/>
        <v>0</v>
      </c>
      <c r="W42" s="117">
        <f t="shared" si="54"/>
        <v>0</v>
      </c>
      <c r="X42" s="117">
        <f t="shared" si="54"/>
        <v>0</v>
      </c>
      <c r="Y42" s="117">
        <f t="shared" si="54"/>
        <v>0</v>
      </c>
      <c r="Z42" s="117">
        <f t="shared" si="54"/>
        <v>0</v>
      </c>
      <c r="AA42" s="117">
        <f t="shared" si="54"/>
        <v>0</v>
      </c>
      <c r="AB42" s="117">
        <f t="shared" si="54"/>
        <v>0</v>
      </c>
      <c r="AC42" s="117">
        <f t="shared" si="54"/>
        <v>0</v>
      </c>
      <c r="AD42" s="117">
        <f t="shared" si="54"/>
        <v>0</v>
      </c>
      <c r="AE42" s="117">
        <f t="shared" si="54"/>
        <v>0</v>
      </c>
      <c r="AF42" s="117">
        <f t="shared" si="54"/>
        <v>0</v>
      </c>
      <c r="AG42" s="117">
        <f t="shared" si="54"/>
        <v>0</v>
      </c>
      <c r="AH42" s="117">
        <f t="shared" si="54"/>
        <v>0</v>
      </c>
      <c r="AI42" s="117">
        <f t="shared" si="54"/>
        <v>0</v>
      </c>
      <c r="AJ42" s="117">
        <f t="shared" si="54"/>
        <v>7.2889999999999997</v>
      </c>
      <c r="AK42" s="117">
        <f t="shared" si="54"/>
        <v>0</v>
      </c>
      <c r="AL42" s="117">
        <f t="shared" si="54"/>
        <v>0</v>
      </c>
      <c r="AM42" s="117">
        <f t="shared" si="54"/>
        <v>0</v>
      </c>
      <c r="AN42" s="117">
        <f t="shared" si="54"/>
        <v>292.68700000000001</v>
      </c>
      <c r="AO42" s="117">
        <f t="shared" si="54"/>
        <v>292.68700000000001</v>
      </c>
      <c r="AP42" s="117">
        <f t="shared" si="54"/>
        <v>287.68700000000001</v>
      </c>
      <c r="AQ42" s="117">
        <f t="shared" si="54"/>
        <v>287.68700000000001</v>
      </c>
      <c r="AR42" s="117">
        <f t="shared" si="54"/>
        <v>282.68700000000001</v>
      </c>
      <c r="AS42" s="117">
        <f t="shared" si="54"/>
        <v>282.68700000000001</v>
      </c>
      <c r="AT42" s="117">
        <f t="shared" si="54"/>
        <v>8.6870000000000012</v>
      </c>
      <c r="AU42" s="117">
        <f t="shared" si="54"/>
        <v>8.6870000000000012</v>
      </c>
      <c r="AV42" s="117">
        <f t="shared" si="54"/>
        <v>8.6870000000000012</v>
      </c>
      <c r="AW42" s="117">
        <f t="shared" si="54"/>
        <v>8.6870000000000012</v>
      </c>
      <c r="AX42" s="117">
        <f t="shared" si="54"/>
        <v>8.6870000000000012</v>
      </c>
      <c r="AY42" s="117">
        <f t="shared" si="54"/>
        <v>8.6870000000000012</v>
      </c>
      <c r="AZ42" s="117">
        <f t="shared" si="54"/>
        <v>8.6870000000000012</v>
      </c>
      <c r="BA42" s="58"/>
    </row>
    <row r="43" spans="1:53">
      <c r="B43" s="3"/>
      <c r="E43" s="58"/>
      <c r="F43" s="115"/>
      <c r="G43" s="115"/>
      <c r="H43" s="115"/>
      <c r="I43" s="115"/>
      <c r="J43" s="115"/>
      <c r="K43" s="115"/>
      <c r="L43" s="115"/>
      <c r="M43" s="115"/>
      <c r="N43" s="115"/>
      <c r="O43" s="58"/>
      <c r="P43" s="58"/>
      <c r="Q43" s="95"/>
      <c r="R43" s="95"/>
      <c r="S43" s="95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58"/>
    </row>
    <row r="44" spans="1:53">
      <c r="B44" s="9" t="s">
        <v>230</v>
      </c>
      <c r="E44" s="58"/>
      <c r="F44" s="117"/>
      <c r="G44" s="117"/>
      <c r="H44" s="117"/>
      <c r="I44" s="117"/>
      <c r="J44" s="117">
        <f t="shared" ref="J44:N44" ca="1" si="55">J37+J42</f>
        <v>11897.142</v>
      </c>
      <c r="K44" s="117">
        <f t="shared" ca="1" si="55"/>
        <v>11918.299000000001</v>
      </c>
      <c r="L44" s="117">
        <f t="shared" ca="1" si="55"/>
        <v>16124.481700224009</v>
      </c>
      <c r="M44" s="117">
        <f t="shared" ca="1" si="55"/>
        <v>21503.186878573022</v>
      </c>
      <c r="N44" s="117">
        <f t="shared" ca="1" si="55"/>
        <v>27036.135323952942</v>
      </c>
      <c r="O44" s="58"/>
      <c r="P44" s="58"/>
      <c r="Q44" s="58"/>
      <c r="R44" s="58"/>
      <c r="S44" s="58"/>
      <c r="T44" s="117">
        <f t="shared" ref="T44:AZ44" si="56">T37+T42</f>
        <v>0</v>
      </c>
      <c r="U44" s="117">
        <f t="shared" si="56"/>
        <v>0</v>
      </c>
      <c r="V44" s="117">
        <f t="shared" si="56"/>
        <v>0</v>
      </c>
      <c r="W44" s="117">
        <f t="shared" si="56"/>
        <v>0</v>
      </c>
      <c r="X44" s="117">
        <f t="shared" si="56"/>
        <v>0</v>
      </c>
      <c r="Y44" s="117">
        <f t="shared" si="56"/>
        <v>0</v>
      </c>
      <c r="Z44" s="117">
        <f t="shared" si="56"/>
        <v>0</v>
      </c>
      <c r="AA44" s="117">
        <f t="shared" si="56"/>
        <v>0</v>
      </c>
      <c r="AB44" s="117">
        <f t="shared" si="56"/>
        <v>0</v>
      </c>
      <c r="AC44" s="117">
        <f t="shared" si="56"/>
        <v>0</v>
      </c>
      <c r="AD44" s="117">
        <f t="shared" si="56"/>
        <v>0</v>
      </c>
      <c r="AE44" s="117">
        <f t="shared" si="56"/>
        <v>0</v>
      </c>
      <c r="AF44" s="117">
        <f t="shared" si="56"/>
        <v>0</v>
      </c>
      <c r="AG44" s="117">
        <f t="shared" si="56"/>
        <v>0</v>
      </c>
      <c r="AH44" s="117">
        <f t="shared" si="56"/>
        <v>0</v>
      </c>
      <c r="AI44" s="117">
        <f t="shared" si="56"/>
        <v>0</v>
      </c>
      <c r="AJ44" s="117">
        <f t="shared" si="56"/>
        <v>11897.142</v>
      </c>
      <c r="AK44" s="117">
        <f t="shared" si="56"/>
        <v>0</v>
      </c>
      <c r="AL44" s="117">
        <f t="shared" si="56"/>
        <v>0</v>
      </c>
      <c r="AM44" s="117">
        <f t="shared" si="56"/>
        <v>0</v>
      </c>
      <c r="AN44" s="117">
        <f t="shared" si="56"/>
        <v>11918.299000000001</v>
      </c>
      <c r="AO44" s="117">
        <f t="shared" ca="1" si="56"/>
        <v>12164.653380362532</v>
      </c>
      <c r="AP44" s="117">
        <f t="shared" ca="1" si="56"/>
        <v>14632.779295153379</v>
      </c>
      <c r="AQ44" s="117">
        <f t="shared" ca="1" si="56"/>
        <v>12773.604766358743</v>
      </c>
      <c r="AR44" s="117">
        <f t="shared" ca="1" si="56"/>
        <v>16124.481700224009</v>
      </c>
      <c r="AS44" s="117">
        <f t="shared" ca="1" si="56"/>
        <v>12960.700806694853</v>
      </c>
      <c r="AT44" s="117">
        <f t="shared" ca="1" si="56"/>
        <v>18837.513799838471</v>
      </c>
      <c r="AU44" s="117">
        <f t="shared" ca="1" si="56"/>
        <v>12211.221396993213</v>
      </c>
      <c r="AV44" s="117">
        <f t="shared" ca="1" si="56"/>
        <v>21503.186878573022</v>
      </c>
      <c r="AW44" s="117">
        <f t="shared" ca="1" si="56"/>
        <v>12588.925329130521</v>
      </c>
      <c r="AX44" s="117">
        <f t="shared" ca="1" si="56"/>
        <v>24317.027570434922</v>
      </c>
      <c r="AY44" s="117">
        <f t="shared" ca="1" si="56"/>
        <v>10306.605827091542</v>
      </c>
      <c r="AZ44" s="117">
        <f t="shared" ca="1" si="56"/>
        <v>27036.135323952942</v>
      </c>
      <c r="BA44" s="58"/>
    </row>
    <row r="45" spans="1:53">
      <c r="B45" s="3"/>
      <c r="E45" s="58"/>
      <c r="F45" s="109"/>
      <c r="G45" s="109"/>
      <c r="H45" s="109"/>
      <c r="I45" s="109"/>
      <c r="J45" s="109"/>
      <c r="K45" s="109"/>
      <c r="L45" s="109"/>
      <c r="M45" s="109"/>
      <c r="N45" s="109"/>
      <c r="O45" s="58"/>
      <c r="P45" s="58"/>
      <c r="Q45" s="58"/>
      <c r="R45" s="58"/>
      <c r="S45" s="58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70"/>
      <c r="AO45" s="70"/>
      <c r="AP45" s="70"/>
      <c r="BA45" s="58"/>
    </row>
    <row r="46" spans="1:53">
      <c r="B46" s="3" t="s">
        <v>473</v>
      </c>
      <c r="E46" s="58"/>
      <c r="F46" s="109"/>
      <c r="G46" s="109"/>
      <c r="H46" s="109"/>
      <c r="I46" s="109"/>
      <c r="J46" s="109">
        <f ca="1">OFFSET($P46,0,J$2,1,1)</f>
        <v>17039.167000000001</v>
      </c>
      <c r="K46" s="109">
        <f ca="1">OFFSET($P46,0,K$2,1,1)</f>
        <v>0</v>
      </c>
      <c r="L46" s="109">
        <f ca="1">OFFSET($P46,0,L$2,1,1)</f>
        <v>0</v>
      </c>
      <c r="M46" s="109">
        <f ca="1">OFFSET($P46,0,M$2,1,1)</f>
        <v>0</v>
      </c>
      <c r="N46" s="109">
        <f ca="1">OFFSET($P46,0,N$2,1,1)</f>
        <v>0</v>
      </c>
      <c r="O46" s="58"/>
      <c r="P46" s="58"/>
      <c r="Q46" s="58"/>
      <c r="R46" s="58"/>
      <c r="S46" s="58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>
        <v>17039.167000000001</v>
      </c>
      <c r="AK46" s="120"/>
      <c r="AL46" s="120"/>
      <c r="AM46" s="120"/>
      <c r="AN46" s="120">
        <v>0</v>
      </c>
      <c r="AO46" s="89">
        <f t="shared" ref="AO46:AZ46" si="57">AN46</f>
        <v>0</v>
      </c>
      <c r="AP46" s="89">
        <f t="shared" si="57"/>
        <v>0</v>
      </c>
      <c r="AQ46" s="89">
        <f t="shared" si="57"/>
        <v>0</v>
      </c>
      <c r="AR46" s="89">
        <f t="shared" si="57"/>
        <v>0</v>
      </c>
      <c r="AS46" s="89">
        <f t="shared" si="57"/>
        <v>0</v>
      </c>
      <c r="AT46" s="89">
        <f t="shared" si="57"/>
        <v>0</v>
      </c>
      <c r="AU46" s="89">
        <f t="shared" si="57"/>
        <v>0</v>
      </c>
      <c r="AV46" s="89">
        <f t="shared" si="57"/>
        <v>0</v>
      </c>
      <c r="AW46" s="89">
        <f t="shared" si="57"/>
        <v>0</v>
      </c>
      <c r="AX46" s="89">
        <f t="shared" si="57"/>
        <v>0</v>
      </c>
      <c r="AY46" s="89">
        <f t="shared" si="57"/>
        <v>0</v>
      </c>
      <c r="AZ46" s="89">
        <f t="shared" si="57"/>
        <v>0</v>
      </c>
      <c r="BA46" s="58"/>
    </row>
    <row r="47" spans="1:53">
      <c r="B47" s="3"/>
      <c r="E47" s="58"/>
      <c r="F47" s="109"/>
      <c r="G47" s="109"/>
      <c r="H47" s="109"/>
      <c r="I47" s="109"/>
      <c r="J47" s="109"/>
      <c r="K47" s="109"/>
      <c r="L47" s="109"/>
      <c r="M47" s="109"/>
      <c r="N47" s="109"/>
      <c r="O47" s="58"/>
      <c r="P47" s="58"/>
      <c r="Q47" s="58"/>
      <c r="R47" s="58"/>
      <c r="S47" s="58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70"/>
      <c r="AO47" s="70"/>
      <c r="AP47" s="70"/>
      <c r="BA47" s="58"/>
    </row>
    <row r="48" spans="1:53">
      <c r="B48" s="3" t="s">
        <v>228</v>
      </c>
      <c r="E48" s="58"/>
      <c r="F48" s="109"/>
      <c r="G48" s="109"/>
      <c r="H48" s="109"/>
      <c r="I48" s="109"/>
      <c r="J48" s="109">
        <f t="shared" ref="J48:N51" ca="1" si="58">OFFSET($P48,0,J$2,1,1)</f>
        <v>2.3E-2</v>
      </c>
      <c r="K48" s="109">
        <f t="shared" ca="1" si="58"/>
        <v>0.26500000000000001</v>
      </c>
      <c r="L48" s="109">
        <f t="shared" ca="1" si="58"/>
        <v>0.26500000000000001</v>
      </c>
      <c r="M48" s="109">
        <f t="shared" ca="1" si="58"/>
        <v>0.26500000000000001</v>
      </c>
      <c r="N48" s="109">
        <f t="shared" ca="1" si="58"/>
        <v>0.26500000000000001</v>
      </c>
      <c r="O48" s="58"/>
      <c r="P48" s="58"/>
      <c r="Q48" s="58"/>
      <c r="R48" s="58"/>
      <c r="S48" s="58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>
        <v>2.3E-2</v>
      </c>
      <c r="AK48" s="120"/>
      <c r="AL48" s="120"/>
      <c r="AM48" s="120"/>
      <c r="AN48" s="120">
        <f>0.08+0.185</f>
        <v>0.26500000000000001</v>
      </c>
      <c r="AO48" s="89">
        <f t="shared" ref="AO48:AZ48" si="59">AN48</f>
        <v>0.26500000000000001</v>
      </c>
      <c r="AP48" s="89">
        <f t="shared" si="59"/>
        <v>0.26500000000000001</v>
      </c>
      <c r="AQ48" s="89">
        <f t="shared" si="59"/>
        <v>0.26500000000000001</v>
      </c>
      <c r="AR48" s="89">
        <f t="shared" si="59"/>
        <v>0.26500000000000001</v>
      </c>
      <c r="AS48" s="89">
        <f t="shared" si="59"/>
        <v>0.26500000000000001</v>
      </c>
      <c r="AT48" s="89">
        <f t="shared" si="59"/>
        <v>0.26500000000000001</v>
      </c>
      <c r="AU48" s="89">
        <f t="shared" si="59"/>
        <v>0.26500000000000001</v>
      </c>
      <c r="AV48" s="89">
        <f t="shared" si="59"/>
        <v>0.26500000000000001</v>
      </c>
      <c r="AW48" s="89">
        <f t="shared" si="59"/>
        <v>0.26500000000000001</v>
      </c>
      <c r="AX48" s="89">
        <f t="shared" si="59"/>
        <v>0.26500000000000001</v>
      </c>
      <c r="AY48" s="89">
        <f t="shared" si="59"/>
        <v>0.26500000000000001</v>
      </c>
      <c r="AZ48" s="89">
        <f t="shared" si="59"/>
        <v>0.26500000000000001</v>
      </c>
      <c r="BA48" s="58"/>
    </row>
    <row r="49" spans="2:53">
      <c r="B49" s="3" t="s">
        <v>227</v>
      </c>
      <c r="E49" s="58"/>
      <c r="F49" s="109"/>
      <c r="G49" s="109"/>
      <c r="H49" s="109"/>
      <c r="I49" s="109"/>
      <c r="J49" s="109">
        <f t="shared" ca="1" si="58"/>
        <v>325.73</v>
      </c>
      <c r="K49" s="109">
        <f t="shared" ca="1" si="58"/>
        <v>23202.256000000001</v>
      </c>
      <c r="L49" s="109">
        <f t="shared" ca="1" si="58"/>
        <v>37164.961525954037</v>
      </c>
      <c r="M49" s="109">
        <f t="shared" ca="1" si="58"/>
        <v>43793.353068020821</v>
      </c>
      <c r="N49" s="109">
        <f t="shared" ca="1" si="58"/>
        <v>44194.817215017363</v>
      </c>
      <c r="O49" s="58"/>
      <c r="P49" s="58"/>
      <c r="Q49" s="58"/>
      <c r="R49" s="58"/>
      <c r="S49" s="58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>
        <v>325.73</v>
      </c>
      <c r="AK49" s="120"/>
      <c r="AL49" s="120"/>
      <c r="AM49" s="120"/>
      <c r="AN49" s="120">
        <v>23202.256000000001</v>
      </c>
      <c r="AO49" s="109">
        <f>+AN49+AO79+AO105</f>
        <v>36931.967709279663</v>
      </c>
      <c r="AP49" s="109">
        <f t="shared" ref="AP49:AZ49" ca="1" si="60">+AO49+AP79+AP105</f>
        <v>37003.968502593059</v>
      </c>
      <c r="AQ49" s="109">
        <f t="shared" ca="1" si="60"/>
        <v>37085.319920239861</v>
      </c>
      <c r="AR49" s="109">
        <f t="shared" ca="1" si="60"/>
        <v>37164.961525954037</v>
      </c>
      <c r="AS49" s="109">
        <f t="shared" ca="1" si="60"/>
        <v>37238.342847379856</v>
      </c>
      <c r="AT49" s="109">
        <f t="shared" ca="1" si="60"/>
        <v>37323.624145498099</v>
      </c>
      <c r="AU49" s="109">
        <f t="shared" ca="1" si="60"/>
        <v>43699.195762837153</v>
      </c>
      <c r="AV49" s="109">
        <f t="shared" ca="1" si="60"/>
        <v>43793.353068020821</v>
      </c>
      <c r="AW49" s="109">
        <f t="shared" ca="1" si="60"/>
        <v>43880.006443223509</v>
      </c>
      <c r="AX49" s="109">
        <f t="shared" ca="1" si="60"/>
        <v>43978.528730315549</v>
      </c>
      <c r="AY49" s="109">
        <f t="shared" ca="1" si="60"/>
        <v>44086.191823902962</v>
      </c>
      <c r="AZ49" s="109">
        <f t="shared" ca="1" si="60"/>
        <v>44194.817215017363</v>
      </c>
      <c r="BA49" s="58"/>
    </row>
    <row r="50" spans="2:53">
      <c r="B50" s="3" t="s">
        <v>226</v>
      </c>
      <c r="E50" s="58"/>
      <c r="F50" s="109"/>
      <c r="G50" s="109"/>
      <c r="H50" s="109"/>
      <c r="I50" s="109"/>
      <c r="J50" s="109">
        <f t="shared" ca="1" si="58"/>
        <v>-15989.796</v>
      </c>
      <c r="K50" s="109">
        <f t="shared" ca="1" si="58"/>
        <v>-15016.867</v>
      </c>
      <c r="L50" s="109">
        <f t="shared" ca="1" si="58"/>
        <v>-22258.798595455428</v>
      </c>
      <c r="M50" s="109">
        <f t="shared" ca="1" si="58"/>
        <v>-28643.13770363744</v>
      </c>
      <c r="N50" s="109">
        <f t="shared" ca="1" si="58"/>
        <v>-31981.512889328857</v>
      </c>
      <c r="O50" s="58"/>
      <c r="P50" s="58"/>
      <c r="Q50" s="58"/>
      <c r="R50" s="58"/>
      <c r="S50" s="58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>
        <v>-15989.796</v>
      </c>
      <c r="AK50" s="120"/>
      <c r="AL50" s="120"/>
      <c r="AM50" s="120"/>
      <c r="AN50" s="120">
        <v>-15016.867</v>
      </c>
      <c r="AO50" s="109">
        <f ca="1">+AN50+IQ_IS!AO128</f>
        <v>-16229.49092510548</v>
      </c>
      <c r="AP50" s="109">
        <f ca="1">+AO50+IQ_IS!AP128</f>
        <v>-18457.698099668785</v>
      </c>
      <c r="AQ50" s="109">
        <f ca="1">+AP50+IQ_IS!AQ128</f>
        <v>-20123.681766615431</v>
      </c>
      <c r="AR50" s="109">
        <f ca="1">+AQ50+IQ_IS!AR128</f>
        <v>-22258.798595455428</v>
      </c>
      <c r="AS50" s="109">
        <f ca="1">+AR50+IQ_IS!AS128</f>
        <v>-24192.873611453564</v>
      </c>
      <c r="AT50" s="109">
        <f ca="1">+AS50+IQ_IS!AT128</f>
        <v>-26329.996468073947</v>
      </c>
      <c r="AU50" s="109">
        <f ca="1">+AT50+IQ_IS!AU128</f>
        <v>-27414.152356917195</v>
      </c>
      <c r="AV50" s="109">
        <f ca="1">+AU50+IQ_IS!AV128</f>
        <v>-28643.13770363744</v>
      </c>
      <c r="AW50" s="109">
        <f ca="1">+AV50+IQ_IS!AW128</f>
        <v>-30075.255133082101</v>
      </c>
      <c r="AX50" s="109">
        <f ca="1">+AW50+IQ_IS!AX128</f>
        <v>-31764.480822326139</v>
      </c>
      <c r="AY50" s="109">
        <f ca="1">+AX50+IQ_IS!AY128</f>
        <v>-31902.645594549333</v>
      </c>
      <c r="AZ50" s="109">
        <f ca="1">+AY50+IQ_IS!AZ128</f>
        <v>-31981.512889328857</v>
      </c>
      <c r="BA50" s="58"/>
    </row>
    <row r="51" spans="2:53">
      <c r="B51" s="3" t="s">
        <v>225</v>
      </c>
      <c r="E51" s="58"/>
      <c r="F51" s="109"/>
      <c r="G51" s="109"/>
      <c r="H51" s="109"/>
      <c r="I51" s="109"/>
      <c r="J51" s="109">
        <f t="shared" ca="1" si="58"/>
        <v>359.37</v>
      </c>
      <c r="K51" s="109">
        <f t="shared" ca="1" si="58"/>
        <v>93.126000000000005</v>
      </c>
      <c r="L51" s="109">
        <f t="shared" ca="1" si="58"/>
        <v>93.126000000000005</v>
      </c>
      <c r="M51" s="109">
        <f t="shared" ca="1" si="58"/>
        <v>93.126000000000005</v>
      </c>
      <c r="N51" s="109">
        <f t="shared" ca="1" si="58"/>
        <v>93.126000000000005</v>
      </c>
      <c r="O51" s="58"/>
      <c r="P51" s="58"/>
      <c r="Q51" s="58"/>
      <c r="R51" s="58"/>
      <c r="S51" s="58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>
        <v>359.37</v>
      </c>
      <c r="AK51" s="120"/>
      <c r="AL51" s="120"/>
      <c r="AM51" s="120"/>
      <c r="AN51" s="120">
        <v>93.126000000000005</v>
      </c>
      <c r="AO51" s="89">
        <f t="shared" ref="AO51:AZ51" si="61">AN51</f>
        <v>93.126000000000005</v>
      </c>
      <c r="AP51" s="89">
        <f t="shared" si="61"/>
        <v>93.126000000000005</v>
      </c>
      <c r="AQ51" s="89">
        <f t="shared" si="61"/>
        <v>93.126000000000005</v>
      </c>
      <c r="AR51" s="89">
        <f t="shared" si="61"/>
        <v>93.126000000000005</v>
      </c>
      <c r="AS51" s="89">
        <f t="shared" si="61"/>
        <v>93.126000000000005</v>
      </c>
      <c r="AT51" s="89">
        <f t="shared" si="61"/>
        <v>93.126000000000005</v>
      </c>
      <c r="AU51" s="89">
        <f t="shared" si="61"/>
        <v>93.126000000000005</v>
      </c>
      <c r="AV51" s="89">
        <f t="shared" si="61"/>
        <v>93.126000000000005</v>
      </c>
      <c r="AW51" s="89">
        <f t="shared" si="61"/>
        <v>93.126000000000005</v>
      </c>
      <c r="AX51" s="89">
        <f t="shared" si="61"/>
        <v>93.126000000000005</v>
      </c>
      <c r="AY51" s="89">
        <f t="shared" si="61"/>
        <v>93.126000000000005</v>
      </c>
      <c r="AZ51" s="89">
        <f t="shared" si="61"/>
        <v>93.126000000000005</v>
      </c>
      <c r="BA51" s="58"/>
    </row>
    <row r="52" spans="2:53">
      <c r="B52" s="9" t="s">
        <v>224</v>
      </c>
      <c r="E52" s="58"/>
      <c r="F52" s="117"/>
      <c r="G52" s="117"/>
      <c r="H52" s="117"/>
      <c r="I52" s="117"/>
      <c r="J52" s="117">
        <f t="shared" ref="J52:N52" ca="1" si="62">SUM(J48:J51,J46)</f>
        <v>1734.4940000000024</v>
      </c>
      <c r="K52" s="117">
        <f t="shared" ca="1" si="62"/>
        <v>8278.7800000000007</v>
      </c>
      <c r="L52" s="117">
        <f t="shared" ca="1" si="62"/>
        <v>14999.553930498609</v>
      </c>
      <c r="M52" s="117">
        <f t="shared" ca="1" si="62"/>
        <v>15243.60636438338</v>
      </c>
      <c r="N52" s="117">
        <f t="shared" ca="1" si="62"/>
        <v>12306.695325688506</v>
      </c>
      <c r="O52" s="58"/>
      <c r="P52" s="58"/>
      <c r="Q52" s="58"/>
      <c r="R52" s="58"/>
      <c r="S52" s="58"/>
      <c r="T52" s="117">
        <f t="shared" ref="T52:AZ52" si="63">SUM(T48:T51,T46)</f>
        <v>0</v>
      </c>
      <c r="U52" s="117">
        <f t="shared" si="63"/>
        <v>0</v>
      </c>
      <c r="V52" s="117">
        <f t="shared" si="63"/>
        <v>0</v>
      </c>
      <c r="W52" s="117">
        <f t="shared" si="63"/>
        <v>0</v>
      </c>
      <c r="X52" s="117">
        <f t="shared" si="63"/>
        <v>0</v>
      </c>
      <c r="Y52" s="117">
        <f t="shared" si="63"/>
        <v>0</v>
      </c>
      <c r="Z52" s="117">
        <f t="shared" si="63"/>
        <v>0</v>
      </c>
      <c r="AA52" s="117">
        <f t="shared" si="63"/>
        <v>0</v>
      </c>
      <c r="AB52" s="117">
        <f t="shared" si="63"/>
        <v>0</v>
      </c>
      <c r="AC52" s="117">
        <f t="shared" si="63"/>
        <v>0</v>
      </c>
      <c r="AD52" s="117">
        <f t="shared" si="63"/>
        <v>0</v>
      </c>
      <c r="AE52" s="117">
        <f t="shared" si="63"/>
        <v>0</v>
      </c>
      <c r="AF52" s="117">
        <f t="shared" si="63"/>
        <v>0</v>
      </c>
      <c r="AG52" s="117">
        <f t="shared" si="63"/>
        <v>0</v>
      </c>
      <c r="AH52" s="117">
        <f t="shared" si="63"/>
        <v>0</v>
      </c>
      <c r="AI52" s="117">
        <f t="shared" si="63"/>
        <v>0</v>
      </c>
      <c r="AJ52" s="117">
        <f t="shared" si="63"/>
        <v>1734.4940000000024</v>
      </c>
      <c r="AK52" s="117">
        <f t="shared" si="63"/>
        <v>0</v>
      </c>
      <c r="AL52" s="117">
        <f t="shared" si="63"/>
        <v>0</v>
      </c>
      <c r="AM52" s="117">
        <f t="shared" si="63"/>
        <v>0</v>
      </c>
      <c r="AN52" s="117">
        <f t="shared" si="63"/>
        <v>8278.7800000000007</v>
      </c>
      <c r="AO52" s="117">
        <f t="shared" ca="1" si="63"/>
        <v>20795.867784174185</v>
      </c>
      <c r="AP52" s="117">
        <f t="shared" ca="1" si="63"/>
        <v>18639.661402924274</v>
      </c>
      <c r="AQ52" s="117">
        <f t="shared" ca="1" si="63"/>
        <v>17055.029153624429</v>
      </c>
      <c r="AR52" s="117">
        <f t="shared" ca="1" si="63"/>
        <v>14999.553930498609</v>
      </c>
      <c r="AS52" s="117">
        <f t="shared" ca="1" si="63"/>
        <v>13138.860235926291</v>
      </c>
      <c r="AT52" s="117">
        <f t="shared" ca="1" si="63"/>
        <v>11087.018677424152</v>
      </c>
      <c r="AU52" s="117">
        <f t="shared" ca="1" si="63"/>
        <v>16378.434405919957</v>
      </c>
      <c r="AV52" s="117">
        <f t="shared" ca="1" si="63"/>
        <v>15243.60636438338</v>
      </c>
      <c r="AW52" s="117">
        <f t="shared" ca="1" si="63"/>
        <v>13898.142310141408</v>
      </c>
      <c r="AX52" s="117">
        <f t="shared" ca="1" si="63"/>
        <v>12307.43890798941</v>
      </c>
      <c r="AY52" s="117">
        <f t="shared" ca="1" si="63"/>
        <v>12276.937229353629</v>
      </c>
      <c r="AZ52" s="117">
        <f t="shared" ca="1" si="63"/>
        <v>12306.695325688506</v>
      </c>
      <c r="BA52" s="58"/>
    </row>
    <row r="53" spans="2:53">
      <c r="B53" s="3"/>
      <c r="E53" s="58"/>
      <c r="F53" s="109"/>
      <c r="G53" s="109"/>
      <c r="H53" s="109"/>
      <c r="I53" s="109"/>
      <c r="J53" s="109"/>
      <c r="K53" s="109"/>
      <c r="L53" s="109"/>
      <c r="M53" s="109"/>
      <c r="N53" s="109"/>
      <c r="O53" s="58"/>
      <c r="P53" s="58"/>
      <c r="Q53" s="58"/>
      <c r="R53" s="58"/>
      <c r="S53" s="58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58"/>
    </row>
    <row r="54" spans="2:53">
      <c r="B54" s="3" t="s">
        <v>223</v>
      </c>
      <c r="E54" s="58"/>
      <c r="F54" s="109"/>
      <c r="G54" s="109"/>
      <c r="H54" s="109"/>
      <c r="I54" s="109"/>
      <c r="J54" s="109">
        <f ca="1">OFFSET($P54,0,J$2,1,1)</f>
        <v>0</v>
      </c>
      <c r="K54" s="109">
        <f ca="1">OFFSET($P54,0,K$2,1,1)</f>
        <v>3.82</v>
      </c>
      <c r="L54" s="109">
        <f ca="1">OFFSET($P54,0,L$2,1,1)</f>
        <v>3.82</v>
      </c>
      <c r="M54" s="109">
        <f ca="1">OFFSET($P54,0,M$2,1,1)</f>
        <v>3.82</v>
      </c>
      <c r="N54" s="109">
        <f ca="1">OFFSET($P54,0,N$2,1,1)</f>
        <v>3.82</v>
      </c>
      <c r="O54" s="58"/>
      <c r="P54" s="58"/>
      <c r="Q54" s="58"/>
      <c r="R54" s="58"/>
      <c r="S54" s="58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>
        <v>0</v>
      </c>
      <c r="AK54" s="120"/>
      <c r="AL54" s="120"/>
      <c r="AM54" s="120"/>
      <c r="AN54" s="120">
        <v>3.82</v>
      </c>
      <c r="AO54" s="109">
        <f>+AN54+IQ_IS!AO127</f>
        <v>3.82</v>
      </c>
      <c r="AP54" s="109">
        <f>+AO54+IQ_IS!AP127</f>
        <v>3.82</v>
      </c>
      <c r="AQ54" s="109">
        <f>+AP54+IQ_IS!AQ127</f>
        <v>3.82</v>
      </c>
      <c r="AR54" s="109">
        <f>+AQ54+IQ_IS!AR127</f>
        <v>3.82</v>
      </c>
      <c r="AS54" s="109">
        <f>+AR54+IQ_IS!AS127</f>
        <v>3.82</v>
      </c>
      <c r="AT54" s="109">
        <f>+AS54+IQ_IS!AT127</f>
        <v>3.82</v>
      </c>
      <c r="AU54" s="109">
        <f>+AT54+IQ_IS!AU127</f>
        <v>3.82</v>
      </c>
      <c r="AV54" s="109">
        <f>+AU54+IQ_IS!AV127</f>
        <v>3.82</v>
      </c>
      <c r="AW54" s="109">
        <f>+AV54+IQ_IS!AW127</f>
        <v>3.82</v>
      </c>
      <c r="AX54" s="109">
        <f>+AW54+IQ_IS!AX127</f>
        <v>3.82</v>
      </c>
      <c r="AY54" s="109">
        <f>+AX54+IQ_IS!AY127</f>
        <v>3.82</v>
      </c>
      <c r="AZ54" s="109">
        <f>+AY54+IQ_IS!AZ127</f>
        <v>3.82</v>
      </c>
      <c r="BA54" s="58"/>
    </row>
    <row r="55" spans="2:53">
      <c r="B55" s="3"/>
      <c r="E55" s="58"/>
      <c r="F55" s="109"/>
      <c r="G55" s="109"/>
      <c r="H55" s="109"/>
      <c r="I55" s="109"/>
      <c r="J55" s="109"/>
      <c r="K55" s="109"/>
      <c r="L55" s="109"/>
      <c r="M55" s="109"/>
      <c r="N55" s="109"/>
      <c r="O55" s="58"/>
      <c r="P55" s="58"/>
      <c r="Q55" s="58"/>
      <c r="R55" s="58"/>
      <c r="S55" s="58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58"/>
    </row>
    <row r="56" spans="2:53">
      <c r="B56" s="9" t="s">
        <v>222</v>
      </c>
      <c r="C56" s="8"/>
      <c r="D56" s="8"/>
      <c r="E56" s="82"/>
      <c r="F56" s="117"/>
      <c r="G56" s="117"/>
      <c r="H56" s="117"/>
      <c r="I56" s="117"/>
      <c r="J56" s="117">
        <f t="shared" ref="J56:N56" ca="1" si="64">J52+J54</f>
        <v>1734.4940000000024</v>
      </c>
      <c r="K56" s="117">
        <f t="shared" ca="1" si="64"/>
        <v>8282.6</v>
      </c>
      <c r="L56" s="117">
        <f t="shared" ca="1" si="64"/>
        <v>15003.373930498608</v>
      </c>
      <c r="M56" s="117">
        <f t="shared" ca="1" si="64"/>
        <v>15247.42636438338</v>
      </c>
      <c r="N56" s="117">
        <f t="shared" ca="1" si="64"/>
        <v>12310.515325688506</v>
      </c>
      <c r="O56" s="82"/>
      <c r="P56" s="82"/>
      <c r="Q56" s="82"/>
      <c r="R56" s="82"/>
      <c r="S56" s="82"/>
      <c r="T56" s="117">
        <f t="shared" ref="T56:AZ56" si="65">T52+T54</f>
        <v>0</v>
      </c>
      <c r="U56" s="117">
        <f t="shared" si="65"/>
        <v>0</v>
      </c>
      <c r="V56" s="117">
        <f t="shared" si="65"/>
        <v>0</v>
      </c>
      <c r="W56" s="117">
        <f t="shared" si="65"/>
        <v>0</v>
      </c>
      <c r="X56" s="117">
        <f t="shared" si="65"/>
        <v>0</v>
      </c>
      <c r="Y56" s="117">
        <f t="shared" si="65"/>
        <v>0</v>
      </c>
      <c r="Z56" s="117">
        <f t="shared" si="65"/>
        <v>0</v>
      </c>
      <c r="AA56" s="117">
        <f t="shared" si="65"/>
        <v>0</v>
      </c>
      <c r="AB56" s="117">
        <f t="shared" si="65"/>
        <v>0</v>
      </c>
      <c r="AC56" s="117">
        <f t="shared" si="65"/>
        <v>0</v>
      </c>
      <c r="AD56" s="117">
        <f t="shared" si="65"/>
        <v>0</v>
      </c>
      <c r="AE56" s="117">
        <f t="shared" si="65"/>
        <v>0</v>
      </c>
      <c r="AF56" s="117">
        <f t="shared" si="65"/>
        <v>0</v>
      </c>
      <c r="AG56" s="117">
        <f t="shared" si="65"/>
        <v>0</v>
      </c>
      <c r="AH56" s="117">
        <f t="shared" si="65"/>
        <v>0</v>
      </c>
      <c r="AI56" s="117">
        <f t="shared" si="65"/>
        <v>0</v>
      </c>
      <c r="AJ56" s="117">
        <f t="shared" si="65"/>
        <v>1734.4940000000024</v>
      </c>
      <c r="AK56" s="117">
        <f t="shared" si="65"/>
        <v>0</v>
      </c>
      <c r="AL56" s="117">
        <f t="shared" si="65"/>
        <v>0</v>
      </c>
      <c r="AM56" s="117">
        <f t="shared" si="65"/>
        <v>0</v>
      </c>
      <c r="AN56" s="117">
        <f t="shared" si="65"/>
        <v>8282.6</v>
      </c>
      <c r="AO56" s="117">
        <f t="shared" ca="1" si="65"/>
        <v>20799.687784174184</v>
      </c>
      <c r="AP56" s="117">
        <f t="shared" ca="1" si="65"/>
        <v>18643.481402924273</v>
      </c>
      <c r="AQ56" s="117">
        <f t="shared" ca="1" si="65"/>
        <v>17058.849153624429</v>
      </c>
      <c r="AR56" s="117">
        <f t="shared" ca="1" si="65"/>
        <v>15003.373930498608</v>
      </c>
      <c r="AS56" s="117">
        <f t="shared" ca="1" si="65"/>
        <v>13142.680235926291</v>
      </c>
      <c r="AT56" s="117">
        <f t="shared" ca="1" si="65"/>
        <v>11090.838677424152</v>
      </c>
      <c r="AU56" s="117">
        <f t="shared" ca="1" si="65"/>
        <v>16382.254405919957</v>
      </c>
      <c r="AV56" s="117">
        <f t="shared" ca="1" si="65"/>
        <v>15247.42636438338</v>
      </c>
      <c r="AW56" s="117">
        <f t="shared" ca="1" si="65"/>
        <v>13901.962310141407</v>
      </c>
      <c r="AX56" s="117">
        <f t="shared" ca="1" si="65"/>
        <v>12311.25890798941</v>
      </c>
      <c r="AY56" s="117">
        <f t="shared" ca="1" si="65"/>
        <v>12280.757229353629</v>
      </c>
      <c r="AZ56" s="117">
        <f t="shared" ca="1" si="65"/>
        <v>12310.515325688506</v>
      </c>
      <c r="BA56" s="58"/>
    </row>
    <row r="57" spans="2:53">
      <c r="B57" s="3"/>
      <c r="E57" s="58"/>
      <c r="F57" s="109"/>
      <c r="G57" s="109"/>
      <c r="H57" s="109"/>
      <c r="I57" s="109"/>
      <c r="J57" s="109"/>
      <c r="K57" s="109"/>
      <c r="L57" s="109"/>
      <c r="M57" s="109"/>
      <c r="N57" s="109"/>
      <c r="O57" s="58"/>
      <c r="P57" s="58"/>
      <c r="Q57" s="58"/>
      <c r="R57" s="58"/>
      <c r="S57" s="58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2:53">
      <c r="B58" s="9" t="s">
        <v>221</v>
      </c>
      <c r="C58" s="8"/>
      <c r="D58" s="8"/>
      <c r="E58" s="82"/>
      <c r="F58" s="117"/>
      <c r="G58" s="117"/>
      <c r="H58" s="117"/>
      <c r="I58" s="117"/>
      <c r="J58" s="117">
        <f t="shared" ref="J58:N58" ca="1" si="66">J56+J44</f>
        <v>13631.636000000002</v>
      </c>
      <c r="K58" s="117">
        <f t="shared" ca="1" si="66"/>
        <v>20200.899000000001</v>
      </c>
      <c r="L58" s="117">
        <f t="shared" ca="1" si="66"/>
        <v>31127.855630722617</v>
      </c>
      <c r="M58" s="117">
        <f t="shared" ca="1" si="66"/>
        <v>36750.613242956402</v>
      </c>
      <c r="N58" s="117">
        <f t="shared" ca="1" si="66"/>
        <v>39346.650649641451</v>
      </c>
      <c r="O58" s="82"/>
      <c r="P58" s="82"/>
      <c r="Q58" s="124"/>
      <c r="R58" s="124"/>
      <c r="S58" s="124"/>
      <c r="T58" s="117">
        <f t="shared" ref="T58:AZ58" si="67">T56+T44</f>
        <v>0</v>
      </c>
      <c r="U58" s="117">
        <f t="shared" si="67"/>
        <v>0</v>
      </c>
      <c r="V58" s="117">
        <f t="shared" si="67"/>
        <v>0</v>
      </c>
      <c r="W58" s="117">
        <f t="shared" si="67"/>
        <v>0</v>
      </c>
      <c r="X58" s="117">
        <f t="shared" si="67"/>
        <v>0</v>
      </c>
      <c r="Y58" s="117">
        <f t="shared" si="67"/>
        <v>0</v>
      </c>
      <c r="Z58" s="117">
        <f t="shared" si="67"/>
        <v>0</v>
      </c>
      <c r="AA58" s="117">
        <f t="shared" si="67"/>
        <v>0</v>
      </c>
      <c r="AB58" s="117">
        <f t="shared" si="67"/>
        <v>0</v>
      </c>
      <c r="AC58" s="117">
        <f t="shared" si="67"/>
        <v>0</v>
      </c>
      <c r="AD58" s="117">
        <f t="shared" si="67"/>
        <v>0</v>
      </c>
      <c r="AE58" s="117">
        <f t="shared" si="67"/>
        <v>0</v>
      </c>
      <c r="AF58" s="117">
        <f t="shared" si="67"/>
        <v>0</v>
      </c>
      <c r="AG58" s="117">
        <f t="shared" si="67"/>
        <v>0</v>
      </c>
      <c r="AH58" s="117">
        <f t="shared" si="67"/>
        <v>0</v>
      </c>
      <c r="AI58" s="117">
        <f t="shared" si="67"/>
        <v>0</v>
      </c>
      <c r="AJ58" s="117">
        <f t="shared" si="67"/>
        <v>13631.636000000002</v>
      </c>
      <c r="AK58" s="117">
        <f t="shared" si="67"/>
        <v>0</v>
      </c>
      <c r="AL58" s="117">
        <f t="shared" si="67"/>
        <v>0</v>
      </c>
      <c r="AM58" s="117">
        <f t="shared" si="67"/>
        <v>0</v>
      </c>
      <c r="AN58" s="117">
        <f t="shared" si="67"/>
        <v>20200.899000000001</v>
      </c>
      <c r="AO58" s="117">
        <f t="shared" ca="1" si="67"/>
        <v>32964.341164536716</v>
      </c>
      <c r="AP58" s="117">
        <f t="shared" ca="1" si="67"/>
        <v>33276.260698077655</v>
      </c>
      <c r="AQ58" s="117">
        <f t="shared" ca="1" si="67"/>
        <v>29832.453919983171</v>
      </c>
      <c r="AR58" s="117">
        <f t="shared" ca="1" si="67"/>
        <v>31127.855630722617</v>
      </c>
      <c r="AS58" s="117">
        <f t="shared" ca="1" si="67"/>
        <v>26103.381042621142</v>
      </c>
      <c r="AT58" s="117">
        <f t="shared" ca="1" si="67"/>
        <v>29928.352477262622</v>
      </c>
      <c r="AU58" s="117">
        <f t="shared" ca="1" si="67"/>
        <v>28593.47580291317</v>
      </c>
      <c r="AV58" s="117">
        <f t="shared" ca="1" si="67"/>
        <v>36750.613242956402</v>
      </c>
      <c r="AW58" s="117">
        <f t="shared" ca="1" si="67"/>
        <v>26490.887639271928</v>
      </c>
      <c r="AX58" s="117">
        <f t="shared" ca="1" si="67"/>
        <v>36628.286478424328</v>
      </c>
      <c r="AY58" s="117">
        <f t="shared" ca="1" si="67"/>
        <v>22587.363056445171</v>
      </c>
      <c r="AZ58" s="117">
        <f t="shared" ca="1" si="67"/>
        <v>39346.650649641451</v>
      </c>
    </row>
    <row r="59" spans="2:53">
      <c r="B59" s="52" t="s">
        <v>220</v>
      </c>
      <c r="C59" s="8"/>
      <c r="D59" s="8"/>
      <c r="E59" s="82"/>
      <c r="F59" s="109"/>
      <c r="G59" s="109"/>
      <c r="H59" s="109"/>
      <c r="I59" s="109"/>
      <c r="J59" s="109">
        <f t="shared" ref="J59:N59" ca="1" si="68">J58-J26</f>
        <v>0</v>
      </c>
      <c r="K59" s="109">
        <f t="shared" ca="1" si="68"/>
        <v>0</v>
      </c>
      <c r="L59" s="109">
        <f t="shared" ca="1" si="68"/>
        <v>0</v>
      </c>
      <c r="M59" s="109">
        <f t="shared" ca="1" si="68"/>
        <v>0</v>
      </c>
      <c r="N59" s="109">
        <f t="shared" ca="1" si="68"/>
        <v>0</v>
      </c>
      <c r="O59" s="82"/>
      <c r="P59" s="82"/>
      <c r="Q59" s="124"/>
      <c r="R59" s="124"/>
      <c r="S59" s="124"/>
      <c r="T59" s="109">
        <f t="shared" ref="T59:AZ59" si="69">T58-T26</f>
        <v>0</v>
      </c>
      <c r="U59" s="109">
        <f t="shared" si="69"/>
        <v>0</v>
      </c>
      <c r="V59" s="109">
        <f t="shared" si="69"/>
        <v>0</v>
      </c>
      <c r="W59" s="109">
        <f t="shared" si="69"/>
        <v>0</v>
      </c>
      <c r="X59" s="109">
        <f t="shared" si="69"/>
        <v>0</v>
      </c>
      <c r="Y59" s="109">
        <f t="shared" si="69"/>
        <v>0</v>
      </c>
      <c r="Z59" s="109">
        <f t="shared" si="69"/>
        <v>0</v>
      </c>
      <c r="AA59" s="109">
        <f t="shared" si="69"/>
        <v>0</v>
      </c>
      <c r="AB59" s="109">
        <f t="shared" si="69"/>
        <v>0</v>
      </c>
      <c r="AC59" s="109">
        <f t="shared" si="69"/>
        <v>0</v>
      </c>
      <c r="AD59" s="109">
        <f t="shared" si="69"/>
        <v>0</v>
      </c>
      <c r="AE59" s="109">
        <f t="shared" si="69"/>
        <v>0</v>
      </c>
      <c r="AF59" s="109">
        <f t="shared" si="69"/>
        <v>0</v>
      </c>
      <c r="AG59" s="109">
        <f t="shared" si="69"/>
        <v>0</v>
      </c>
      <c r="AH59" s="109">
        <f t="shared" si="69"/>
        <v>0</v>
      </c>
      <c r="AI59" s="109">
        <f t="shared" si="69"/>
        <v>0</v>
      </c>
      <c r="AJ59" s="109">
        <f t="shared" si="69"/>
        <v>0</v>
      </c>
      <c r="AK59" s="109">
        <f t="shared" si="69"/>
        <v>0</v>
      </c>
      <c r="AL59" s="109">
        <f t="shared" si="69"/>
        <v>0</v>
      </c>
      <c r="AM59" s="109">
        <f t="shared" si="69"/>
        <v>0</v>
      </c>
      <c r="AN59" s="109">
        <f t="shared" si="69"/>
        <v>0</v>
      </c>
      <c r="AO59" s="109">
        <f t="shared" ca="1" si="69"/>
        <v>0</v>
      </c>
      <c r="AP59" s="109">
        <f t="shared" ca="1" si="69"/>
        <v>0</v>
      </c>
      <c r="AQ59" s="109">
        <f t="shared" ca="1" si="69"/>
        <v>0</v>
      </c>
      <c r="AR59" s="109">
        <f t="shared" ca="1" si="69"/>
        <v>0</v>
      </c>
      <c r="AS59" s="109">
        <f t="shared" ca="1" si="69"/>
        <v>0</v>
      </c>
      <c r="AT59" s="109">
        <f t="shared" ca="1" si="69"/>
        <v>0</v>
      </c>
      <c r="AU59" s="109">
        <f t="shared" ca="1" si="69"/>
        <v>0</v>
      </c>
      <c r="AV59" s="109">
        <f t="shared" ca="1" si="69"/>
        <v>0</v>
      </c>
      <c r="AW59" s="109">
        <f t="shared" ca="1" si="69"/>
        <v>0</v>
      </c>
      <c r="AX59" s="109">
        <f t="shared" ca="1" si="69"/>
        <v>0</v>
      </c>
      <c r="AY59" s="109">
        <f t="shared" ca="1" si="69"/>
        <v>0</v>
      </c>
      <c r="AZ59" s="109">
        <f t="shared" ca="1" si="69"/>
        <v>0</v>
      </c>
    </row>
    <row r="60" spans="2:53">
      <c r="AP60" s="109"/>
    </row>
    <row r="61" spans="2:53">
      <c r="B61" s="122" t="s">
        <v>219</v>
      </c>
      <c r="C61" s="5"/>
      <c r="D61" s="5"/>
      <c r="E61" s="5"/>
      <c r="F61" s="5"/>
      <c r="G61" s="13"/>
      <c r="H61" s="13"/>
      <c r="I61" s="13"/>
      <c r="J61" s="13"/>
      <c r="K61" s="5"/>
      <c r="L61" s="5"/>
      <c r="M61" s="5"/>
      <c r="N61" s="5"/>
      <c r="O61" s="5"/>
      <c r="P61" s="5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5"/>
      <c r="AL61" s="5"/>
      <c r="AM61" s="123"/>
      <c r="AN61" s="123"/>
      <c r="AO61" s="123"/>
      <c r="AP61" s="123"/>
      <c r="AQ61" s="5"/>
      <c r="AR61" s="5"/>
      <c r="AS61" s="5"/>
      <c r="AT61" s="5"/>
      <c r="AU61" s="5"/>
      <c r="AV61" s="5"/>
      <c r="AW61" s="5"/>
      <c r="AX61" s="5"/>
      <c r="AY61" s="5"/>
      <c r="AZ61" s="5"/>
    </row>
    <row r="62" spans="2:53">
      <c r="B62" s="1" t="s">
        <v>218</v>
      </c>
      <c r="G62" s="10"/>
      <c r="H62" s="10"/>
      <c r="I62" s="10"/>
      <c r="J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M62" s="70"/>
      <c r="AN62" s="70"/>
      <c r="AO62" s="70"/>
      <c r="AP62" s="70"/>
    </row>
    <row r="63" spans="2:53">
      <c r="B63" s="3" t="s">
        <v>217</v>
      </c>
      <c r="E63" s="2"/>
      <c r="F63" s="2"/>
      <c r="G63" s="2"/>
      <c r="H63" s="2"/>
      <c r="I63" s="58">
        <f>IQ_IS!I128</f>
        <v>-2575.1120000000005</v>
      </c>
      <c r="J63" s="58">
        <f>IQ_IS!J128</f>
        <v>-3074.0220000000004</v>
      </c>
      <c r="K63" s="58">
        <f ca="1">IQ_IS!K128</f>
        <v>-3736.9319999999957</v>
      </c>
      <c r="L63" s="58">
        <f ca="1">IQ_IS!L124</f>
        <v>-7241.931595455424</v>
      </c>
      <c r="M63" s="58">
        <f ca="1">IQ_IS!M124</f>
        <v>-6384.3391081820173</v>
      </c>
      <c r="N63" s="58">
        <f ca="1">IQ_IS!N124</f>
        <v>-3338.3751856914187</v>
      </c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M63" s="70"/>
      <c r="AN63" s="58"/>
      <c r="AO63" s="58">
        <f ca="1">IQ_IS!AO124</f>
        <v>-1212.6239251054792</v>
      </c>
      <c r="AP63" s="58">
        <f ca="1">IQ_IS!AP124</f>
        <v>-2228.2071745633048</v>
      </c>
      <c r="AQ63" s="58">
        <f ca="1">IQ_IS!AQ124</f>
        <v>-1665.9836669466461</v>
      </c>
      <c r="AR63" s="58">
        <f ca="1">IQ_IS!AR124</f>
        <v>-2135.1168288399963</v>
      </c>
      <c r="AS63" s="58">
        <f ca="1">IQ_IS!AS124</f>
        <v>-1934.0750159981365</v>
      </c>
      <c r="AT63" s="58">
        <f ca="1">IQ_IS!AT124</f>
        <v>-2137.1228566203813</v>
      </c>
      <c r="AU63" s="58">
        <f ca="1">IQ_IS!AU124</f>
        <v>-1084.1558888432485</v>
      </c>
      <c r="AV63" s="58">
        <f ca="1">IQ_IS!AV124</f>
        <v>-1228.9853467202438</v>
      </c>
      <c r="AW63" s="58">
        <f ca="1">IQ_IS!AW124</f>
        <v>-1432.1174294446628</v>
      </c>
      <c r="AX63" s="58">
        <f ca="1">IQ_IS!AX124</f>
        <v>-1689.2256892440375</v>
      </c>
      <c r="AY63" s="58">
        <f ca="1">IQ_IS!AY124</f>
        <v>-138.16477222319361</v>
      </c>
      <c r="AZ63" s="58">
        <f ca="1">IQ_IS!AZ124</f>
        <v>-78.867294779523078</v>
      </c>
    </row>
    <row r="64" spans="2:53">
      <c r="B64" s="3" t="s">
        <v>216</v>
      </c>
      <c r="E64" s="2"/>
      <c r="F64" s="2"/>
      <c r="G64" s="2"/>
      <c r="H64" s="2"/>
      <c r="I64" s="59">
        <v>222.19499999999999</v>
      </c>
      <c r="J64" s="59">
        <v>306.495</v>
      </c>
      <c r="K64" s="59">
        <v>348.92099999999999</v>
      </c>
      <c r="L64" s="58">
        <f t="shared" ref="L64:N67" ca="1" si="70">SUM(OFFSET($P64,0,L$1,1,4))</f>
        <v>513.51479773588142</v>
      </c>
      <c r="M64" s="58">
        <f t="shared" ca="1" si="70"/>
        <v>815.95202706012265</v>
      </c>
      <c r="N64" s="58">
        <f t="shared" ca="1" si="70"/>
        <v>1075.0135995931466</v>
      </c>
      <c r="AM64" s="70"/>
      <c r="AN64" s="58"/>
      <c r="AO64" s="58">
        <f ca="1">AO179</f>
        <v>99.917440000000056</v>
      </c>
      <c r="AP64" s="58">
        <f t="shared" ref="AP64:AZ64" ca="1" si="71">AP179</f>
        <v>116.6298263370969</v>
      </c>
      <c r="AQ64" s="58">
        <f t="shared" ca="1" si="71"/>
        <v>137.121254051233</v>
      </c>
      <c r="AR64" s="58">
        <f t="shared" ca="1" si="71"/>
        <v>159.84627734755142</v>
      </c>
      <c r="AS64" s="58">
        <f t="shared" ca="1" si="71"/>
        <v>180.04511640081404</v>
      </c>
      <c r="AT64" s="58">
        <f t="shared" ca="1" si="71"/>
        <v>193.89839841880371</v>
      </c>
      <c r="AU64" s="58">
        <f t="shared" ca="1" si="71"/>
        <v>211.22573312526296</v>
      </c>
      <c r="AV64" s="58">
        <f t="shared" ca="1" si="71"/>
        <v>230.78277911524196</v>
      </c>
      <c r="AW64" s="58">
        <f t="shared" ca="1" si="71"/>
        <v>248.57724086150139</v>
      </c>
      <c r="AX64" s="58">
        <f t="shared" ca="1" si="71"/>
        <v>259.98796606587081</v>
      </c>
      <c r="AY64" s="58">
        <f t="shared" ca="1" si="71"/>
        <v>274.77256993014873</v>
      </c>
      <c r="AZ64" s="58">
        <f t="shared" ca="1" si="71"/>
        <v>291.67582273562567</v>
      </c>
    </row>
    <row r="65" spans="2:52">
      <c r="B65" s="3" t="s">
        <v>91</v>
      </c>
      <c r="E65" s="2"/>
      <c r="F65" s="2"/>
      <c r="G65" s="2"/>
      <c r="H65" s="2"/>
      <c r="I65" s="59">
        <v>172.78800000000001</v>
      </c>
      <c r="J65" s="59">
        <v>102.242</v>
      </c>
      <c r="K65" s="59">
        <v>112.86</v>
      </c>
      <c r="L65" s="58">
        <f t="shared" ca="1" si="70"/>
        <v>123.96697715092357</v>
      </c>
      <c r="M65" s="58">
        <f t="shared" ca="1" si="70"/>
        <v>137.7609720277498</v>
      </c>
      <c r="N65" s="58">
        <f t="shared" ca="1" si="70"/>
        <v>158.16138506015449</v>
      </c>
      <c r="R65" s="10"/>
      <c r="AM65" s="70"/>
      <c r="AN65" s="58"/>
      <c r="AO65" s="58">
        <f ca="1">AO180</f>
        <v>30.230849615551982</v>
      </c>
      <c r="AP65" s="58">
        <f t="shared" ref="AP65:AZ65" ca="1" si="72">AP180</f>
        <v>30.448798757148463</v>
      </c>
      <c r="AQ65" s="58">
        <f t="shared" ca="1" si="72"/>
        <v>31.138653481370973</v>
      </c>
      <c r="AR65" s="58">
        <f t="shared" ca="1" si="72"/>
        <v>32.148675296852147</v>
      </c>
      <c r="AS65" s="58">
        <f t="shared" ca="1" si="72"/>
        <v>33.019903198295779</v>
      </c>
      <c r="AT65" s="58">
        <f t="shared" ca="1" si="72"/>
        <v>33.695739409653058</v>
      </c>
      <c r="AU65" s="58">
        <f t="shared" ca="1" si="72"/>
        <v>34.811652059307349</v>
      </c>
      <c r="AV65" s="58">
        <f t="shared" ca="1" si="72"/>
        <v>36.233677360493623</v>
      </c>
      <c r="AW65" s="58">
        <f t="shared" ca="1" si="72"/>
        <v>37.534181815034131</v>
      </c>
      <c r="AX65" s="58">
        <f t="shared" ca="1" si="72"/>
        <v>38.606758748391897</v>
      </c>
      <c r="AY65" s="58">
        <f t="shared" ca="1" si="72"/>
        <v>40.113611385261997</v>
      </c>
      <c r="AZ65" s="58">
        <f t="shared" ca="1" si="72"/>
        <v>41.90683311146644</v>
      </c>
    </row>
    <row r="66" spans="2:52">
      <c r="B66" s="3" t="s">
        <v>477</v>
      </c>
      <c r="E66" s="2"/>
      <c r="F66" s="2"/>
      <c r="G66" s="2"/>
      <c r="H66" s="2"/>
      <c r="I66" s="59">
        <v>2293.7350000000001</v>
      </c>
      <c r="J66" s="59">
        <v>4036.1210000000001</v>
      </c>
      <c r="K66" s="59">
        <v>7491.9549999999999</v>
      </c>
      <c r="L66" s="58">
        <f t="shared" ca="1" si="70"/>
        <v>13797.089872780818</v>
      </c>
      <c r="M66" s="58">
        <f t="shared" ca="1" si="70"/>
        <v>14690.239273222505</v>
      </c>
      <c r="N66" s="58">
        <f t="shared" ca="1" si="70"/>
        <v>15138.178684261238</v>
      </c>
      <c r="R66" s="10"/>
      <c r="AM66" s="70"/>
      <c r="AN66" s="58"/>
      <c r="AO66" s="58">
        <f ca="1">AO260</f>
        <v>2409.4651554737334</v>
      </c>
      <c r="AP66" s="58">
        <f t="shared" ref="AP66:AZ66" ca="1" si="73">AP260</f>
        <v>3605.8073520195862</v>
      </c>
      <c r="AQ66" s="58">
        <f t="shared" ca="1" si="73"/>
        <v>3832.3560256196783</v>
      </c>
      <c r="AR66" s="58">
        <f t="shared" ca="1" si="73"/>
        <v>3949.4613396678196</v>
      </c>
      <c r="AS66" s="58">
        <f t="shared" ca="1" si="73"/>
        <v>3439.8172682883164</v>
      </c>
      <c r="AT66" s="58">
        <f t="shared" ca="1" si="73"/>
        <v>3833.6451258666843</v>
      </c>
      <c r="AU66" s="58">
        <f t="shared" ca="1" si="73"/>
        <v>3749.4961514408401</v>
      </c>
      <c r="AV66" s="58">
        <f t="shared" ca="1" si="73"/>
        <v>3667.280727626664</v>
      </c>
      <c r="AW66" s="58">
        <f t="shared" ca="1" si="73"/>
        <v>3558.1488569921194</v>
      </c>
      <c r="AX66" s="58">
        <f t="shared" ca="1" si="73"/>
        <v>4057.5751231229779</v>
      </c>
      <c r="AY66" s="58">
        <f t="shared" ca="1" si="73"/>
        <v>3837.757086655176</v>
      </c>
      <c r="AZ66" s="58">
        <f t="shared" ca="1" si="73"/>
        <v>3684.697617490966</v>
      </c>
    </row>
    <row r="67" spans="2:52">
      <c r="B67" s="3" t="s">
        <v>478</v>
      </c>
      <c r="E67" s="2"/>
      <c r="F67" s="2"/>
      <c r="G67" s="2"/>
      <c r="H67" s="2"/>
      <c r="I67" s="59">
        <v>231.59700000000001</v>
      </c>
      <c r="J67" s="59">
        <v>574.53</v>
      </c>
      <c r="K67" s="59">
        <v>811.44799999999998</v>
      </c>
      <c r="L67" s="58">
        <f t="shared" ca="1" si="70"/>
        <v>1517.950436155751</v>
      </c>
      <c r="M67" s="58">
        <f t="shared" ca="1" si="70"/>
        <v>3438.776754342427</v>
      </c>
      <c r="N67" s="58">
        <f t="shared" ca="1" si="70"/>
        <v>5240.5247015369187</v>
      </c>
      <c r="R67" s="10"/>
      <c r="AM67" s="70"/>
      <c r="AN67" s="58"/>
      <c r="AO67" s="58">
        <f>AO272</f>
        <v>226.99274547827193</v>
      </c>
      <c r="AP67" s="58">
        <f t="shared" ref="AP67:AZ67" si="74">AP272</f>
        <v>318.52426851110488</v>
      </c>
      <c r="AQ67" s="58">
        <f t="shared" si="74"/>
        <v>428.89563177707669</v>
      </c>
      <c r="AR67" s="58">
        <f t="shared" si="74"/>
        <v>543.5377903892977</v>
      </c>
      <c r="AS67" s="58">
        <f t="shared" si="74"/>
        <v>656.30904588487726</v>
      </c>
      <c r="AT67" s="58">
        <f t="shared" si="74"/>
        <v>785.05661553598168</v>
      </c>
      <c r="AU67" s="58">
        <f t="shared" si="74"/>
        <v>927.92700782859811</v>
      </c>
      <c r="AV67" s="58">
        <f t="shared" si="74"/>
        <v>1069.4840850929702</v>
      </c>
      <c r="AW67" s="58">
        <f t="shared" si="74"/>
        <v>1209.1553805747899</v>
      </c>
      <c r="AX67" s="58">
        <f t="shared" si="74"/>
        <v>1363.3371679828665</v>
      </c>
      <c r="AY67" s="58">
        <f t="shared" si="74"/>
        <v>1299.8186952895178</v>
      </c>
      <c r="AZ67" s="58">
        <f t="shared" si="74"/>
        <v>1368.2134576897447</v>
      </c>
    </row>
    <row r="68" spans="2:52">
      <c r="B68" s="3" t="s">
        <v>479</v>
      </c>
      <c r="E68" s="2"/>
      <c r="F68" s="2"/>
      <c r="G68" s="2"/>
      <c r="H68" s="2"/>
      <c r="I68" s="59">
        <v>0</v>
      </c>
      <c r="J68" s="59">
        <v>212.21899999999999</v>
      </c>
      <c r="K68" s="59">
        <v>390.23500000000001</v>
      </c>
      <c r="L68" s="58"/>
      <c r="M68" s="58"/>
      <c r="N68" s="58"/>
      <c r="R68" s="10"/>
      <c r="AM68" s="70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</row>
    <row r="69" spans="2:52">
      <c r="B69" s="3" t="s">
        <v>480</v>
      </c>
      <c r="E69" s="2"/>
      <c r="F69" s="2"/>
      <c r="G69" s="2"/>
      <c r="H69" s="2"/>
      <c r="I69" s="59">
        <v>0</v>
      </c>
      <c r="J69" s="59">
        <v>0</v>
      </c>
      <c r="K69" s="59">
        <v>32.938000000000002</v>
      </c>
      <c r="L69" s="58"/>
      <c r="M69" s="58"/>
      <c r="N69" s="58"/>
      <c r="R69" s="10"/>
      <c r="AM69" s="70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</row>
    <row r="70" spans="2:52">
      <c r="B70" s="3" t="s">
        <v>481</v>
      </c>
      <c r="E70" s="2"/>
      <c r="F70" s="2"/>
      <c r="G70" s="2"/>
      <c r="H70" s="2"/>
      <c r="I70" s="59">
        <v>3.89</v>
      </c>
      <c r="J70" s="59">
        <v>29.015999999999998</v>
      </c>
      <c r="K70" s="59">
        <v>-2.532</v>
      </c>
      <c r="L70" s="58"/>
      <c r="M70" s="58"/>
      <c r="N70" s="58"/>
      <c r="R70" s="10"/>
      <c r="AM70" s="70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</row>
    <row r="71" spans="2:52">
      <c r="B71" s="3" t="s">
        <v>482</v>
      </c>
      <c r="E71" s="2"/>
      <c r="F71" s="2"/>
      <c r="G71" s="2"/>
      <c r="H71" s="2"/>
      <c r="I71" s="59">
        <v>79.111999999999995</v>
      </c>
      <c r="J71" s="59">
        <v>180.57400000000001</v>
      </c>
      <c r="K71" s="59">
        <v>-333.601</v>
      </c>
      <c r="L71" s="58"/>
      <c r="M71" s="58"/>
      <c r="N71" s="58"/>
      <c r="R71" s="10"/>
      <c r="AM71" s="70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</row>
    <row r="72" spans="2:52">
      <c r="B72" s="3" t="s">
        <v>483</v>
      </c>
      <c r="E72" s="2"/>
      <c r="F72" s="2"/>
      <c r="G72" s="2"/>
      <c r="H72" s="2"/>
      <c r="I72" s="59">
        <v>-1.8080000000000001</v>
      </c>
      <c r="J72" s="59">
        <v>1.1659999999999999</v>
      </c>
      <c r="K72" s="59">
        <v>4.5940000000000003</v>
      </c>
      <c r="L72" s="58"/>
      <c r="M72" s="58"/>
      <c r="N72" s="58"/>
      <c r="R72" s="10"/>
      <c r="AM72" s="70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</row>
    <row r="73" spans="2:52">
      <c r="B73" s="3" t="s">
        <v>484</v>
      </c>
      <c r="E73" s="2"/>
      <c r="F73" s="2"/>
      <c r="G73" s="2"/>
      <c r="H73" s="2"/>
      <c r="I73" s="59">
        <v>4.641</v>
      </c>
      <c r="J73" s="59">
        <v>0</v>
      </c>
      <c r="K73" s="59">
        <v>0</v>
      </c>
      <c r="L73" s="58"/>
      <c r="M73" s="58"/>
      <c r="N73" s="58"/>
      <c r="R73" s="10"/>
      <c r="AM73" s="70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</row>
    <row r="74" spans="2:52">
      <c r="B74" s="3" t="s">
        <v>485</v>
      </c>
      <c r="E74" s="2"/>
      <c r="F74" s="2"/>
      <c r="G74" s="2"/>
      <c r="H74" s="2"/>
      <c r="I74" s="59">
        <v>0</v>
      </c>
      <c r="J74" s="59">
        <v>0</v>
      </c>
      <c r="K74" s="59">
        <v>112.45699999999999</v>
      </c>
      <c r="L74" s="58"/>
      <c r="M74" s="58"/>
      <c r="N74" s="58"/>
      <c r="R74" s="10"/>
      <c r="AM74" s="70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</row>
    <row r="75" spans="2:52">
      <c r="B75" s="3" t="s">
        <v>486</v>
      </c>
      <c r="E75" s="2"/>
      <c r="F75" s="2"/>
      <c r="G75" s="2"/>
      <c r="H75" s="2"/>
      <c r="I75" s="59">
        <v>-349.834</v>
      </c>
      <c r="J75" s="59">
        <v>-382.47800000000001</v>
      </c>
      <c r="K75" s="59">
        <v>-762.74099999999999</v>
      </c>
      <c r="L75" s="58">
        <f ca="1">SUM(OFFSET($P75,0,L$1,1,4))</f>
        <v>-1065.5663272424183</v>
      </c>
      <c r="M75" s="58">
        <f ca="1">SUM(OFFSET($P75,0,M$1,1,4))</f>
        <v>-1281.457823007343</v>
      </c>
      <c r="N75" s="58">
        <f ca="1">SUM(OFFSET($P75,0,N$1,1,4))</f>
        <v>-1481.1831679152124</v>
      </c>
      <c r="R75" s="10"/>
      <c r="AM75" s="70"/>
      <c r="AN75" s="58"/>
      <c r="AO75" s="58">
        <f ca="1">-Operating_Model!AO222</f>
        <v>-202.59649590829457</v>
      </c>
      <c r="AP75" s="58">
        <f ca="1">-Operating_Model!AP222</f>
        <v>-443.45950701138014</v>
      </c>
      <c r="AQ75" s="58">
        <f ca="1">-Operating_Model!AQ222</f>
        <v>-234.96891923548603</v>
      </c>
      <c r="AR75" s="58">
        <f ca="1">-Operating_Model!AR222</f>
        <v>-184.54140508725763</v>
      </c>
      <c r="AS75" s="58">
        <f ca="1">-Operating_Model!AS222</f>
        <v>-247.31967238005058</v>
      </c>
      <c r="AT75" s="58">
        <f ca="1">-Operating_Model!AT222</f>
        <v>-535.34986010797581</v>
      </c>
      <c r="AU75" s="58">
        <f ca="1">-Operating_Model!AU222</f>
        <v>-280.63556925562631</v>
      </c>
      <c r="AV75" s="58">
        <f ca="1">-Operating_Model!AV222</f>
        <v>-218.15272126369035</v>
      </c>
      <c r="AW75" s="58">
        <f ca="1">-Operating_Model!AW222</f>
        <v>-289.49449442863011</v>
      </c>
      <c r="AX75" s="58">
        <f ca="1">-Operating_Model!AX222</f>
        <v>-620.73879923416825</v>
      </c>
      <c r="AY75" s="58">
        <f ca="1">-Operating_Model!AY222</f>
        <v>-322.45760191003069</v>
      </c>
      <c r="AZ75" s="58">
        <f ca="1">-Operating_Model!AZ222</f>
        <v>-248.49227234238322</v>
      </c>
    </row>
    <row r="76" spans="2:52">
      <c r="B76" s="3" t="s">
        <v>487</v>
      </c>
      <c r="E76" s="2"/>
      <c r="F76" s="2"/>
      <c r="G76" s="2"/>
      <c r="H76" s="2"/>
      <c r="I76" s="59">
        <v>19.414999999999999</v>
      </c>
      <c r="J76" s="59">
        <v>7.2450000000000001</v>
      </c>
      <c r="K76" s="59">
        <v>56.048000000000002</v>
      </c>
      <c r="L76" s="58"/>
      <c r="M76" s="58"/>
      <c r="N76" s="58"/>
      <c r="R76" s="10"/>
      <c r="AM76" s="70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</row>
    <row r="77" spans="2:52">
      <c r="B77" s="3" t="s">
        <v>488</v>
      </c>
      <c r="E77" s="2"/>
      <c r="F77" s="2"/>
      <c r="G77" s="2"/>
      <c r="H77" s="2"/>
      <c r="I77" s="59">
        <v>0.76200000000000001</v>
      </c>
      <c r="J77" s="59">
        <v>0.1</v>
      </c>
      <c r="K77" s="59">
        <v>0.26300000000000001</v>
      </c>
      <c r="L77" s="58"/>
      <c r="M77" s="58"/>
      <c r="N77" s="58"/>
      <c r="R77" s="10"/>
      <c r="AM77" s="70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</row>
    <row r="78" spans="2:52">
      <c r="B78" s="3" t="s">
        <v>489</v>
      </c>
      <c r="E78" s="2"/>
      <c r="F78" s="2"/>
      <c r="G78" s="2"/>
      <c r="H78" s="2"/>
      <c r="I78" s="59">
        <v>5.2009999999999996</v>
      </c>
      <c r="J78" s="59">
        <v>0.47799999999999998</v>
      </c>
      <c r="K78" s="59">
        <v>-12.214</v>
      </c>
      <c r="L78" s="58"/>
      <c r="M78" s="58"/>
      <c r="N78" s="58"/>
      <c r="R78" s="10"/>
      <c r="AM78" s="70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</row>
    <row r="79" spans="2:52">
      <c r="B79" s="3" t="s">
        <v>215</v>
      </c>
      <c r="E79" s="2"/>
      <c r="F79" s="2"/>
      <c r="G79" s="2"/>
      <c r="H79" s="2"/>
      <c r="I79" s="59">
        <v>44.194000000000003</v>
      </c>
      <c r="J79" s="59">
        <v>62.392000000000003</v>
      </c>
      <c r="K79" s="59">
        <v>233.42400000000001</v>
      </c>
      <c r="L79" s="58">
        <f ca="1">SUM(OFFSET($P79,0,L$1,1,4))</f>
        <v>292.64263216122987</v>
      </c>
      <c r="M79" s="58">
        <f ca="1">SUM(OFFSET($P79,0,M$1,1,4))</f>
        <v>347.49147652558099</v>
      </c>
      <c r="N79" s="58">
        <f ca="1">SUM(OFFSET($P79,0,N$1,1,4))</f>
        <v>401.46414699654315</v>
      </c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M79" s="70"/>
      <c r="AN79" s="58"/>
      <c r="AO79" s="58">
        <f>IQ_IS!AO175</f>
        <v>59.648815486858119</v>
      </c>
      <c r="AP79" s="58">
        <f>IQ_IS!AP175</f>
        <v>72.00079331339731</v>
      </c>
      <c r="AQ79" s="58">
        <f>IQ_IS!AQ175</f>
        <v>81.351417646798836</v>
      </c>
      <c r="AR79" s="58">
        <f>IQ_IS!AR175</f>
        <v>79.641605714175583</v>
      </c>
      <c r="AS79" s="58">
        <f>IQ_IS!AS175</f>
        <v>73.3813214258183</v>
      </c>
      <c r="AT79" s="58">
        <f>IQ_IS!AT175</f>
        <v>85.281298118241338</v>
      </c>
      <c r="AU79" s="58">
        <f>IQ_IS!AU175</f>
        <v>94.671551797856509</v>
      </c>
      <c r="AV79" s="58">
        <f>IQ_IS!AV175</f>
        <v>94.157305183664874</v>
      </c>
      <c r="AW79" s="58">
        <f>IQ_IS!AW175</f>
        <v>86.653375202689986</v>
      </c>
      <c r="AX79" s="58">
        <f>IQ_IS!AX175</f>
        <v>98.52228709204131</v>
      </c>
      <c r="AY79" s="58">
        <f>IQ_IS!AY175</f>
        <v>107.66309358741246</v>
      </c>
      <c r="AZ79" s="58">
        <f>IQ_IS!AZ175</f>
        <v>108.62539111439941</v>
      </c>
    </row>
    <row r="80" spans="2:52">
      <c r="B80" s="3" t="s">
        <v>214</v>
      </c>
      <c r="E80" s="2"/>
      <c r="F80" s="2"/>
      <c r="G80" s="2"/>
      <c r="H80" s="2"/>
      <c r="I80" s="59">
        <f>-295.007-9.015+9.983-337.945-350.08+1040.691+19.097+219.483+584.627+43.698-5.538</f>
        <v>919.99400000000014</v>
      </c>
      <c r="J80" s="59">
        <f>-322.756-57.941+0-872.425-173.417+1076.988+19.138+456.823+389.004+42.943-2.314</f>
        <v>556.04300000000023</v>
      </c>
      <c r="K80" s="59">
        <f>-512.06+56.72-1962.221-549.301+1050.178-184.882+836.946+646.814-123.618+6.085</f>
        <v>-735.33899999999949</v>
      </c>
      <c r="L80" s="58">
        <f ca="1">-L312</f>
        <v>-530.60358714515678</v>
      </c>
      <c r="M80" s="58">
        <f ca="1">-M312</f>
        <v>1180.3638978880263</v>
      </c>
      <c r="N80" s="58">
        <f ca="1">-N312</f>
        <v>1428.7789103780706</v>
      </c>
      <c r="AM80" s="70"/>
      <c r="AN80" s="58"/>
      <c r="AO80" s="58">
        <f ca="1">-AO312-AO67</f>
        <v>429.86599531516913</v>
      </c>
      <c r="AP80" s="58">
        <f t="shared" ref="AP80:AZ80" ca="1" si="75">-AP312-AP67</f>
        <v>-940.40388564710395</v>
      </c>
      <c r="AQ80" s="58">
        <f t="shared" ca="1" si="75"/>
        <v>-965.9758379232494</v>
      </c>
      <c r="AR80" s="58">
        <f t="shared" ca="1" si="75"/>
        <v>-572.04029504572372</v>
      </c>
      <c r="AS80" s="58">
        <f t="shared" ca="1" si="75"/>
        <v>-815.40867814614728</v>
      </c>
      <c r="AT80" s="58">
        <f t="shared" ca="1" si="75"/>
        <v>112.98610304586998</v>
      </c>
      <c r="AU80" s="58">
        <f t="shared" ca="1" si="75"/>
        <v>-2192.4451381048466</v>
      </c>
      <c r="AV80" s="58">
        <f t="shared" ca="1" si="75"/>
        <v>636.45485675072291</v>
      </c>
      <c r="AW80" s="58">
        <f t="shared" ca="1" si="75"/>
        <v>-2767.007848732379</v>
      </c>
      <c r="AX80" s="58">
        <f t="shared" ca="1" si="75"/>
        <v>1623.2781685001196</v>
      </c>
      <c r="AY80" s="58">
        <f t="shared" ca="1" si="75"/>
        <v>-4889.2496428697978</v>
      </c>
      <c r="AZ80" s="58">
        <f t="shared" ca="1" si="75"/>
        <v>2221.2335319432091</v>
      </c>
    </row>
    <row r="81" spans="2:52">
      <c r="B81" s="9" t="s">
        <v>213</v>
      </c>
      <c r="E81" s="2"/>
      <c r="F81" s="12"/>
      <c r="G81" s="12"/>
      <c r="H81" s="12"/>
      <c r="I81" s="82">
        <f t="shared" ref="I81:N81" si="76">SUM(I63:I80)</f>
        <v>1070.77</v>
      </c>
      <c r="J81" s="82">
        <f t="shared" si="76"/>
        <v>2612.1209999999996</v>
      </c>
      <c r="K81" s="82">
        <f t="shared" ca="1" si="76"/>
        <v>4011.7840000000047</v>
      </c>
      <c r="L81" s="82">
        <f t="shared" ca="1" si="76"/>
        <v>7407.0632061416054</v>
      </c>
      <c r="M81" s="82">
        <f t="shared" ca="1" si="76"/>
        <v>12944.787469877054</v>
      </c>
      <c r="N81" s="82">
        <f t="shared" ca="1" si="76"/>
        <v>18622.563074219441</v>
      </c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M81" s="70"/>
      <c r="AN81" s="82"/>
      <c r="AO81" s="82">
        <f t="shared" ref="AO81:AZ81" ca="1" si="77">SUM(AO63:AO80)</f>
        <v>1840.9005803558107</v>
      </c>
      <c r="AP81" s="82">
        <f t="shared" ca="1" si="77"/>
        <v>531.34047171654458</v>
      </c>
      <c r="AQ81" s="82">
        <f t="shared" ca="1" si="77"/>
        <v>1643.9345584707767</v>
      </c>
      <c r="AR81" s="82">
        <f t="shared" ca="1" si="77"/>
        <v>1872.9371594427189</v>
      </c>
      <c r="AS81" s="82">
        <f t="shared" ca="1" si="77"/>
        <v>1385.7692886737877</v>
      </c>
      <c r="AT81" s="82">
        <f t="shared" ca="1" si="77"/>
        <v>2372.0905636668772</v>
      </c>
      <c r="AU81" s="82">
        <f t="shared" ca="1" si="77"/>
        <v>1460.8955000481437</v>
      </c>
      <c r="AV81" s="82">
        <f t="shared" ca="1" si="77"/>
        <v>4287.2553631458231</v>
      </c>
      <c r="AW81" s="82">
        <f t="shared" ca="1" si="77"/>
        <v>651.44926284046323</v>
      </c>
      <c r="AX81" s="82">
        <f t="shared" ca="1" si="77"/>
        <v>5131.3429830340619</v>
      </c>
      <c r="AY81" s="82">
        <f t="shared" ca="1" si="77"/>
        <v>210.25303984449511</v>
      </c>
      <c r="AZ81" s="82">
        <f t="shared" ca="1" si="77"/>
        <v>7388.9930869635045</v>
      </c>
    </row>
    <row r="82" spans="2:52">
      <c r="B82" s="3"/>
      <c r="E82" s="2"/>
      <c r="F82" s="12"/>
      <c r="G82" s="12"/>
      <c r="H82" s="12"/>
      <c r="I82" s="12"/>
      <c r="J82" s="12"/>
      <c r="K82" s="58"/>
      <c r="L82" s="58"/>
      <c r="M82" s="58"/>
      <c r="N82" s="5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M82" s="70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</row>
    <row r="83" spans="2:52">
      <c r="B83" s="11" t="s">
        <v>212</v>
      </c>
      <c r="E83" s="2"/>
      <c r="F83" s="12"/>
      <c r="G83" s="12"/>
      <c r="H83" s="12"/>
      <c r="I83" s="12"/>
      <c r="J83" s="2"/>
      <c r="K83" s="58"/>
      <c r="L83" s="58"/>
      <c r="M83" s="58"/>
      <c r="N83" s="58"/>
      <c r="AM83" s="70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</row>
    <row r="84" spans="2:52">
      <c r="B84" s="3" t="s">
        <v>211</v>
      </c>
      <c r="E84" s="2"/>
      <c r="F84" s="2"/>
      <c r="G84" s="2"/>
      <c r="H84" s="2"/>
      <c r="I84" s="59">
        <v>-295.44799999999998</v>
      </c>
      <c r="J84" s="59">
        <v>-399.88499999999999</v>
      </c>
      <c r="K84" s="59">
        <v>-1022.3150000000001</v>
      </c>
      <c r="L84" s="58">
        <f t="shared" ref="L84:N86" ca="1" si="78">SUM(OFFSET($P84,0,L$1,1,4))</f>
        <v>-1515.1107527460565</v>
      </c>
      <c r="M84" s="58">
        <f t="shared" ca="1" si="78"/>
        <v>-1672.6035828187144</v>
      </c>
      <c r="N84" s="58">
        <f t="shared" ca="1" si="78"/>
        <v>-1812.4777350870336</v>
      </c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M84" s="70"/>
      <c r="AN84" s="58"/>
      <c r="AO84" s="58">
        <f>-'IQ_BS + CFS'!AO159</f>
        <v>-308.82226921371068</v>
      </c>
      <c r="AP84" s="58">
        <f>-'IQ_BS + CFS'!AP159</f>
        <v>-372.77267276379797</v>
      </c>
      <c r="AQ84" s="58">
        <f>-'IQ_BS + CFS'!AQ159</f>
        <v>-421.18404525521339</v>
      </c>
      <c r="AR84" s="58">
        <f>-'IQ_BS + CFS'!AR159</f>
        <v>-412.3317655133344</v>
      </c>
      <c r="AS84" s="58">
        <f>-'IQ_BS + CFS'!AS159</f>
        <v>-353.211141625685</v>
      </c>
      <c r="AT84" s="58">
        <f>-'IQ_BS + CFS'!AT159</f>
        <v>-410.49008224954429</v>
      </c>
      <c r="AU84" s="58">
        <f>-'IQ_BS + CFS'!AU159</f>
        <v>-455.68880800000085</v>
      </c>
      <c r="AV84" s="58">
        <f>-'IQ_BS + CFS'!AV159</f>
        <v>-453.21355094348422</v>
      </c>
      <c r="AW84" s="58">
        <f>-'IQ_BS + CFS'!AW159</f>
        <v>-391.21130591611916</v>
      </c>
      <c r="AX84" s="58">
        <f>-'IQ_BS + CFS'!AX159</f>
        <v>-444.79551436934446</v>
      </c>
      <c r="AY84" s="58">
        <f>-'IQ_BS + CFS'!AY159</f>
        <v>-486.06322999861032</v>
      </c>
      <c r="AZ84" s="58">
        <f>-'IQ_BS + CFS'!AZ159</f>
        <v>-490.40768480295969</v>
      </c>
    </row>
    <row r="85" spans="2:52">
      <c r="B85" s="3" t="s">
        <v>210</v>
      </c>
      <c r="E85" s="2"/>
      <c r="F85" s="2"/>
      <c r="G85" s="2"/>
      <c r="H85" s="2"/>
      <c r="I85" s="59">
        <v>-30.609000000000002</v>
      </c>
      <c r="J85" s="59">
        <v>-42.12</v>
      </c>
      <c r="K85" s="59">
        <v>-110.29</v>
      </c>
      <c r="L85" s="58">
        <f t="shared" ca="1" si="78"/>
        <v>-163.45408696963517</v>
      </c>
      <c r="M85" s="58">
        <f t="shared" ca="1" si="78"/>
        <v>-201.6736256226105</v>
      </c>
      <c r="N85" s="58">
        <f t="shared" ca="1" si="78"/>
        <v>-244.24936488417484</v>
      </c>
      <c r="AN85" s="58"/>
      <c r="AO85" s="58">
        <f>-'IQ_BS + CFS'!AO169</f>
        <v>-33.316549274519254</v>
      </c>
      <c r="AP85" s="58">
        <f>-'IQ_BS + CFS'!AP169</f>
        <v>-40.215685066852465</v>
      </c>
      <c r="AQ85" s="58">
        <f>-'IQ_BS + CFS'!AQ169</f>
        <v>-45.438429790424166</v>
      </c>
      <c r="AR85" s="58">
        <f>-'IQ_BS + CFS'!AR169</f>
        <v>-44.483422837839271</v>
      </c>
      <c r="AS85" s="58">
        <f>-'IQ_BS + CFS'!AS169</f>
        <v>-42.588316965044967</v>
      </c>
      <c r="AT85" s="58">
        <f>-'IQ_BS + CFS'!AT169</f>
        <v>-49.494706348696056</v>
      </c>
      <c r="AU85" s="58">
        <f>-'IQ_BS + CFS'!AU169</f>
        <v>-54.944527806243777</v>
      </c>
      <c r="AV85" s="58">
        <f>-'IQ_BS + CFS'!AV169</f>
        <v>-54.646074502625702</v>
      </c>
      <c r="AW85" s="58">
        <f>-'IQ_BS + CFS'!AW169</f>
        <v>-52.719606511984196</v>
      </c>
      <c r="AX85" s="58">
        <f>-'IQ_BS + CFS'!AX169</f>
        <v>-59.94061046097508</v>
      </c>
      <c r="AY85" s="58">
        <f>-'IQ_BS + CFS'!AY169</f>
        <v>-65.501844752322057</v>
      </c>
      <c r="AZ85" s="58">
        <f>-'IQ_BS + CFS'!AZ169</f>
        <v>-66.087303158893533</v>
      </c>
    </row>
    <row r="86" spans="2:52">
      <c r="B86" s="3" t="s">
        <v>490</v>
      </c>
      <c r="E86" s="2"/>
      <c r="F86" s="2"/>
      <c r="G86" s="2"/>
      <c r="H86" s="2"/>
      <c r="I86" s="59">
        <v>-2586.0859999999998</v>
      </c>
      <c r="J86" s="59">
        <v>-5290.8379999999997</v>
      </c>
      <c r="K86" s="59">
        <v>-9087.4380000000001</v>
      </c>
      <c r="L86" s="58">
        <f t="shared" ca="1" si="78"/>
        <v>-13299.182404099694</v>
      </c>
      <c r="M86" s="58">
        <f t="shared" ca="1" si="78"/>
        <v>-13231.03785253688</v>
      </c>
      <c r="N86" s="58">
        <f t="shared" ca="1" si="78"/>
        <v>-12943.303101925811</v>
      </c>
      <c r="AN86" s="58"/>
      <c r="AO86" s="58">
        <f>-AO243</f>
        <v>-2822.5938191308783</v>
      </c>
      <c r="AP86" s="58">
        <f>-AP243</f>
        <v>-3322.2552804509728</v>
      </c>
      <c r="AQ86" s="58">
        <f t="shared" ref="AQ86:AZ86" si="79">-AQ243</f>
        <v>-3660.2436906298103</v>
      </c>
      <c r="AR86" s="58">
        <f t="shared" si="79"/>
        <v>-3494.089613888033</v>
      </c>
      <c r="AS86" s="58">
        <f t="shared" si="79"/>
        <v>-3174.8017968078925</v>
      </c>
      <c r="AT86" s="58">
        <f t="shared" si="79"/>
        <v>-3362.7448476825939</v>
      </c>
      <c r="AU86" s="58">
        <f t="shared" si="79"/>
        <v>-3475.4359599489553</v>
      </c>
      <c r="AV86" s="58">
        <f t="shared" si="79"/>
        <v>-3218.0552480974366</v>
      </c>
      <c r="AW86" s="58">
        <f t="shared" si="79"/>
        <v>-3073.5613102697253</v>
      </c>
      <c r="AX86" s="58">
        <f t="shared" si="79"/>
        <v>-3286.6214258336613</v>
      </c>
      <c r="AY86" s="58">
        <f t="shared" si="79"/>
        <v>-3377.8538245944783</v>
      </c>
      <c r="AZ86" s="58">
        <f t="shared" si="79"/>
        <v>-3205.2665412279462</v>
      </c>
    </row>
    <row r="87" spans="2:52">
      <c r="B87" s="3" t="s">
        <v>492</v>
      </c>
      <c r="E87" s="2"/>
      <c r="F87" s="2"/>
      <c r="G87" s="2"/>
      <c r="H87" s="2"/>
      <c r="I87" s="59">
        <v>-61.027999999999999</v>
      </c>
      <c r="J87" s="59">
        <v>-31.751000000000001</v>
      </c>
      <c r="K87" s="59">
        <v>-11.074999999999999</v>
      </c>
      <c r="L87" s="58"/>
      <c r="M87" s="58"/>
      <c r="N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</row>
    <row r="88" spans="2:52">
      <c r="B88" s="3" t="s">
        <v>493</v>
      </c>
      <c r="E88" s="2"/>
      <c r="F88" s="2"/>
      <c r="G88" s="2"/>
      <c r="H88" s="2"/>
      <c r="I88" s="59">
        <v>0</v>
      </c>
      <c r="J88" s="59">
        <v>5.484</v>
      </c>
      <c r="K88" s="59">
        <v>31.093</v>
      </c>
      <c r="L88" s="58"/>
      <c r="M88" s="58"/>
      <c r="N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</row>
    <row r="89" spans="2:52">
      <c r="B89" s="3" t="s">
        <v>494</v>
      </c>
      <c r="E89" s="2"/>
      <c r="F89" s="2"/>
      <c r="G89" s="2"/>
      <c r="H89" s="2"/>
      <c r="I89" s="59">
        <v>0</v>
      </c>
      <c r="J89" s="59">
        <v>0</v>
      </c>
      <c r="K89" s="59">
        <v>-2279.2379999999998</v>
      </c>
      <c r="L89" s="58"/>
      <c r="M89" s="58"/>
      <c r="N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</row>
    <row r="90" spans="2:52">
      <c r="B90" s="3" t="s">
        <v>495</v>
      </c>
      <c r="E90" s="2"/>
      <c r="F90" s="2"/>
      <c r="G90" s="2"/>
      <c r="H90" s="2"/>
      <c r="I90" s="59">
        <v>0</v>
      </c>
      <c r="J90" s="59">
        <v>0</v>
      </c>
      <c r="K90" s="59">
        <v>2393.654</v>
      </c>
      <c r="L90" s="58"/>
      <c r="M90" s="58"/>
      <c r="N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</row>
    <row r="91" spans="2:52">
      <c r="B91" s="3" t="s">
        <v>377</v>
      </c>
      <c r="E91" s="2"/>
      <c r="F91" s="2"/>
      <c r="G91" s="2"/>
      <c r="H91" s="2"/>
      <c r="I91" s="58">
        <f>SUM(I92:I96)</f>
        <v>-160.20400000000001</v>
      </c>
      <c r="J91" s="58">
        <f t="shared" ref="J91:K91" si="80">SUM(J92:J96)</f>
        <v>-903.98999999999978</v>
      </c>
      <c r="K91" s="58">
        <f t="shared" si="80"/>
        <v>-575.06500000000051</v>
      </c>
      <c r="L91" s="58"/>
      <c r="M91" s="58"/>
      <c r="N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</row>
    <row r="92" spans="2:52">
      <c r="B92" s="52" t="s">
        <v>491</v>
      </c>
      <c r="E92" s="2"/>
      <c r="F92" s="2"/>
      <c r="G92" s="2"/>
      <c r="H92" s="2"/>
      <c r="I92" s="59">
        <v>-0.20399999999999999</v>
      </c>
      <c r="J92" s="59">
        <v>-163.99</v>
      </c>
      <c r="K92" s="59">
        <v>-553.00300000000004</v>
      </c>
      <c r="L92" s="58"/>
      <c r="M92" s="58"/>
      <c r="N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</row>
    <row r="93" spans="2:52">
      <c r="B93" s="52" t="s">
        <v>496</v>
      </c>
      <c r="E93" s="2"/>
      <c r="F93" s="2"/>
      <c r="G93" s="2"/>
      <c r="H93" s="2"/>
      <c r="I93" s="59">
        <v>0</v>
      </c>
      <c r="J93" s="59">
        <v>0</v>
      </c>
      <c r="K93" s="59">
        <v>-1750</v>
      </c>
      <c r="L93" s="58"/>
      <c r="M93" s="58"/>
      <c r="N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</row>
    <row r="94" spans="2:52">
      <c r="B94" s="52" t="s">
        <v>497</v>
      </c>
      <c r="E94" s="2"/>
      <c r="F94" s="2"/>
      <c r="G94" s="2"/>
      <c r="H94" s="2"/>
      <c r="I94" s="59">
        <v>0</v>
      </c>
      <c r="J94" s="59">
        <v>0</v>
      </c>
      <c r="K94" s="59">
        <v>1750</v>
      </c>
      <c r="L94" s="58"/>
      <c r="M94" s="58"/>
      <c r="N94" s="58"/>
      <c r="AN94" s="58"/>
      <c r="AO94" s="58">
        <f>AN8</f>
        <v>779.91600000000005</v>
      </c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</row>
    <row r="95" spans="2:52">
      <c r="B95" s="52" t="s">
        <v>498</v>
      </c>
      <c r="E95" s="2"/>
      <c r="F95" s="2"/>
      <c r="G95" s="2"/>
      <c r="H95" s="2"/>
      <c r="I95" s="59">
        <v>-160</v>
      </c>
      <c r="J95" s="59">
        <v>-4499</v>
      </c>
      <c r="K95" s="59">
        <v>-13770.043</v>
      </c>
      <c r="L95" s="58"/>
      <c r="M95" s="58"/>
      <c r="N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</row>
    <row r="96" spans="2:52">
      <c r="B96" s="52" t="s">
        <v>499</v>
      </c>
      <c r="E96" s="2"/>
      <c r="F96" s="2"/>
      <c r="G96" s="2"/>
      <c r="H96" s="2"/>
      <c r="I96" s="59">
        <v>0</v>
      </c>
      <c r="J96" s="59">
        <v>3759</v>
      </c>
      <c r="K96" s="59">
        <v>13747.981</v>
      </c>
      <c r="L96" s="58"/>
      <c r="M96" s="58"/>
      <c r="N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</row>
    <row r="97" spans="2:52">
      <c r="B97" s="9" t="s">
        <v>209</v>
      </c>
      <c r="E97" s="2"/>
      <c r="F97" s="2"/>
      <c r="G97" s="2"/>
      <c r="H97" s="2"/>
      <c r="I97" s="82">
        <f>SUM(I84:I91)</f>
        <v>-3133.3749999999995</v>
      </c>
      <c r="J97" s="82">
        <f t="shared" ref="J97:K97" si="81">SUM(J84:J91)</f>
        <v>-6663.0999999999995</v>
      </c>
      <c r="K97" s="82">
        <f t="shared" si="81"/>
        <v>-10660.673999999999</v>
      </c>
      <c r="L97" s="82">
        <f t="shared" ref="L97:N97" ca="1" si="82">SUM(L84:L96)</f>
        <v>-14977.747243815385</v>
      </c>
      <c r="M97" s="82">
        <f t="shared" ca="1" si="82"/>
        <v>-15105.315060978204</v>
      </c>
      <c r="N97" s="82">
        <f t="shared" ca="1" si="82"/>
        <v>-15000.030201897018</v>
      </c>
      <c r="AN97" s="82"/>
      <c r="AO97" s="82">
        <f t="shared" ref="AO97:AZ97" si="83">SUM(AO84:AO96)</f>
        <v>-2384.816637619108</v>
      </c>
      <c r="AP97" s="82">
        <f t="shared" si="83"/>
        <v>-3735.2436382816231</v>
      </c>
      <c r="AQ97" s="82">
        <f t="shared" si="83"/>
        <v>-4126.8661656754475</v>
      </c>
      <c r="AR97" s="82">
        <f t="shared" si="83"/>
        <v>-3950.9048022392067</v>
      </c>
      <c r="AS97" s="82">
        <f t="shared" si="83"/>
        <v>-3570.6012553986225</v>
      </c>
      <c r="AT97" s="82">
        <f t="shared" si="83"/>
        <v>-3822.7296362808343</v>
      </c>
      <c r="AU97" s="82">
        <f t="shared" si="83"/>
        <v>-3986.0692957552001</v>
      </c>
      <c r="AV97" s="82">
        <f t="shared" si="83"/>
        <v>-3725.9148735435465</v>
      </c>
      <c r="AW97" s="82">
        <f t="shared" si="83"/>
        <v>-3517.4922226978288</v>
      </c>
      <c r="AX97" s="82">
        <f t="shared" si="83"/>
        <v>-3791.3575506639809</v>
      </c>
      <c r="AY97" s="82">
        <f t="shared" si="83"/>
        <v>-3929.4188993454109</v>
      </c>
      <c r="AZ97" s="82">
        <f t="shared" si="83"/>
        <v>-3761.7615291897991</v>
      </c>
    </row>
    <row r="98" spans="2:52">
      <c r="B98" s="61"/>
      <c r="E98" s="2"/>
      <c r="F98" s="2"/>
      <c r="G98" s="12"/>
      <c r="H98" s="12"/>
      <c r="I98" s="12"/>
      <c r="J98" s="12"/>
    </row>
    <row r="99" spans="2:52">
      <c r="B99" s="11" t="s">
        <v>208</v>
      </c>
      <c r="E99" s="2"/>
      <c r="F99" s="2"/>
      <c r="G99" s="2"/>
      <c r="H99" s="2"/>
      <c r="I99" s="2"/>
      <c r="J99" s="2"/>
      <c r="K99" s="166"/>
    </row>
    <row r="100" spans="2:52">
      <c r="B100" s="3" t="s">
        <v>207</v>
      </c>
      <c r="E100" s="2"/>
      <c r="F100" s="2"/>
      <c r="G100" s="12"/>
      <c r="H100" s="12"/>
      <c r="I100" s="59">
        <v>0</v>
      </c>
      <c r="J100" s="59">
        <v>100</v>
      </c>
      <c r="K100" s="59">
        <f>299.374-100+299-5</f>
        <v>493.37400000000002</v>
      </c>
      <c r="L100" s="58">
        <f ca="1">L29+L30+L39-K29-K30-K39</f>
        <v>-309.37400000000002</v>
      </c>
      <c r="M100" s="58">
        <f t="shared" ref="M100:N100" ca="1" si="84">M29+M30+M39-L29-L30-L39</f>
        <v>-10</v>
      </c>
      <c r="N100" s="58">
        <f t="shared" ca="1" si="84"/>
        <v>-274</v>
      </c>
      <c r="AN100" s="58"/>
      <c r="AO100" s="58">
        <f>AO29+AO30+AO39-AN29-AN30-AN39</f>
        <v>0</v>
      </c>
      <c r="AP100" s="58">
        <f t="shared" ref="AP100:AZ100" si="85">AP29+AP30+AP39-AO29-AO30-AO39</f>
        <v>-5</v>
      </c>
      <c r="AQ100" s="58">
        <f t="shared" si="85"/>
        <v>-105.65800000000002</v>
      </c>
      <c r="AR100" s="58">
        <f t="shared" si="85"/>
        <v>-198.71600000000001</v>
      </c>
      <c r="AS100" s="58">
        <f t="shared" si="85"/>
        <v>0</v>
      </c>
      <c r="AT100" s="58">
        <f t="shared" si="85"/>
        <v>-5</v>
      </c>
      <c r="AU100" s="58">
        <f t="shared" si="85"/>
        <v>0</v>
      </c>
      <c r="AV100" s="58">
        <f t="shared" si="85"/>
        <v>-5</v>
      </c>
      <c r="AW100" s="58">
        <f t="shared" si="85"/>
        <v>-274</v>
      </c>
      <c r="AX100" s="58">
        <f t="shared" si="85"/>
        <v>0</v>
      </c>
      <c r="AY100" s="58">
        <f t="shared" si="85"/>
        <v>0</v>
      </c>
      <c r="AZ100" s="58">
        <f t="shared" si="85"/>
        <v>0</v>
      </c>
    </row>
    <row r="101" spans="2:52">
      <c r="B101" s="3" t="s">
        <v>500</v>
      </c>
      <c r="E101" s="2"/>
      <c r="F101" s="2"/>
      <c r="G101" s="12"/>
      <c r="H101" s="12"/>
      <c r="I101" s="59">
        <v>-131.708</v>
      </c>
      <c r="J101" s="59">
        <f>-688.234+4000</f>
        <v>3311.7660000000001</v>
      </c>
      <c r="K101" s="59">
        <f>2200-6726</f>
        <v>-4526</v>
      </c>
      <c r="L101" s="58"/>
      <c r="M101" s="58"/>
      <c r="N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</row>
    <row r="102" spans="2:52">
      <c r="B102" s="3" t="s">
        <v>501</v>
      </c>
      <c r="E102" s="2"/>
      <c r="F102" s="2"/>
      <c r="G102" s="12"/>
      <c r="H102" s="12"/>
      <c r="I102" s="59">
        <v>0</v>
      </c>
      <c r="J102" s="59">
        <v>0</v>
      </c>
      <c r="K102" s="59">
        <v>45.5</v>
      </c>
      <c r="L102" s="58"/>
      <c r="M102" s="58"/>
      <c r="N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</row>
    <row r="103" spans="2:52">
      <c r="B103" s="3" t="s">
        <v>503</v>
      </c>
      <c r="E103" s="2"/>
      <c r="F103" s="2"/>
      <c r="G103" s="12"/>
      <c r="H103" s="12"/>
      <c r="I103" s="59">
        <v>0</v>
      </c>
      <c r="J103" s="59">
        <v>0</v>
      </c>
      <c r="K103" s="59">
        <v>2064.36</v>
      </c>
      <c r="L103" s="58"/>
      <c r="M103" s="58"/>
      <c r="N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</row>
    <row r="104" spans="2:52">
      <c r="B104" s="3" t="s">
        <v>504</v>
      </c>
      <c r="E104" s="2"/>
      <c r="F104" s="2"/>
      <c r="G104" s="12"/>
      <c r="H104" s="12"/>
      <c r="I104" s="59">
        <v>0</v>
      </c>
      <c r="J104" s="59">
        <v>0</v>
      </c>
      <c r="K104" s="59">
        <v>8463.8760000000002</v>
      </c>
      <c r="L104" s="58"/>
      <c r="M104" s="58"/>
      <c r="N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</row>
    <row r="105" spans="2:52">
      <c r="B105" s="3" t="s">
        <v>502</v>
      </c>
      <c r="E105" s="2"/>
      <c r="F105" s="2"/>
      <c r="G105" s="12"/>
      <c r="H105" s="12"/>
      <c r="I105" s="59">
        <v>0</v>
      </c>
      <c r="J105" s="59">
        <v>0</v>
      </c>
      <c r="K105" s="59">
        <v>0</v>
      </c>
      <c r="L105" s="58">
        <f ca="1">SUM(OFFSET($P105,0,L$1,1,4))</f>
        <v>13670.062893792809</v>
      </c>
      <c r="M105" s="58">
        <f ca="1">SUM(OFFSET($P105,0,M$1,1,4))</f>
        <v>6280.9000655411928</v>
      </c>
      <c r="N105" s="58">
        <f ca="1">SUM(OFFSET($P105,0,N$1,1,4))</f>
        <v>0</v>
      </c>
      <c r="AN105" s="59"/>
      <c r="AO105" s="59">
        <f>(2250*0.97-6.050327)/FX</f>
        <v>13670.062893792809</v>
      </c>
      <c r="AP105" s="59">
        <f t="shared" ref="AP105:AZ105" ca="1" si="86">IF(AO111+AP81+AP97&lt;0,1000/FX,0)</f>
        <v>0</v>
      </c>
      <c r="AQ105" s="59">
        <f t="shared" ca="1" si="86"/>
        <v>0</v>
      </c>
      <c r="AR105" s="59">
        <f t="shared" ca="1" si="86"/>
        <v>0</v>
      </c>
      <c r="AS105" s="59">
        <f t="shared" ca="1" si="86"/>
        <v>0</v>
      </c>
      <c r="AT105" s="59">
        <f t="shared" ca="1" si="86"/>
        <v>0</v>
      </c>
      <c r="AU105" s="59">
        <f t="shared" ca="1" si="86"/>
        <v>6280.9000655411928</v>
      </c>
      <c r="AV105" s="59">
        <f t="shared" ca="1" si="86"/>
        <v>0</v>
      </c>
      <c r="AW105" s="59">
        <f t="shared" ca="1" si="86"/>
        <v>0</v>
      </c>
      <c r="AX105" s="59">
        <f t="shared" ca="1" si="86"/>
        <v>0</v>
      </c>
      <c r="AY105" s="59">
        <f t="shared" ca="1" si="86"/>
        <v>0</v>
      </c>
      <c r="AZ105" s="59">
        <f t="shared" ca="1" si="86"/>
        <v>0</v>
      </c>
    </row>
    <row r="106" spans="2:52">
      <c r="B106" s="9" t="s">
        <v>206</v>
      </c>
      <c r="E106" s="2"/>
      <c r="F106" s="2"/>
      <c r="G106" s="2"/>
      <c r="H106" s="2"/>
      <c r="I106" s="82">
        <f>SUM(I100:I105)</f>
        <v>-131.708</v>
      </c>
      <c r="J106" s="82">
        <f>SUM(J100:J105)</f>
        <v>3411.7660000000001</v>
      </c>
      <c r="K106" s="82">
        <f>SUM(K100:K105)</f>
        <v>6541.1100000000006</v>
      </c>
      <c r="L106" s="82">
        <f t="shared" ref="L106:N106" ca="1" si="87">SUM(L100:L105)</f>
        <v>13360.688893792809</v>
      </c>
      <c r="M106" s="82">
        <f t="shared" ca="1" si="87"/>
        <v>6270.9000655411928</v>
      </c>
      <c r="N106" s="82">
        <f t="shared" ca="1" si="87"/>
        <v>-274</v>
      </c>
      <c r="AN106" s="82"/>
      <c r="AO106" s="82">
        <f t="shared" ref="AO106:AZ106" si="88">SUM(AO100:AO105)</f>
        <v>13670.062893792809</v>
      </c>
      <c r="AP106" s="82">
        <f t="shared" ca="1" si="88"/>
        <v>-5</v>
      </c>
      <c r="AQ106" s="82">
        <f t="shared" ca="1" si="88"/>
        <v>-105.65800000000002</v>
      </c>
      <c r="AR106" s="82">
        <f t="shared" ca="1" si="88"/>
        <v>-198.71600000000001</v>
      </c>
      <c r="AS106" s="82">
        <f t="shared" ca="1" si="88"/>
        <v>0</v>
      </c>
      <c r="AT106" s="82">
        <f t="shared" ca="1" si="88"/>
        <v>-5</v>
      </c>
      <c r="AU106" s="82">
        <f t="shared" ca="1" si="88"/>
        <v>6280.9000655411928</v>
      </c>
      <c r="AV106" s="82">
        <f ca="1">SUM(AV100:AV105)</f>
        <v>-5</v>
      </c>
      <c r="AW106" s="82">
        <f t="shared" ca="1" si="88"/>
        <v>-274</v>
      </c>
      <c r="AX106" s="82">
        <f t="shared" ca="1" si="88"/>
        <v>0</v>
      </c>
      <c r="AY106" s="82">
        <f t="shared" ca="1" si="88"/>
        <v>0</v>
      </c>
      <c r="AZ106" s="82">
        <f t="shared" ca="1" si="88"/>
        <v>0</v>
      </c>
    </row>
    <row r="107" spans="2:52">
      <c r="B107" s="52"/>
      <c r="E107" s="2"/>
      <c r="F107" s="2"/>
      <c r="G107" s="2"/>
      <c r="H107" s="2"/>
      <c r="I107" s="2"/>
      <c r="J107" s="2"/>
    </row>
    <row r="108" spans="2:52">
      <c r="B108" s="11" t="s">
        <v>378</v>
      </c>
      <c r="E108" s="2"/>
      <c r="F108" s="2"/>
      <c r="G108" s="2"/>
      <c r="H108" s="2"/>
      <c r="I108" s="59">
        <v>71.950999999999993</v>
      </c>
      <c r="J108" s="59">
        <v>14.680999999999999</v>
      </c>
      <c r="K108" s="59">
        <v>-143.417</v>
      </c>
    </row>
    <row r="109" spans="2:52">
      <c r="B109" s="68" t="s">
        <v>205</v>
      </c>
      <c r="E109" s="2"/>
      <c r="F109" s="2"/>
      <c r="G109" s="12"/>
      <c r="H109" s="12"/>
      <c r="I109" s="58">
        <f>I81+I97+I106+I108</f>
        <v>-2122.3619999999996</v>
      </c>
      <c r="J109" s="58">
        <f t="shared" ref="J109:K109" si="89">J81+J97+J106+J108</f>
        <v>-624.5319999999997</v>
      </c>
      <c r="K109" s="58">
        <f t="shared" ca="1" si="89"/>
        <v>-251.19699999999338</v>
      </c>
      <c r="L109" s="58">
        <f t="shared" ref="L109:N109" ca="1" si="90">L81+L97+L106</f>
        <v>5790.0048561190288</v>
      </c>
      <c r="M109" s="58">
        <f t="shared" ca="1" si="90"/>
        <v>4110.3724744400424</v>
      </c>
      <c r="N109" s="58">
        <f t="shared" ca="1" si="90"/>
        <v>3348.5328723224229</v>
      </c>
      <c r="AN109" s="58">
        <f t="shared" ref="AN109:AZ109" si="91">AN81+AN97+AN106</f>
        <v>0</v>
      </c>
      <c r="AO109" s="58">
        <f t="shared" ca="1" si="91"/>
        <v>13126.146836529511</v>
      </c>
      <c r="AP109" s="58">
        <f t="shared" ca="1" si="91"/>
        <v>-3208.9031665650787</v>
      </c>
      <c r="AQ109" s="58">
        <f t="shared" ca="1" si="91"/>
        <v>-2588.5896072046708</v>
      </c>
      <c r="AR109" s="58">
        <f t="shared" ca="1" si="91"/>
        <v>-2276.6836427964877</v>
      </c>
      <c r="AS109" s="58">
        <f t="shared" ca="1" si="91"/>
        <v>-2184.8319667248347</v>
      </c>
      <c r="AT109" s="58">
        <f t="shared" ca="1" si="91"/>
        <v>-1455.6390726139571</v>
      </c>
      <c r="AU109" s="58">
        <f t="shared" ca="1" si="91"/>
        <v>3755.7262698341365</v>
      </c>
      <c r="AV109" s="58">
        <f t="shared" ca="1" si="91"/>
        <v>556.34048960227665</v>
      </c>
      <c r="AW109" s="58">
        <f t="shared" ca="1" si="91"/>
        <v>-3140.0429598573655</v>
      </c>
      <c r="AX109" s="58">
        <f t="shared" ca="1" si="91"/>
        <v>1339.9854323700811</v>
      </c>
      <c r="AY109" s="58">
        <f t="shared" ca="1" si="91"/>
        <v>-3719.1658595009158</v>
      </c>
      <c r="AZ109" s="58">
        <f t="shared" ca="1" si="91"/>
        <v>3627.2315577737054</v>
      </c>
    </row>
    <row r="110" spans="2:52">
      <c r="B110" s="68" t="s">
        <v>204</v>
      </c>
      <c r="E110" s="2"/>
      <c r="F110" s="2"/>
      <c r="G110" s="2"/>
      <c r="H110" s="2"/>
      <c r="I110" s="59">
        <v>3711.1010000000001</v>
      </c>
      <c r="J110" s="59">
        <v>1588.739</v>
      </c>
      <c r="K110" s="58">
        <f ca="1">J111</f>
        <v>964.20699999999999</v>
      </c>
      <c r="L110" s="58">
        <f ca="1">K111</f>
        <v>733.01</v>
      </c>
      <c r="M110" s="58">
        <f ca="1">L111</f>
        <v>6523.014856119029</v>
      </c>
      <c r="N110" s="58">
        <f ca="1">M111</f>
        <v>10633.387330559071</v>
      </c>
      <c r="AM110" s="58"/>
      <c r="AN110" s="58">
        <f t="shared" ref="AN110:AZ110" si="92">AM111</f>
        <v>0</v>
      </c>
      <c r="AO110" s="58">
        <f t="shared" si="92"/>
        <v>733.01</v>
      </c>
      <c r="AP110" s="58">
        <f t="shared" ca="1" si="92"/>
        <v>13859.156836529512</v>
      </c>
      <c r="AQ110" s="58">
        <f t="shared" ca="1" si="92"/>
        <v>10650.253669964433</v>
      </c>
      <c r="AR110" s="58">
        <f t="shared" ca="1" si="92"/>
        <v>8061.6640627597626</v>
      </c>
      <c r="AS110" s="58">
        <f t="shared" ca="1" si="92"/>
        <v>5784.9804199632745</v>
      </c>
      <c r="AT110" s="58">
        <f t="shared" ca="1" si="92"/>
        <v>3600.1484532384397</v>
      </c>
      <c r="AU110" s="58">
        <f t="shared" ca="1" si="92"/>
        <v>2144.5093806244827</v>
      </c>
      <c r="AV110" s="58">
        <f t="shared" ca="1" si="92"/>
        <v>5900.2356504586187</v>
      </c>
      <c r="AW110" s="58">
        <f t="shared" ca="1" si="92"/>
        <v>6456.5761400608953</v>
      </c>
      <c r="AX110" s="58">
        <f t="shared" ca="1" si="92"/>
        <v>3316.5331802035298</v>
      </c>
      <c r="AY110" s="58">
        <f t="shared" ca="1" si="92"/>
        <v>4656.5186125736109</v>
      </c>
      <c r="AZ110" s="58">
        <f t="shared" ca="1" si="92"/>
        <v>937.35275307269512</v>
      </c>
    </row>
    <row r="111" spans="2:52">
      <c r="B111" s="68" t="s">
        <v>203</v>
      </c>
      <c r="E111" s="58"/>
      <c r="F111" s="58"/>
      <c r="G111" s="58"/>
      <c r="H111" s="58"/>
      <c r="I111" s="58">
        <f>J110</f>
        <v>1588.739</v>
      </c>
      <c r="J111" s="58">
        <f ca="1">J7</f>
        <v>964.20699999999999</v>
      </c>
      <c r="K111" s="58">
        <f ca="1">K7</f>
        <v>733.01</v>
      </c>
      <c r="L111" s="58">
        <f ca="1">SUM(L109:L110)</f>
        <v>6523.014856119029</v>
      </c>
      <c r="M111" s="58">
        <f ca="1">SUM(M109:M110)</f>
        <v>10633.387330559071</v>
      </c>
      <c r="N111" s="58">
        <f ca="1">SUM(N109:N110)</f>
        <v>13981.920202881494</v>
      </c>
      <c r="Q111" s="58"/>
      <c r="R111" s="58"/>
      <c r="S111" s="58"/>
      <c r="T111" s="58">
        <f>T7</f>
        <v>0</v>
      </c>
      <c r="U111" s="58">
        <f t="shared" ref="U111:AN111" si="93">U7</f>
        <v>0</v>
      </c>
      <c r="V111" s="58">
        <f t="shared" si="93"/>
        <v>0</v>
      </c>
      <c r="W111" s="58">
        <f t="shared" si="93"/>
        <v>0</v>
      </c>
      <c r="X111" s="58">
        <f t="shared" si="93"/>
        <v>0</v>
      </c>
      <c r="Y111" s="58">
        <f t="shared" si="93"/>
        <v>0</v>
      </c>
      <c r="Z111" s="58">
        <f t="shared" si="93"/>
        <v>0</v>
      </c>
      <c r="AA111" s="58">
        <f t="shared" si="93"/>
        <v>0</v>
      </c>
      <c r="AB111" s="58">
        <f t="shared" si="93"/>
        <v>0</v>
      </c>
      <c r="AC111" s="58">
        <f t="shared" si="93"/>
        <v>0</v>
      </c>
      <c r="AD111" s="58">
        <f t="shared" si="93"/>
        <v>0</v>
      </c>
      <c r="AE111" s="58">
        <f t="shared" si="93"/>
        <v>0</v>
      </c>
      <c r="AF111" s="58">
        <f t="shared" si="93"/>
        <v>0</v>
      </c>
      <c r="AG111" s="58">
        <f t="shared" si="93"/>
        <v>0</v>
      </c>
      <c r="AH111" s="58">
        <f t="shared" si="93"/>
        <v>0</v>
      </c>
      <c r="AI111" s="58">
        <f t="shared" si="93"/>
        <v>0</v>
      </c>
      <c r="AJ111" s="58">
        <f t="shared" si="93"/>
        <v>964.20699999999999</v>
      </c>
      <c r="AK111" s="58">
        <f t="shared" si="93"/>
        <v>0</v>
      </c>
      <c r="AL111" s="58">
        <f t="shared" si="93"/>
        <v>0</v>
      </c>
      <c r="AM111" s="58">
        <f t="shared" si="93"/>
        <v>0</v>
      </c>
      <c r="AN111" s="58">
        <f t="shared" si="93"/>
        <v>733.01</v>
      </c>
      <c r="AO111" s="58">
        <f t="shared" ref="AO111:AZ111" ca="1" si="94">SUM(AO109:AO110)</f>
        <v>13859.156836529512</v>
      </c>
      <c r="AP111" s="58">
        <f t="shared" ca="1" si="94"/>
        <v>10650.253669964433</v>
      </c>
      <c r="AQ111" s="58">
        <f t="shared" ca="1" si="94"/>
        <v>8061.6640627597626</v>
      </c>
      <c r="AR111" s="58">
        <f t="shared" ca="1" si="94"/>
        <v>5784.9804199632745</v>
      </c>
      <c r="AS111" s="58">
        <f t="shared" ca="1" si="94"/>
        <v>3600.1484532384397</v>
      </c>
      <c r="AT111" s="58">
        <f t="shared" ca="1" si="94"/>
        <v>2144.5093806244827</v>
      </c>
      <c r="AU111" s="58">
        <f t="shared" ca="1" si="94"/>
        <v>5900.2356504586187</v>
      </c>
      <c r="AV111" s="58">
        <f t="shared" ca="1" si="94"/>
        <v>6456.5761400608953</v>
      </c>
      <c r="AW111" s="58">
        <f t="shared" ca="1" si="94"/>
        <v>3316.5331802035298</v>
      </c>
      <c r="AX111" s="58">
        <f t="shared" ca="1" si="94"/>
        <v>4656.5186125736109</v>
      </c>
      <c r="AY111" s="58">
        <f t="shared" ca="1" si="94"/>
        <v>937.35275307269512</v>
      </c>
      <c r="AZ111" s="58">
        <f t="shared" ca="1" si="94"/>
        <v>4564.5843108464005</v>
      </c>
    </row>
    <row r="112" spans="2:52">
      <c r="B112" s="11" t="str">
        <f>B8</f>
        <v>Short-term investment</v>
      </c>
      <c r="E112" s="58"/>
      <c r="F112" s="58"/>
      <c r="G112" s="58"/>
      <c r="H112" s="58"/>
      <c r="I112" s="58">
        <f t="shared" ref="I112:K112" si="95">I8</f>
        <v>0</v>
      </c>
      <c r="J112" s="58">
        <f t="shared" ca="1" si="95"/>
        <v>902.97799999999995</v>
      </c>
      <c r="K112" s="58">
        <f t="shared" ca="1" si="95"/>
        <v>779.91600000000005</v>
      </c>
      <c r="L112" s="58">
        <f t="shared" ref="L112:N112" ca="1" si="96">L8</f>
        <v>0</v>
      </c>
      <c r="M112" s="58">
        <f t="shared" ca="1" si="96"/>
        <v>0</v>
      </c>
      <c r="N112" s="58">
        <f t="shared" ca="1" si="96"/>
        <v>0</v>
      </c>
      <c r="Q112" s="58"/>
      <c r="R112" s="58"/>
      <c r="S112" s="58"/>
      <c r="T112" s="58">
        <f>T8</f>
        <v>0</v>
      </c>
      <c r="U112" s="58">
        <f t="shared" ref="U112:AN112" si="97">U8</f>
        <v>0</v>
      </c>
      <c r="V112" s="58">
        <f t="shared" si="97"/>
        <v>0</v>
      </c>
      <c r="W112" s="58">
        <f t="shared" si="97"/>
        <v>0</v>
      </c>
      <c r="X112" s="58">
        <f t="shared" si="97"/>
        <v>0</v>
      </c>
      <c r="Y112" s="58">
        <f t="shared" si="97"/>
        <v>0</v>
      </c>
      <c r="Z112" s="58">
        <f t="shared" si="97"/>
        <v>0</v>
      </c>
      <c r="AA112" s="58">
        <f t="shared" si="97"/>
        <v>0</v>
      </c>
      <c r="AB112" s="58">
        <f t="shared" si="97"/>
        <v>0</v>
      </c>
      <c r="AC112" s="58">
        <f t="shared" si="97"/>
        <v>0</v>
      </c>
      <c r="AD112" s="58">
        <f t="shared" si="97"/>
        <v>0</v>
      </c>
      <c r="AE112" s="58">
        <f t="shared" si="97"/>
        <v>0</v>
      </c>
      <c r="AF112" s="58">
        <f t="shared" si="97"/>
        <v>0</v>
      </c>
      <c r="AG112" s="58">
        <f t="shared" si="97"/>
        <v>0</v>
      </c>
      <c r="AH112" s="58">
        <f t="shared" si="97"/>
        <v>0</v>
      </c>
      <c r="AI112" s="58">
        <f t="shared" si="97"/>
        <v>0</v>
      </c>
      <c r="AJ112" s="58">
        <f t="shared" si="97"/>
        <v>902.97799999999995</v>
      </c>
      <c r="AK112" s="58">
        <f t="shared" si="97"/>
        <v>0</v>
      </c>
      <c r="AL112" s="58">
        <f t="shared" si="97"/>
        <v>0</v>
      </c>
      <c r="AM112" s="58">
        <f t="shared" si="97"/>
        <v>0</v>
      </c>
      <c r="AN112" s="58">
        <f t="shared" si="97"/>
        <v>779.91600000000005</v>
      </c>
      <c r="AO112" s="58">
        <f t="shared" ref="AO112:AZ112" si="98">AO8</f>
        <v>0</v>
      </c>
      <c r="AP112" s="58">
        <f t="shared" si="98"/>
        <v>0</v>
      </c>
      <c r="AQ112" s="58">
        <f t="shared" si="98"/>
        <v>0</v>
      </c>
      <c r="AR112" s="58">
        <f t="shared" si="98"/>
        <v>0</v>
      </c>
      <c r="AS112" s="58">
        <f t="shared" si="98"/>
        <v>0</v>
      </c>
      <c r="AT112" s="58">
        <f t="shared" si="98"/>
        <v>0</v>
      </c>
      <c r="AU112" s="58">
        <f t="shared" si="98"/>
        <v>0</v>
      </c>
      <c r="AV112" s="58">
        <f t="shared" si="98"/>
        <v>0</v>
      </c>
      <c r="AW112" s="58">
        <f t="shared" si="98"/>
        <v>0</v>
      </c>
      <c r="AX112" s="58">
        <f t="shared" si="98"/>
        <v>0</v>
      </c>
      <c r="AY112" s="58">
        <f t="shared" si="98"/>
        <v>0</v>
      </c>
      <c r="AZ112" s="58">
        <f t="shared" si="98"/>
        <v>0</v>
      </c>
    </row>
    <row r="113" spans="2:52">
      <c r="B113" s="11" t="str">
        <f>B9</f>
        <v>Restricted cash</v>
      </c>
      <c r="E113" s="58"/>
      <c r="F113" s="58"/>
      <c r="G113" s="58"/>
      <c r="H113" s="58"/>
      <c r="I113" s="58">
        <f t="shared" ref="I113:K113" si="99">I9</f>
        <v>0</v>
      </c>
      <c r="J113" s="58">
        <f t="shared" ca="1" si="99"/>
        <v>0</v>
      </c>
      <c r="K113" s="58">
        <f t="shared" ca="1" si="99"/>
        <v>0</v>
      </c>
      <c r="L113" s="58">
        <f t="shared" ref="L113:N113" ca="1" si="100">L9</f>
        <v>0</v>
      </c>
      <c r="M113" s="58">
        <f t="shared" ca="1" si="100"/>
        <v>0</v>
      </c>
      <c r="N113" s="58">
        <f t="shared" ca="1" si="100"/>
        <v>0</v>
      </c>
      <c r="Q113" s="58"/>
      <c r="R113" s="58"/>
      <c r="S113" s="58"/>
      <c r="T113" s="58">
        <f>T9</f>
        <v>0</v>
      </c>
      <c r="U113" s="58">
        <f t="shared" ref="U113:AN113" si="101">U9</f>
        <v>0</v>
      </c>
      <c r="V113" s="58">
        <f t="shared" si="101"/>
        <v>0</v>
      </c>
      <c r="W113" s="58">
        <f t="shared" si="101"/>
        <v>0</v>
      </c>
      <c r="X113" s="58">
        <f t="shared" si="101"/>
        <v>0</v>
      </c>
      <c r="Y113" s="58">
        <f t="shared" si="101"/>
        <v>0</v>
      </c>
      <c r="Z113" s="58">
        <f t="shared" si="101"/>
        <v>0</v>
      </c>
      <c r="AA113" s="58">
        <f t="shared" si="101"/>
        <v>0</v>
      </c>
      <c r="AB113" s="58">
        <f t="shared" si="101"/>
        <v>0</v>
      </c>
      <c r="AC113" s="58">
        <f t="shared" si="101"/>
        <v>0</v>
      </c>
      <c r="AD113" s="58">
        <f t="shared" si="101"/>
        <v>0</v>
      </c>
      <c r="AE113" s="58">
        <f t="shared" si="101"/>
        <v>0</v>
      </c>
      <c r="AF113" s="58">
        <f t="shared" si="101"/>
        <v>0</v>
      </c>
      <c r="AG113" s="58">
        <f t="shared" si="101"/>
        <v>0</v>
      </c>
      <c r="AH113" s="58">
        <f t="shared" si="101"/>
        <v>0</v>
      </c>
      <c r="AI113" s="58">
        <f t="shared" si="101"/>
        <v>0</v>
      </c>
      <c r="AJ113" s="58">
        <f t="shared" si="101"/>
        <v>0</v>
      </c>
      <c r="AK113" s="58">
        <f t="shared" si="101"/>
        <v>0</v>
      </c>
      <c r="AL113" s="58">
        <f t="shared" si="101"/>
        <v>0</v>
      </c>
      <c r="AM113" s="58">
        <f t="shared" si="101"/>
        <v>0</v>
      </c>
      <c r="AN113" s="58">
        <f t="shared" si="101"/>
        <v>0</v>
      </c>
      <c r="AO113" s="58">
        <f t="shared" ref="AO113:AZ113" si="102">AO9</f>
        <v>0</v>
      </c>
      <c r="AP113" s="58">
        <f t="shared" si="102"/>
        <v>0</v>
      </c>
      <c r="AQ113" s="58">
        <f t="shared" si="102"/>
        <v>0</v>
      </c>
      <c r="AR113" s="58">
        <f t="shared" si="102"/>
        <v>0</v>
      </c>
      <c r="AS113" s="58">
        <f t="shared" si="102"/>
        <v>0</v>
      </c>
      <c r="AT113" s="58">
        <f t="shared" si="102"/>
        <v>0</v>
      </c>
      <c r="AU113" s="58">
        <f t="shared" si="102"/>
        <v>0</v>
      </c>
      <c r="AV113" s="58">
        <f t="shared" si="102"/>
        <v>0</v>
      </c>
      <c r="AW113" s="58">
        <f t="shared" si="102"/>
        <v>0</v>
      </c>
      <c r="AX113" s="58">
        <f t="shared" si="102"/>
        <v>0</v>
      </c>
      <c r="AY113" s="58">
        <f t="shared" si="102"/>
        <v>0</v>
      </c>
      <c r="AZ113" s="58">
        <f t="shared" si="102"/>
        <v>0</v>
      </c>
    </row>
    <row r="114" spans="2:52">
      <c r="B114" s="11" t="s">
        <v>202</v>
      </c>
      <c r="E114" s="58"/>
      <c r="F114" s="58"/>
      <c r="G114" s="58"/>
      <c r="H114" s="58">
        <f>I110</f>
        <v>3711.1010000000001</v>
      </c>
      <c r="I114" s="58">
        <f t="shared" ref="I114:N114" si="103">SUM(I111:I113)</f>
        <v>1588.739</v>
      </c>
      <c r="J114" s="58">
        <f t="shared" ca="1" si="103"/>
        <v>1867.1849999999999</v>
      </c>
      <c r="K114" s="58">
        <f t="shared" ca="1" si="103"/>
        <v>1512.9259999999999</v>
      </c>
      <c r="L114" s="58">
        <f t="shared" ca="1" si="103"/>
        <v>6523.014856119029</v>
      </c>
      <c r="M114" s="58">
        <f t="shared" ca="1" si="103"/>
        <v>10633.387330559071</v>
      </c>
      <c r="N114" s="58">
        <f t="shared" ca="1" si="103"/>
        <v>13981.920202881494</v>
      </c>
      <c r="Q114" s="58"/>
      <c r="R114" s="58"/>
      <c r="S114" s="58"/>
      <c r="T114" s="58">
        <f t="shared" ref="T114:AZ114" si="104">SUM(T111:T113)</f>
        <v>0</v>
      </c>
      <c r="U114" s="58">
        <f t="shared" si="104"/>
        <v>0</v>
      </c>
      <c r="V114" s="58">
        <f t="shared" si="104"/>
        <v>0</v>
      </c>
      <c r="W114" s="58">
        <f t="shared" si="104"/>
        <v>0</v>
      </c>
      <c r="X114" s="58">
        <f t="shared" si="104"/>
        <v>0</v>
      </c>
      <c r="Y114" s="58">
        <f t="shared" si="104"/>
        <v>0</v>
      </c>
      <c r="Z114" s="58">
        <f t="shared" si="104"/>
        <v>0</v>
      </c>
      <c r="AA114" s="58">
        <f t="shared" si="104"/>
        <v>0</v>
      </c>
      <c r="AB114" s="58">
        <f t="shared" si="104"/>
        <v>0</v>
      </c>
      <c r="AC114" s="58">
        <f t="shared" si="104"/>
        <v>0</v>
      </c>
      <c r="AD114" s="58">
        <f t="shared" si="104"/>
        <v>0</v>
      </c>
      <c r="AE114" s="58">
        <f t="shared" si="104"/>
        <v>0</v>
      </c>
      <c r="AF114" s="58">
        <f t="shared" si="104"/>
        <v>0</v>
      </c>
      <c r="AG114" s="58">
        <f t="shared" si="104"/>
        <v>0</v>
      </c>
      <c r="AH114" s="58">
        <f t="shared" si="104"/>
        <v>0</v>
      </c>
      <c r="AI114" s="58">
        <f t="shared" si="104"/>
        <v>0</v>
      </c>
      <c r="AJ114" s="58">
        <f t="shared" si="104"/>
        <v>1867.1849999999999</v>
      </c>
      <c r="AK114" s="58">
        <f t="shared" si="104"/>
        <v>0</v>
      </c>
      <c r="AL114" s="58">
        <f t="shared" si="104"/>
        <v>0</v>
      </c>
      <c r="AM114" s="58">
        <f t="shared" si="104"/>
        <v>0</v>
      </c>
      <c r="AN114" s="58">
        <f t="shared" si="104"/>
        <v>1512.9259999999999</v>
      </c>
      <c r="AO114" s="58">
        <f t="shared" ca="1" si="104"/>
        <v>13859.156836529512</v>
      </c>
      <c r="AP114" s="58">
        <f t="shared" ca="1" si="104"/>
        <v>10650.253669964433</v>
      </c>
      <c r="AQ114" s="58">
        <f t="shared" ca="1" si="104"/>
        <v>8061.6640627597626</v>
      </c>
      <c r="AR114" s="58">
        <f t="shared" ca="1" si="104"/>
        <v>5784.9804199632745</v>
      </c>
      <c r="AS114" s="58">
        <f t="shared" ca="1" si="104"/>
        <v>3600.1484532384397</v>
      </c>
      <c r="AT114" s="58">
        <f t="shared" ca="1" si="104"/>
        <v>2144.5093806244827</v>
      </c>
      <c r="AU114" s="58">
        <f t="shared" ca="1" si="104"/>
        <v>5900.2356504586187</v>
      </c>
      <c r="AV114" s="58">
        <f t="shared" ca="1" si="104"/>
        <v>6456.5761400608953</v>
      </c>
      <c r="AW114" s="58">
        <f t="shared" ca="1" si="104"/>
        <v>3316.5331802035298</v>
      </c>
      <c r="AX114" s="58">
        <f t="shared" ca="1" si="104"/>
        <v>4656.5186125736109</v>
      </c>
      <c r="AY114" s="58">
        <f t="shared" ca="1" si="104"/>
        <v>937.35275307269512</v>
      </c>
      <c r="AZ114" s="58">
        <f t="shared" ca="1" si="104"/>
        <v>4564.5843108464005</v>
      </c>
    </row>
    <row r="115" spans="2:52">
      <c r="B115" s="3" t="s">
        <v>125</v>
      </c>
      <c r="E115" s="58"/>
      <c r="F115" s="58"/>
      <c r="G115" s="58"/>
      <c r="H115" s="58"/>
      <c r="I115" s="58">
        <f>IQ_IS!I115</f>
        <v>5.0019999999999998</v>
      </c>
      <c r="J115" s="58">
        <f>IQ_IS!J115</f>
        <v>17.009</v>
      </c>
      <c r="K115" s="58">
        <f>IQ_IS!K115</f>
        <v>83.126999999999995</v>
      </c>
      <c r="L115" s="58">
        <f ca="1">IQ_IS!L115</f>
        <v>362.2002777923534</v>
      </c>
      <c r="M115" s="58">
        <f ca="1">IQ_IS!M115</f>
        <v>177.65671764333626</v>
      </c>
      <c r="N115" s="58">
        <f ca="1">IQ_IS!N115</f>
        <v>144.20984771303483</v>
      </c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>
        <f t="shared" ref="AO115:AZ115" ca="1" si="105">AVERAGE(AN114:AO114)*AO116</f>
        <v>76.86041418264756</v>
      </c>
      <c r="AP115" s="58">
        <f t="shared" ca="1" si="105"/>
        <v>122.54705253246972</v>
      </c>
      <c r="AQ115" s="58">
        <f t="shared" ca="1" si="105"/>
        <v>93.559588663620985</v>
      </c>
      <c r="AR115" s="58">
        <f t="shared" ca="1" si="105"/>
        <v>69.233222413615181</v>
      </c>
      <c r="AS115" s="58">
        <f t="shared" ca="1" si="105"/>
        <v>46.925644366008576</v>
      </c>
      <c r="AT115" s="58">
        <f t="shared" ca="1" si="105"/>
        <v>28.723289169314612</v>
      </c>
      <c r="AU115" s="58">
        <f t="shared" ca="1" si="105"/>
        <v>40.223725155415508</v>
      </c>
      <c r="AV115" s="58">
        <f t="shared" ca="1" si="105"/>
        <v>61.784058952597569</v>
      </c>
      <c r="AW115" s="58">
        <f t="shared" ca="1" si="105"/>
        <v>48.86554660132213</v>
      </c>
      <c r="AX115" s="58">
        <f t="shared" ca="1" si="105"/>
        <v>39.865258963885701</v>
      </c>
      <c r="AY115" s="58">
        <f t="shared" ca="1" si="105"/>
        <v>27.969356828231529</v>
      </c>
      <c r="AZ115" s="58">
        <f t="shared" ca="1" si="105"/>
        <v>27.50968531959548</v>
      </c>
    </row>
    <row r="116" spans="2:52">
      <c r="B116" s="3" t="s">
        <v>201</v>
      </c>
      <c r="F116" s="4"/>
      <c r="G116" s="4"/>
      <c r="H116" s="4"/>
      <c r="I116" s="4">
        <f t="shared" ref="I116:K116" si="106">I115/AVERAGE(H114:I114)</f>
        <v>1.8876041540876703E-3</v>
      </c>
      <c r="J116" s="4">
        <f t="shared" ca="1" si="106"/>
        <v>9.8433877596845309E-3</v>
      </c>
      <c r="K116" s="4">
        <f t="shared" ca="1" si="106"/>
        <v>4.9185958685972149E-2</v>
      </c>
      <c r="L116" s="4">
        <f t="shared" ref="L116" ca="1" si="107">L115/AVERAGE(K114:L114)</f>
        <v>9.0145083015774868E-2</v>
      </c>
      <c r="M116" s="4">
        <f t="shared" ref="M116" ca="1" si="108">M115/AVERAGE(L114:M114)</f>
        <v>2.0710253316547477E-2</v>
      </c>
      <c r="N116" s="4">
        <f t="shared" ref="N116" ca="1" si="109">N115/AVERAGE(M114:N114)</f>
        <v>1.1717086818202197E-2</v>
      </c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66">
        <v>0.01</v>
      </c>
      <c r="AP116" s="66">
        <f t="shared" ref="AP116:AZ116" si="110">AO116</f>
        <v>0.01</v>
      </c>
      <c r="AQ116" s="66">
        <f t="shared" si="110"/>
        <v>0.01</v>
      </c>
      <c r="AR116" s="66">
        <f t="shared" si="110"/>
        <v>0.01</v>
      </c>
      <c r="AS116" s="66">
        <f t="shared" si="110"/>
        <v>0.01</v>
      </c>
      <c r="AT116" s="66">
        <f t="shared" si="110"/>
        <v>0.01</v>
      </c>
      <c r="AU116" s="66">
        <f t="shared" si="110"/>
        <v>0.01</v>
      </c>
      <c r="AV116" s="66">
        <f t="shared" si="110"/>
        <v>0.01</v>
      </c>
      <c r="AW116" s="66">
        <f t="shared" si="110"/>
        <v>0.01</v>
      </c>
      <c r="AX116" s="66">
        <f t="shared" si="110"/>
        <v>0.01</v>
      </c>
      <c r="AY116" s="66">
        <f t="shared" si="110"/>
        <v>0.01</v>
      </c>
      <c r="AZ116" s="66">
        <f t="shared" si="110"/>
        <v>0.01</v>
      </c>
    </row>
    <row r="117" spans="2:52">
      <c r="B117" s="3"/>
      <c r="G117" s="10"/>
      <c r="H117" s="10"/>
      <c r="I117" s="10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</row>
    <row r="118" spans="2:52">
      <c r="B118" s="68" t="s">
        <v>565</v>
      </c>
      <c r="G118" s="10"/>
      <c r="H118" s="10"/>
      <c r="I118" s="10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</row>
    <row r="119" spans="2:52">
      <c r="B119" s="3" t="s">
        <v>566</v>
      </c>
      <c r="G119" s="10"/>
      <c r="H119" s="10"/>
      <c r="I119" s="59">
        <v>11.497999999999999</v>
      </c>
      <c r="J119" s="59">
        <v>66.650999999999996</v>
      </c>
      <c r="K119" s="59">
        <v>282.04500000000002</v>
      </c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</row>
    <row r="120" spans="2:52">
      <c r="B120" s="3" t="s">
        <v>567</v>
      </c>
      <c r="G120" s="10"/>
      <c r="H120" s="10"/>
      <c r="I120" s="59">
        <v>0</v>
      </c>
      <c r="J120" s="59">
        <v>0.41299999999999998</v>
      </c>
      <c r="K120" s="59">
        <v>22.472000000000001</v>
      </c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</row>
    <row r="121" spans="2:52">
      <c r="B121" s="3" t="s">
        <v>568</v>
      </c>
      <c r="G121" s="10"/>
      <c r="H121" s="10"/>
      <c r="I121" s="59">
        <v>146.44200000000001</v>
      </c>
      <c r="J121" s="59">
        <v>107.723</v>
      </c>
      <c r="K121" s="59">
        <v>150.434</v>
      </c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</row>
    <row r="122" spans="2:52">
      <c r="B122" s="3" t="s">
        <v>569</v>
      </c>
      <c r="G122" s="10"/>
      <c r="H122" s="10"/>
      <c r="I122" s="59">
        <v>1149.0640000000001</v>
      </c>
      <c r="J122" s="59">
        <v>2194.5540000000001</v>
      </c>
      <c r="K122" s="59">
        <v>4040.4760000000001</v>
      </c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</row>
    <row r="123" spans="2:52">
      <c r="B123" s="3" t="s">
        <v>570</v>
      </c>
      <c r="G123" s="10"/>
      <c r="H123" s="10"/>
      <c r="I123" s="59">
        <v>291.67599999999999</v>
      </c>
      <c r="J123" s="59">
        <v>385.31799999999998</v>
      </c>
      <c r="K123" s="59">
        <v>781.51300000000003</v>
      </c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</row>
    <row r="124" spans="2:52">
      <c r="B124" s="3"/>
      <c r="G124" s="10"/>
      <c r="H124" s="10"/>
      <c r="I124" s="10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</row>
    <row r="125" spans="2:52">
      <c r="B125" s="122" t="s">
        <v>200</v>
      </c>
      <c r="C125" s="5"/>
      <c r="D125" s="5"/>
      <c r="E125" s="5"/>
      <c r="F125" s="5"/>
      <c r="G125" s="13"/>
      <c r="H125" s="13"/>
      <c r="I125" s="13"/>
      <c r="J125" s="13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</row>
    <row r="126" spans="2:52">
      <c r="B126" s="19" t="s">
        <v>199</v>
      </c>
      <c r="C126" s="8" t="s">
        <v>198</v>
      </c>
      <c r="G126" s="10"/>
      <c r="H126" s="10"/>
      <c r="I126" s="10"/>
      <c r="J126" s="10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</row>
    <row r="127" spans="2:52">
      <c r="B127" s="113" t="s">
        <v>194</v>
      </c>
      <c r="C127" s="8"/>
      <c r="G127" s="10"/>
      <c r="H127" s="10"/>
      <c r="I127" s="10"/>
      <c r="J127" s="10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</row>
    <row r="128" spans="2:52">
      <c r="B128" s="114" t="s">
        <v>193</v>
      </c>
      <c r="C128" s="8"/>
      <c r="G128" s="10"/>
      <c r="H128" s="10"/>
      <c r="I128" s="10"/>
      <c r="J128" s="10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</row>
    <row r="129" spans="2:52">
      <c r="B129" s="52" t="s">
        <v>420</v>
      </c>
      <c r="C129" s="119">
        <v>4.7800000000000002E-2</v>
      </c>
      <c r="G129" s="10"/>
      <c r="H129" s="10"/>
      <c r="I129" s="10"/>
      <c r="J129" s="109"/>
      <c r="K129" s="109">
        <f t="shared" ref="K129:N133" ca="1" si="111">OFFSET($P129,0,K$2,1,1)</f>
        <v>131.51599999999999</v>
      </c>
      <c r="L129" s="109">
        <f t="shared" ca="1" si="111"/>
        <v>0</v>
      </c>
      <c r="M129" s="109">
        <f t="shared" ca="1" si="111"/>
        <v>0</v>
      </c>
      <c r="N129" s="109">
        <f t="shared" ca="1" si="111"/>
        <v>0</v>
      </c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>
        <v>131.51599999999999</v>
      </c>
      <c r="AO129" s="109">
        <v>131.51599999999999</v>
      </c>
      <c r="AP129" s="109">
        <v>131.51599999999999</v>
      </c>
      <c r="AQ129" s="109">
        <v>131.51599999999999</v>
      </c>
      <c r="AR129" s="109">
        <v>0</v>
      </c>
      <c r="AS129" s="109">
        <v>0</v>
      </c>
      <c r="AT129" s="109">
        <v>0</v>
      </c>
      <c r="AU129" s="109">
        <v>0</v>
      </c>
      <c r="AV129" s="109">
        <v>0</v>
      </c>
      <c r="AW129" s="109">
        <v>0</v>
      </c>
      <c r="AX129" s="109">
        <v>0</v>
      </c>
      <c r="AY129" s="109">
        <v>0</v>
      </c>
      <c r="AZ129" s="109">
        <v>0</v>
      </c>
    </row>
    <row r="130" spans="2:52">
      <c r="B130" s="52" t="s">
        <v>421</v>
      </c>
      <c r="C130" s="119">
        <v>0.05</v>
      </c>
      <c r="G130" s="10"/>
      <c r="H130" s="10"/>
      <c r="I130" s="10"/>
      <c r="J130" s="109"/>
      <c r="K130" s="109">
        <f t="shared" ca="1" si="111"/>
        <v>62.2</v>
      </c>
      <c r="L130" s="109">
        <f t="shared" ca="1" si="111"/>
        <v>0</v>
      </c>
      <c r="M130" s="109">
        <f t="shared" ca="1" si="111"/>
        <v>0</v>
      </c>
      <c r="N130" s="109">
        <f t="shared" ca="1" si="111"/>
        <v>0</v>
      </c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>
        <v>62.2</v>
      </c>
      <c r="AO130" s="109">
        <v>62.2</v>
      </c>
      <c r="AP130" s="109">
        <v>62.2</v>
      </c>
      <c r="AQ130" s="109">
        <v>62.2</v>
      </c>
      <c r="AR130" s="109">
        <v>0</v>
      </c>
      <c r="AS130" s="109">
        <v>0</v>
      </c>
      <c r="AT130" s="109">
        <v>0</v>
      </c>
      <c r="AU130" s="109">
        <v>0</v>
      </c>
      <c r="AV130" s="109">
        <v>0</v>
      </c>
      <c r="AW130" s="109">
        <v>0</v>
      </c>
      <c r="AX130" s="109">
        <v>0</v>
      </c>
      <c r="AY130" s="109">
        <v>0</v>
      </c>
      <c r="AZ130" s="109">
        <v>0</v>
      </c>
    </row>
    <row r="131" spans="2:52">
      <c r="B131" s="52" t="s">
        <v>530</v>
      </c>
      <c r="C131" s="119">
        <v>4.1099999999999998E-2</v>
      </c>
      <c r="G131" s="10"/>
      <c r="H131" s="10"/>
      <c r="I131" s="10"/>
      <c r="J131" s="109"/>
      <c r="K131" s="109">
        <f t="shared" ca="1" si="111"/>
        <v>105.658</v>
      </c>
      <c r="L131" s="109">
        <f t="shared" ca="1" si="111"/>
        <v>0</v>
      </c>
      <c r="M131" s="109">
        <f t="shared" ca="1" si="111"/>
        <v>0</v>
      </c>
      <c r="N131" s="109">
        <f t="shared" ca="1" si="111"/>
        <v>0</v>
      </c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>
        <v>105.658</v>
      </c>
      <c r="AO131" s="109">
        <v>105.658</v>
      </c>
      <c r="AP131" s="109">
        <v>105.658</v>
      </c>
      <c r="AQ131" s="109">
        <v>0</v>
      </c>
      <c r="AR131" s="109">
        <v>0</v>
      </c>
      <c r="AS131" s="109">
        <v>0</v>
      </c>
      <c r="AT131" s="109">
        <v>0</v>
      </c>
      <c r="AU131" s="109">
        <v>0</v>
      </c>
      <c r="AV131" s="109">
        <v>0</v>
      </c>
      <c r="AW131" s="109">
        <v>0</v>
      </c>
      <c r="AX131" s="109">
        <v>0</v>
      </c>
      <c r="AY131" s="109">
        <v>0</v>
      </c>
      <c r="AZ131" s="109">
        <v>0</v>
      </c>
    </row>
    <row r="132" spans="2:52">
      <c r="B132" s="52" t="s">
        <v>531</v>
      </c>
      <c r="C132" s="119">
        <v>4.4699999999999997E-2</v>
      </c>
      <c r="G132" s="10"/>
      <c r="H132" s="10"/>
      <c r="I132" s="10"/>
      <c r="J132" s="109"/>
      <c r="K132" s="109">
        <f t="shared" ca="1" si="111"/>
        <v>5</v>
      </c>
      <c r="L132" s="109">
        <f t="shared" ca="1" si="111"/>
        <v>0</v>
      </c>
      <c r="M132" s="109">
        <f t="shared" ca="1" si="111"/>
        <v>0</v>
      </c>
      <c r="N132" s="109">
        <f t="shared" ca="1" si="111"/>
        <v>0</v>
      </c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>
        <v>5</v>
      </c>
      <c r="AO132" s="109">
        <v>5</v>
      </c>
      <c r="AP132" s="109">
        <v>0</v>
      </c>
      <c r="AQ132" s="109">
        <v>0</v>
      </c>
      <c r="AR132" s="109">
        <v>0</v>
      </c>
      <c r="AS132" s="109">
        <v>0</v>
      </c>
      <c r="AT132" s="109">
        <v>0</v>
      </c>
      <c r="AU132" s="109">
        <v>0</v>
      </c>
      <c r="AV132" s="109">
        <v>0</v>
      </c>
      <c r="AW132" s="109">
        <v>0</v>
      </c>
      <c r="AX132" s="109">
        <v>0</v>
      </c>
      <c r="AY132" s="109">
        <v>0</v>
      </c>
      <c r="AZ132" s="109">
        <v>0</v>
      </c>
    </row>
    <row r="133" spans="2:52">
      <c r="B133" s="52" t="s">
        <v>532</v>
      </c>
      <c r="C133" s="119">
        <v>4.4699999999999997E-2</v>
      </c>
      <c r="G133" s="10"/>
      <c r="H133" s="10"/>
      <c r="I133" s="10"/>
      <c r="J133" s="109"/>
      <c r="K133" s="109">
        <f t="shared" ca="1" si="111"/>
        <v>5</v>
      </c>
      <c r="L133" s="109">
        <f t="shared" ca="1" si="111"/>
        <v>0</v>
      </c>
      <c r="M133" s="109">
        <f t="shared" ca="1" si="111"/>
        <v>0</v>
      </c>
      <c r="N133" s="109">
        <f t="shared" ca="1" si="111"/>
        <v>0</v>
      </c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>
        <v>5</v>
      </c>
      <c r="AO133" s="109">
        <v>5</v>
      </c>
      <c r="AP133" s="109">
        <v>5</v>
      </c>
      <c r="AQ133" s="109">
        <v>5</v>
      </c>
      <c r="AR133" s="109">
        <v>0</v>
      </c>
      <c r="AS133" s="109">
        <v>0</v>
      </c>
      <c r="AT133" s="109">
        <v>0</v>
      </c>
      <c r="AU133" s="109">
        <v>0</v>
      </c>
      <c r="AV133" s="109">
        <v>0</v>
      </c>
      <c r="AW133" s="109">
        <v>0</v>
      </c>
      <c r="AX133" s="109">
        <v>0</v>
      </c>
      <c r="AY133" s="109">
        <v>0</v>
      </c>
      <c r="AZ133" s="109">
        <v>0</v>
      </c>
    </row>
    <row r="134" spans="2:52">
      <c r="B134" s="114" t="s">
        <v>191</v>
      </c>
      <c r="C134" s="119"/>
      <c r="G134" s="10"/>
      <c r="H134" s="10"/>
      <c r="I134" s="10"/>
      <c r="J134" s="109"/>
      <c r="K134" s="120"/>
      <c r="L134" s="120"/>
      <c r="M134" s="120"/>
      <c r="N134" s="120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2:52">
      <c r="B135" s="52" t="s">
        <v>533</v>
      </c>
      <c r="C135" s="119">
        <v>4.4699999999999997E-2</v>
      </c>
      <c r="G135" s="10"/>
      <c r="H135" s="10"/>
      <c r="I135" s="10"/>
      <c r="J135" s="109"/>
      <c r="K135" s="109">
        <f t="shared" ref="K135:N137" ca="1" si="112">OFFSET($P135,0,K$2,1,1)</f>
        <v>5</v>
      </c>
      <c r="L135" s="109">
        <f t="shared" ca="1" si="112"/>
        <v>5</v>
      </c>
      <c r="M135" s="109">
        <f t="shared" ca="1" si="112"/>
        <v>0</v>
      </c>
      <c r="N135" s="109">
        <f t="shared" ca="1" si="112"/>
        <v>0</v>
      </c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>
        <v>5</v>
      </c>
      <c r="AO135" s="109">
        <f t="shared" ref="AO135:AW137" si="113">AN135</f>
        <v>5</v>
      </c>
      <c r="AP135" s="109">
        <f t="shared" si="113"/>
        <v>5</v>
      </c>
      <c r="AQ135" s="109">
        <f t="shared" si="113"/>
        <v>5</v>
      </c>
      <c r="AR135" s="109">
        <f t="shared" si="113"/>
        <v>5</v>
      </c>
      <c r="AS135" s="109">
        <f t="shared" si="113"/>
        <v>5</v>
      </c>
      <c r="AT135" s="109">
        <v>0</v>
      </c>
      <c r="AU135" s="109">
        <v>0</v>
      </c>
      <c r="AV135" s="109">
        <v>0</v>
      </c>
      <c r="AW135" s="109">
        <v>0</v>
      </c>
      <c r="AX135" s="109">
        <v>0</v>
      </c>
      <c r="AY135" s="109">
        <v>0</v>
      </c>
      <c r="AZ135" s="109">
        <v>0</v>
      </c>
    </row>
    <row r="136" spans="2:52">
      <c r="B136" s="52" t="s">
        <v>534</v>
      </c>
      <c r="C136" s="119">
        <v>4.4699999999999997E-2</v>
      </c>
      <c r="G136" s="10"/>
      <c r="H136" s="10"/>
      <c r="I136" s="10"/>
      <c r="J136" s="109"/>
      <c r="K136" s="109">
        <f t="shared" ca="1" si="112"/>
        <v>5</v>
      </c>
      <c r="L136" s="109">
        <f t="shared" ca="1" si="112"/>
        <v>5</v>
      </c>
      <c r="M136" s="109">
        <f t="shared" ca="1" si="112"/>
        <v>0</v>
      </c>
      <c r="N136" s="109">
        <f t="shared" ca="1" si="112"/>
        <v>0</v>
      </c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>
        <v>5</v>
      </c>
      <c r="AO136" s="109">
        <v>5</v>
      </c>
      <c r="AP136" s="109">
        <v>5</v>
      </c>
      <c r="AQ136" s="109">
        <v>5</v>
      </c>
      <c r="AR136" s="109">
        <v>5</v>
      </c>
      <c r="AS136" s="109">
        <v>5</v>
      </c>
      <c r="AT136" s="109">
        <v>5</v>
      </c>
      <c r="AU136" s="109">
        <v>5</v>
      </c>
      <c r="AV136" s="109">
        <v>0</v>
      </c>
      <c r="AW136" s="109">
        <v>0</v>
      </c>
      <c r="AX136" s="109">
        <v>0</v>
      </c>
      <c r="AY136" s="109">
        <v>0</v>
      </c>
      <c r="AZ136" s="109">
        <v>0</v>
      </c>
    </row>
    <row r="137" spans="2:52">
      <c r="B137" s="52" t="s">
        <v>535</v>
      </c>
      <c r="C137" s="119">
        <v>4.4699999999999997E-2</v>
      </c>
      <c r="G137" s="10"/>
      <c r="H137" s="10"/>
      <c r="I137" s="10"/>
      <c r="J137" s="109"/>
      <c r="K137" s="109">
        <f t="shared" ca="1" si="112"/>
        <v>274</v>
      </c>
      <c r="L137" s="109">
        <f t="shared" ca="1" si="112"/>
        <v>274</v>
      </c>
      <c r="M137" s="109">
        <f t="shared" ca="1" si="112"/>
        <v>274</v>
      </c>
      <c r="N137" s="109">
        <f t="shared" ca="1" si="112"/>
        <v>0</v>
      </c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>
        <v>274</v>
      </c>
      <c r="AO137" s="109">
        <f t="shared" si="113"/>
        <v>274</v>
      </c>
      <c r="AP137" s="109">
        <f t="shared" si="113"/>
        <v>274</v>
      </c>
      <c r="AQ137" s="109">
        <f t="shared" si="113"/>
        <v>274</v>
      </c>
      <c r="AR137" s="109">
        <f t="shared" si="113"/>
        <v>274</v>
      </c>
      <c r="AS137" s="109">
        <f t="shared" si="113"/>
        <v>274</v>
      </c>
      <c r="AT137" s="109">
        <f t="shared" si="113"/>
        <v>274</v>
      </c>
      <c r="AU137" s="109">
        <f t="shared" si="113"/>
        <v>274</v>
      </c>
      <c r="AV137" s="109">
        <f t="shared" si="113"/>
        <v>274</v>
      </c>
      <c r="AW137" s="109">
        <f t="shared" si="113"/>
        <v>274</v>
      </c>
      <c r="AX137" s="109">
        <v>0</v>
      </c>
      <c r="AY137" s="109">
        <v>0</v>
      </c>
      <c r="AZ137" s="109">
        <v>0</v>
      </c>
    </row>
    <row r="138" spans="2:52">
      <c r="B138" s="68" t="s">
        <v>87</v>
      </c>
      <c r="C138" s="119"/>
      <c r="G138" s="10"/>
      <c r="H138" s="10"/>
      <c r="I138" s="10"/>
      <c r="J138" s="117"/>
      <c r="K138" s="117">
        <f t="shared" ref="K138:N138" ca="1" si="114">SUM(K137:K137,K129:K129)</f>
        <v>405.51599999999996</v>
      </c>
      <c r="L138" s="117">
        <f t="shared" ca="1" si="114"/>
        <v>274</v>
      </c>
      <c r="M138" s="117">
        <f t="shared" ca="1" si="114"/>
        <v>274</v>
      </c>
      <c r="N138" s="117">
        <f t="shared" ca="1" si="114"/>
        <v>0</v>
      </c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17"/>
      <c r="AN138" s="117">
        <f>SUM(AN129:AN137)</f>
        <v>593.37400000000002</v>
      </c>
      <c r="AO138" s="117">
        <f t="shared" ref="AO138:AZ138" si="115">SUM(AO137:AO137,AO129:AO129)</f>
        <v>405.51599999999996</v>
      </c>
      <c r="AP138" s="117">
        <f t="shared" si="115"/>
        <v>405.51599999999996</v>
      </c>
      <c r="AQ138" s="117">
        <f t="shared" si="115"/>
        <v>405.51599999999996</v>
      </c>
      <c r="AR138" s="117">
        <f t="shared" si="115"/>
        <v>274</v>
      </c>
      <c r="AS138" s="117">
        <f t="shared" si="115"/>
        <v>274</v>
      </c>
      <c r="AT138" s="117">
        <f t="shared" si="115"/>
        <v>274</v>
      </c>
      <c r="AU138" s="117">
        <f t="shared" si="115"/>
        <v>274</v>
      </c>
      <c r="AV138" s="117">
        <f t="shared" si="115"/>
        <v>274</v>
      </c>
      <c r="AW138" s="117">
        <f t="shared" si="115"/>
        <v>274</v>
      </c>
      <c r="AX138" s="117">
        <f t="shared" si="115"/>
        <v>0</v>
      </c>
      <c r="AY138" s="117">
        <f t="shared" si="115"/>
        <v>0</v>
      </c>
      <c r="AZ138" s="117">
        <f t="shared" si="115"/>
        <v>0</v>
      </c>
    </row>
    <row r="139" spans="2:52">
      <c r="B139" s="61"/>
      <c r="C139" s="119"/>
      <c r="G139" s="10"/>
      <c r="H139" s="10"/>
      <c r="I139" s="10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2:52">
      <c r="B140" s="19" t="s">
        <v>196</v>
      </c>
      <c r="C140" s="1" t="s">
        <v>195</v>
      </c>
      <c r="F140" s="116"/>
      <c r="G140" s="116"/>
      <c r="H140" s="116"/>
      <c r="I140" s="112">
        <v>42369</v>
      </c>
      <c r="J140" s="112">
        <v>42735</v>
      </c>
      <c r="K140" s="112">
        <v>43100</v>
      </c>
      <c r="L140" s="112">
        <v>43465</v>
      </c>
      <c r="M140" s="112">
        <v>43830</v>
      </c>
      <c r="N140" s="112">
        <v>43830</v>
      </c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12">
        <v>42735</v>
      </c>
      <c r="AK140" s="112">
        <v>42825</v>
      </c>
      <c r="AL140" s="112">
        <v>42916</v>
      </c>
      <c r="AM140" s="112">
        <v>43008</v>
      </c>
      <c r="AN140" s="112">
        <v>43100</v>
      </c>
      <c r="AO140" s="112">
        <f t="shared" ref="AO140:AZ140" si="116">DATE(YEAR(AK140)+1,MONTH(AK140),DAY(AK140))</f>
        <v>43190</v>
      </c>
      <c r="AP140" s="112">
        <f t="shared" si="116"/>
        <v>43281</v>
      </c>
      <c r="AQ140" s="112">
        <f t="shared" si="116"/>
        <v>43373</v>
      </c>
      <c r="AR140" s="112">
        <f t="shared" si="116"/>
        <v>43465</v>
      </c>
      <c r="AS140" s="112">
        <f t="shared" si="116"/>
        <v>43555</v>
      </c>
      <c r="AT140" s="112">
        <f t="shared" si="116"/>
        <v>43646</v>
      </c>
      <c r="AU140" s="112">
        <f t="shared" si="116"/>
        <v>43738</v>
      </c>
      <c r="AV140" s="112">
        <f t="shared" si="116"/>
        <v>43830</v>
      </c>
      <c r="AW140" s="112">
        <f t="shared" si="116"/>
        <v>43921</v>
      </c>
      <c r="AX140" s="112">
        <f t="shared" si="116"/>
        <v>44012</v>
      </c>
      <c r="AY140" s="112">
        <f t="shared" si="116"/>
        <v>44104</v>
      </c>
      <c r="AZ140" s="112">
        <f t="shared" si="116"/>
        <v>44196</v>
      </c>
    </row>
    <row r="141" spans="2:52">
      <c r="B141" s="113" t="s">
        <v>194</v>
      </c>
      <c r="F141" s="116"/>
      <c r="G141" s="116"/>
      <c r="H141" s="116"/>
      <c r="I141" s="116"/>
      <c r="J141" s="112"/>
      <c r="K141" s="112"/>
      <c r="L141" s="112"/>
      <c r="M141" s="112"/>
      <c r="N141" s="112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12"/>
      <c r="AK141" s="112"/>
      <c r="AL141" s="112"/>
      <c r="AM141" s="112"/>
      <c r="AN141" s="112"/>
      <c r="AO141" s="112"/>
      <c r="AP141" s="112"/>
      <c r="AQ141" s="112"/>
      <c r="AR141" s="112"/>
      <c r="AS141" s="112"/>
      <c r="AT141" s="112"/>
      <c r="AU141" s="112"/>
      <c r="AV141" s="112"/>
      <c r="AW141" s="112"/>
      <c r="AX141" s="112"/>
      <c r="AY141" s="112"/>
      <c r="AZ141" s="112"/>
    </row>
    <row r="142" spans="2:52">
      <c r="B142" s="114" t="s">
        <v>193</v>
      </c>
      <c r="F142" s="40"/>
      <c r="G142" s="40"/>
      <c r="H142" s="40"/>
      <c r="I142" s="40"/>
      <c r="J142" s="115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2:52">
      <c r="B143" s="52" t="s">
        <v>420</v>
      </c>
      <c r="C143" s="112">
        <v>43434</v>
      </c>
      <c r="F143" s="40"/>
      <c r="G143" s="40"/>
      <c r="H143" s="40"/>
      <c r="I143" s="40"/>
      <c r="J143" s="115"/>
      <c r="K143" s="109"/>
      <c r="L143" s="109">
        <f t="shared" ref="L143:N147" ca="1" si="117">SUM(OFFSET($P143,0,L$1,1,4))</f>
        <v>5.7525458717808213</v>
      </c>
      <c r="M143" s="109">
        <f t="shared" ca="1" si="117"/>
        <v>0</v>
      </c>
      <c r="N143" s="109">
        <f t="shared" ca="1" si="117"/>
        <v>0</v>
      </c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>
        <f>IF(AO$140&gt;$C143,AN129*$C129*($C143-AN$140)/($K$140-$J$140),AN129*$C129*(AO$140-AN$140)/($K$140-$J$140))</f>
        <v>1.5500872109589041</v>
      </c>
      <c r="AP143" s="109">
        <f t="shared" ref="AP143:AZ143" si="118">IF(AP$140&gt;$C143,AO129*$C129*($C143-AO$140)/($K$140-$J$140),AO129*$C129*(AP$140-AO$140)/($K$140-$J$140))</f>
        <v>1.5673104021917807</v>
      </c>
      <c r="AQ143" s="109">
        <f t="shared" si="118"/>
        <v>1.5845335934246574</v>
      </c>
      <c r="AR143" s="109">
        <f t="shared" si="118"/>
        <v>1.0506146652054795</v>
      </c>
      <c r="AS143" s="109">
        <f t="shared" si="118"/>
        <v>0</v>
      </c>
      <c r="AT143" s="109">
        <f t="shared" si="118"/>
        <v>0</v>
      </c>
      <c r="AU143" s="109">
        <f t="shared" si="118"/>
        <v>0</v>
      </c>
      <c r="AV143" s="109">
        <f t="shared" si="118"/>
        <v>0</v>
      </c>
      <c r="AW143" s="109">
        <f t="shared" si="118"/>
        <v>0</v>
      </c>
      <c r="AX143" s="109">
        <f t="shared" si="118"/>
        <v>0</v>
      </c>
      <c r="AY143" s="109">
        <f t="shared" si="118"/>
        <v>0</v>
      </c>
      <c r="AZ143" s="109">
        <f t="shared" si="118"/>
        <v>0</v>
      </c>
    </row>
    <row r="144" spans="2:52">
      <c r="B144" s="52" t="s">
        <v>421</v>
      </c>
      <c r="C144" s="112">
        <v>43434</v>
      </c>
      <c r="F144" s="40"/>
      <c r="G144" s="40"/>
      <c r="H144" s="40"/>
      <c r="I144" s="40"/>
      <c r="J144" s="115"/>
      <c r="K144" s="109"/>
      <c r="L144" s="109">
        <f t="shared" ca="1" si="117"/>
        <v>2.8458630136986303</v>
      </c>
      <c r="M144" s="109">
        <f t="shared" ca="1" si="117"/>
        <v>0</v>
      </c>
      <c r="N144" s="109">
        <f t="shared" ca="1" si="117"/>
        <v>0</v>
      </c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>
        <f t="shared" ref="AO144:AZ144" si="119">IF(AO$140&gt;$C144,AN130*$C130*($C144-AN$140)/($K$140-$J$140),AN130*$C130*(AO$140-AN$140)/($K$140-$J$140))</f>
        <v>0.7668493150684933</v>
      </c>
      <c r="AP144" s="109">
        <f t="shared" si="119"/>
        <v>0.77536986301369881</v>
      </c>
      <c r="AQ144" s="109">
        <f t="shared" si="119"/>
        <v>0.7838904109589041</v>
      </c>
      <c r="AR144" s="109">
        <f t="shared" si="119"/>
        <v>0.51975342465753427</v>
      </c>
      <c r="AS144" s="109">
        <f t="shared" si="119"/>
        <v>0</v>
      </c>
      <c r="AT144" s="109">
        <f t="shared" si="119"/>
        <v>0</v>
      </c>
      <c r="AU144" s="109">
        <f t="shared" si="119"/>
        <v>0</v>
      </c>
      <c r="AV144" s="109">
        <f t="shared" si="119"/>
        <v>0</v>
      </c>
      <c r="AW144" s="109">
        <f t="shared" si="119"/>
        <v>0</v>
      </c>
      <c r="AX144" s="109">
        <f t="shared" si="119"/>
        <v>0</v>
      </c>
      <c r="AY144" s="109">
        <f t="shared" si="119"/>
        <v>0</v>
      </c>
      <c r="AZ144" s="109">
        <f t="shared" si="119"/>
        <v>0</v>
      </c>
    </row>
    <row r="145" spans="2:52">
      <c r="B145" s="52" t="s">
        <v>530</v>
      </c>
      <c r="C145" s="112">
        <v>43344</v>
      </c>
      <c r="F145" s="40"/>
      <c r="G145" s="40"/>
      <c r="H145" s="40"/>
      <c r="I145" s="40"/>
      <c r="J145" s="115"/>
      <c r="K145" s="109"/>
      <c r="L145" s="109">
        <f t="shared" ca="1" si="117"/>
        <v>2.9029607868493148</v>
      </c>
      <c r="M145" s="109">
        <f t="shared" ca="1" si="117"/>
        <v>0</v>
      </c>
      <c r="N145" s="109">
        <f t="shared" ca="1" si="117"/>
        <v>0</v>
      </c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>
        <f t="shared" ref="AO145:AZ145" si="120">IF(AO$140&gt;$C145,AN131*$C131*($C145-AN$140)/($K$140-$J$140),AN131*$C131*(AO$140-AN$140)/($K$140-$J$140))</f>
        <v>1.0707642246575342</v>
      </c>
      <c r="AP145" s="109">
        <f t="shared" si="120"/>
        <v>1.0826616049315068</v>
      </c>
      <c r="AQ145" s="109">
        <f t="shared" si="120"/>
        <v>0.74953495726027397</v>
      </c>
      <c r="AR145" s="109">
        <f t="shared" si="120"/>
        <v>0</v>
      </c>
      <c r="AS145" s="109">
        <f t="shared" si="120"/>
        <v>0</v>
      </c>
      <c r="AT145" s="109">
        <f t="shared" si="120"/>
        <v>0</v>
      </c>
      <c r="AU145" s="109">
        <f t="shared" si="120"/>
        <v>0</v>
      </c>
      <c r="AV145" s="109">
        <f t="shared" si="120"/>
        <v>0</v>
      </c>
      <c r="AW145" s="109">
        <f t="shared" si="120"/>
        <v>0</v>
      </c>
      <c r="AX145" s="109">
        <f t="shared" si="120"/>
        <v>0</v>
      </c>
      <c r="AY145" s="109">
        <f t="shared" si="120"/>
        <v>0</v>
      </c>
      <c r="AZ145" s="109">
        <f t="shared" si="120"/>
        <v>0</v>
      </c>
    </row>
    <row r="146" spans="2:52">
      <c r="B146" s="52" t="s">
        <v>531</v>
      </c>
      <c r="C146" s="112">
        <v>43220</v>
      </c>
      <c r="F146" s="40"/>
      <c r="G146" s="40"/>
      <c r="H146" s="40"/>
      <c r="I146" s="40"/>
      <c r="J146" s="115"/>
      <c r="K146" s="109"/>
      <c r="L146" s="109">
        <f t="shared" ca="1" si="117"/>
        <v>7.3479452054794517E-2</v>
      </c>
      <c r="M146" s="109">
        <f t="shared" ca="1" si="117"/>
        <v>0</v>
      </c>
      <c r="N146" s="109">
        <f t="shared" ca="1" si="117"/>
        <v>0</v>
      </c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>
        <f t="shared" ref="AO146:AZ146" si="121">IF(AO$140&gt;$C146,AN132*$C132*($C146-AN$140)/($K$140-$J$140),AN132*$C132*(AO$140-AN$140)/($K$140-$J$140))</f>
        <v>5.5109589041095884E-2</v>
      </c>
      <c r="AP146" s="109">
        <f t="shared" si="121"/>
        <v>1.8369863013698629E-2</v>
      </c>
      <c r="AQ146" s="109">
        <f t="shared" si="121"/>
        <v>0</v>
      </c>
      <c r="AR146" s="109">
        <f t="shared" si="121"/>
        <v>0</v>
      </c>
      <c r="AS146" s="109">
        <f t="shared" si="121"/>
        <v>0</v>
      </c>
      <c r="AT146" s="109">
        <f t="shared" si="121"/>
        <v>0</v>
      </c>
      <c r="AU146" s="109">
        <f t="shared" si="121"/>
        <v>0</v>
      </c>
      <c r="AV146" s="109">
        <f t="shared" si="121"/>
        <v>0</v>
      </c>
      <c r="AW146" s="109">
        <f t="shared" si="121"/>
        <v>0</v>
      </c>
      <c r="AX146" s="109">
        <f t="shared" si="121"/>
        <v>0</v>
      </c>
      <c r="AY146" s="109">
        <f t="shared" si="121"/>
        <v>0</v>
      </c>
      <c r="AZ146" s="109">
        <f t="shared" si="121"/>
        <v>0</v>
      </c>
    </row>
    <row r="147" spans="2:52">
      <c r="B147" s="52" t="s">
        <v>532</v>
      </c>
      <c r="C147" s="112">
        <v>43403</v>
      </c>
      <c r="F147" s="40"/>
      <c r="G147" s="40"/>
      <c r="H147" s="40"/>
      <c r="I147" s="40"/>
      <c r="J147" s="115"/>
      <c r="K147" s="109"/>
      <c r="L147" s="109">
        <f t="shared" ca="1" si="117"/>
        <v>0.18553561643835614</v>
      </c>
      <c r="M147" s="109">
        <f t="shared" ca="1" si="117"/>
        <v>0</v>
      </c>
      <c r="N147" s="109">
        <f t="shared" ca="1" si="117"/>
        <v>0</v>
      </c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>
        <f t="shared" ref="AO147:AZ147" si="122">IF(AO$140&gt;$C147,AN133*$C133*($C147-AN$140)/($K$140-$J$140),AN133*$C133*(AO$140-AN$140)/($K$140-$J$140))</f>
        <v>5.5109589041095884E-2</v>
      </c>
      <c r="AP147" s="109">
        <f t="shared" si="122"/>
        <v>5.5721917808219168E-2</v>
      </c>
      <c r="AQ147" s="109">
        <f t="shared" si="122"/>
        <v>5.6334246575342459E-2</v>
      </c>
      <c r="AR147" s="109">
        <f t="shared" si="122"/>
        <v>1.8369863013698629E-2</v>
      </c>
      <c r="AS147" s="109">
        <f t="shared" si="122"/>
        <v>0</v>
      </c>
      <c r="AT147" s="109">
        <f t="shared" si="122"/>
        <v>0</v>
      </c>
      <c r="AU147" s="109">
        <f t="shared" si="122"/>
        <v>0</v>
      </c>
      <c r="AV147" s="109">
        <f t="shared" si="122"/>
        <v>0</v>
      </c>
      <c r="AW147" s="109">
        <f t="shared" si="122"/>
        <v>0</v>
      </c>
      <c r="AX147" s="109">
        <f t="shared" si="122"/>
        <v>0</v>
      </c>
      <c r="AY147" s="109">
        <f t="shared" si="122"/>
        <v>0</v>
      </c>
      <c r="AZ147" s="109">
        <f t="shared" si="122"/>
        <v>0</v>
      </c>
    </row>
    <row r="148" spans="2:52">
      <c r="B148" s="114" t="s">
        <v>191</v>
      </c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2:52">
      <c r="B149" s="52" t="s">
        <v>533</v>
      </c>
      <c r="C149" s="112">
        <v>43585</v>
      </c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>
        <f>IF(AO$140&gt;$C149,AN135*$C135*($C149-AN$140)/($K$140-$J$140),AN135*$C135*(AO$140-AN$140)/($K$140-$J$140))</f>
        <v>5.5109589041095884E-2</v>
      </c>
      <c r="AP149" s="109">
        <f t="shared" ref="AP149:AZ149" si="123">IF(AP$140&gt;$C149,AO135*$C135*($C149-AO$140)/($K$140-$J$140),AO135*$C135*(AP$140-AO$140)/($K$140-$J$140))</f>
        <v>5.5721917808219168E-2</v>
      </c>
      <c r="AQ149" s="109">
        <f t="shared" si="123"/>
        <v>5.6334246575342459E-2</v>
      </c>
      <c r="AR149" s="109">
        <f t="shared" si="123"/>
        <v>5.6334246575342459E-2</v>
      </c>
      <c r="AS149" s="109">
        <f t="shared" si="123"/>
        <v>5.5109589041095884E-2</v>
      </c>
      <c r="AT149" s="109">
        <f t="shared" si="123"/>
        <v>1.8369863013698629E-2</v>
      </c>
      <c r="AU149" s="109">
        <f t="shared" si="123"/>
        <v>0</v>
      </c>
      <c r="AV149" s="109">
        <f t="shared" si="123"/>
        <v>0</v>
      </c>
      <c r="AW149" s="109">
        <f t="shared" si="123"/>
        <v>0</v>
      </c>
      <c r="AX149" s="109">
        <f t="shared" si="123"/>
        <v>0</v>
      </c>
      <c r="AY149" s="109">
        <f t="shared" si="123"/>
        <v>0</v>
      </c>
      <c r="AZ149" s="109">
        <f t="shared" si="123"/>
        <v>0</v>
      </c>
    </row>
    <row r="150" spans="2:52">
      <c r="B150" s="52" t="s">
        <v>534</v>
      </c>
      <c r="C150" s="112">
        <v>43768</v>
      </c>
      <c r="J150" s="109"/>
      <c r="K150" s="109"/>
      <c r="L150" s="109">
        <f t="shared" ref="L150:N151" ca="1" si="124">SUM(OFFSET($P150,0,L$1,1,4))</f>
        <v>0.22349999999999998</v>
      </c>
      <c r="M150" s="109">
        <f t="shared" ca="1" si="124"/>
        <v>0.18553561643835614</v>
      </c>
      <c r="N150" s="109">
        <f t="shared" ca="1" si="124"/>
        <v>0</v>
      </c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>
        <f t="shared" ref="AO150:AZ150" si="125">IF(AO$140&gt;$C150,AN136*$C136*($C150-AN$140)/($K$140-$J$140),AN136*$C136*(AO$140-AN$140)/($K$140-$J$140))</f>
        <v>5.5109589041095884E-2</v>
      </c>
      <c r="AP150" s="109">
        <f t="shared" si="125"/>
        <v>5.5721917808219168E-2</v>
      </c>
      <c r="AQ150" s="109">
        <f t="shared" si="125"/>
        <v>5.6334246575342459E-2</v>
      </c>
      <c r="AR150" s="109">
        <f t="shared" si="125"/>
        <v>5.6334246575342459E-2</v>
      </c>
      <c r="AS150" s="109">
        <f t="shared" si="125"/>
        <v>5.5109589041095884E-2</v>
      </c>
      <c r="AT150" s="109">
        <f t="shared" si="125"/>
        <v>5.5721917808219168E-2</v>
      </c>
      <c r="AU150" s="109">
        <f t="shared" si="125"/>
        <v>5.6334246575342459E-2</v>
      </c>
      <c r="AV150" s="109">
        <f t="shared" si="125"/>
        <v>1.8369863013698629E-2</v>
      </c>
      <c r="AW150" s="109">
        <f t="shared" si="125"/>
        <v>0</v>
      </c>
      <c r="AX150" s="109">
        <f t="shared" si="125"/>
        <v>0</v>
      </c>
      <c r="AY150" s="109">
        <f t="shared" si="125"/>
        <v>0</v>
      </c>
      <c r="AZ150" s="109">
        <f t="shared" si="125"/>
        <v>0</v>
      </c>
    </row>
    <row r="151" spans="2:52">
      <c r="B151" s="52" t="s">
        <v>535</v>
      </c>
      <c r="C151" s="112">
        <v>43951</v>
      </c>
      <c r="J151" s="109"/>
      <c r="K151" s="109"/>
      <c r="L151" s="109">
        <f t="shared" ca="1" si="124"/>
        <v>12.247799999999998</v>
      </c>
      <c r="M151" s="109">
        <f t="shared" ca="1" si="124"/>
        <v>12.247799999999998</v>
      </c>
      <c r="N151" s="109">
        <f t="shared" ca="1" si="124"/>
        <v>4.0602295890410955</v>
      </c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>
        <f t="shared" ref="AO151:AZ151" si="126">IF(AO$140&gt;$C151,AN137*$C137*($C151-AN$140)/($K$140-$J$140),AN137*$C137*(AO$140-AN$140)/($K$140-$J$140))</f>
        <v>3.0200054794520543</v>
      </c>
      <c r="AP151" s="109">
        <f t="shared" si="126"/>
        <v>3.0535610958904109</v>
      </c>
      <c r="AQ151" s="109">
        <f t="shared" si="126"/>
        <v>3.0871167123287666</v>
      </c>
      <c r="AR151" s="109">
        <f t="shared" si="126"/>
        <v>3.0871167123287666</v>
      </c>
      <c r="AS151" s="109">
        <f t="shared" si="126"/>
        <v>3.0200054794520543</v>
      </c>
      <c r="AT151" s="109">
        <f t="shared" si="126"/>
        <v>3.0535610958904109</v>
      </c>
      <c r="AU151" s="109">
        <f t="shared" si="126"/>
        <v>3.0871167123287666</v>
      </c>
      <c r="AV151" s="109">
        <f t="shared" si="126"/>
        <v>3.0871167123287666</v>
      </c>
      <c r="AW151" s="109">
        <f t="shared" si="126"/>
        <v>3.0535610958904109</v>
      </c>
      <c r="AX151" s="109">
        <f t="shared" si="126"/>
        <v>1.0066684931506849</v>
      </c>
      <c r="AY151" s="109">
        <f t="shared" si="126"/>
        <v>0</v>
      </c>
      <c r="AZ151" s="109">
        <f t="shared" si="126"/>
        <v>0</v>
      </c>
    </row>
    <row r="152" spans="2:52">
      <c r="B152" s="86"/>
      <c r="C152" s="10"/>
      <c r="D152" s="10"/>
      <c r="E152" s="10"/>
      <c r="F152" s="10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2:52">
      <c r="B153" s="11" t="s">
        <v>176</v>
      </c>
      <c r="C153" s="10"/>
      <c r="D153" s="10"/>
      <c r="E153" s="10"/>
      <c r="F153" s="10"/>
      <c r="I153" s="109">
        <f>-IQ_IS!I116</f>
        <v>55.491999999999997</v>
      </c>
      <c r="J153" s="109">
        <f>-IQ_IS!J116</f>
        <v>110.477</v>
      </c>
      <c r="K153" s="109">
        <f>-IQ_IS!K116</f>
        <v>277.577</v>
      </c>
      <c r="L153" s="109">
        <f ca="1">SUM(OFFSET($P153,0,L$1,1,4))</f>
        <v>24.455184740821917</v>
      </c>
      <c r="M153" s="109">
        <f ca="1">SUM(OFFSET($P153,0,M$1,1,4))</f>
        <v>12.50681506849315</v>
      </c>
      <c r="N153" s="109">
        <f ca="1">SUM(OFFSET($P153,0,N$1,1,4))</f>
        <v>4.0602295890410955</v>
      </c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>
        <f t="shared" ref="AO153:AZ153" si="127">SUM(AO143:AO151)</f>
        <v>6.628144586301369</v>
      </c>
      <c r="AP153" s="109">
        <f t="shared" si="127"/>
        <v>6.6644385824657535</v>
      </c>
      <c r="AQ153" s="109">
        <f t="shared" si="127"/>
        <v>6.3740784136986299</v>
      </c>
      <c r="AR153" s="109">
        <f t="shared" si="127"/>
        <v>4.7885231583561634</v>
      </c>
      <c r="AS153" s="109">
        <f t="shared" si="127"/>
        <v>3.1302246575342463</v>
      </c>
      <c r="AT153" s="109">
        <f t="shared" si="127"/>
        <v>3.1276528767123288</v>
      </c>
      <c r="AU153" s="109">
        <f t="shared" si="127"/>
        <v>3.1434509589041091</v>
      </c>
      <c r="AV153" s="109">
        <f t="shared" si="127"/>
        <v>3.1054865753424652</v>
      </c>
      <c r="AW153" s="109">
        <f t="shared" si="127"/>
        <v>3.0535610958904109</v>
      </c>
      <c r="AX153" s="109">
        <f t="shared" si="127"/>
        <v>1.0066684931506849</v>
      </c>
      <c r="AY153" s="109">
        <f t="shared" si="127"/>
        <v>0</v>
      </c>
      <c r="AZ153" s="109">
        <f t="shared" si="127"/>
        <v>0</v>
      </c>
    </row>
    <row r="154" spans="2:52">
      <c r="B154" s="11"/>
      <c r="C154" s="10"/>
      <c r="D154" s="10"/>
      <c r="E154" s="10"/>
      <c r="F154" s="10"/>
    </row>
    <row r="155" spans="2:52" s="1" customFormat="1">
      <c r="B155" s="6" t="s">
        <v>175</v>
      </c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</row>
    <row r="156" spans="2:52" s="1" customFormat="1">
      <c r="B156" s="8" t="s">
        <v>174</v>
      </c>
    </row>
    <row r="157" spans="2:52" s="1" customFormat="1">
      <c r="B157" s="1" t="s">
        <v>165</v>
      </c>
      <c r="E157" s="2"/>
      <c r="F157" s="58"/>
      <c r="G157" s="58"/>
      <c r="H157" s="58"/>
      <c r="I157" s="58">
        <f ca="1">I161-I160-I159+I158</f>
        <v>373.21</v>
      </c>
      <c r="J157" s="58">
        <f ca="1">J161-J160-J159+J158</f>
        <v>444.65499999999997</v>
      </c>
      <c r="K157" s="58">
        <f ca="1">J161</f>
        <v>539.21100000000001</v>
      </c>
      <c r="L157" s="58">
        <f ca="1">K161</f>
        <v>1248.9680000000001</v>
      </c>
      <c r="M157" s="58">
        <f ca="1">L161</f>
        <v>2250.5639550101751</v>
      </c>
      <c r="N157" s="58">
        <f ca="1">M161</f>
        <v>3107.2155107687668</v>
      </c>
      <c r="O157" s="58"/>
      <c r="P157" s="58"/>
      <c r="Q157" s="67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>
        <f ca="1">I157</f>
        <v>373.21</v>
      </c>
      <c r="AD157" s="58">
        <f t="shared" ref="AD157:AZ157" ca="1" si="128">+AC161</f>
        <v>391.07124999999996</v>
      </c>
      <c r="AE157" s="58">
        <f t="shared" ca="1" si="128"/>
        <v>408.9325</v>
      </c>
      <c r="AF157" s="58">
        <f t="shared" ca="1" si="128"/>
        <v>426.79375000000005</v>
      </c>
      <c r="AG157" s="58">
        <f t="shared" ca="1" si="128"/>
        <v>444.65500000000009</v>
      </c>
      <c r="AH157" s="58">
        <f t="shared" ca="1" si="128"/>
        <v>468.2940000000001</v>
      </c>
      <c r="AI157" s="58">
        <f t="shared" ca="1" si="128"/>
        <v>491.93300000000011</v>
      </c>
      <c r="AJ157" s="58">
        <f t="shared" ca="1" si="128"/>
        <v>515.57200000000012</v>
      </c>
      <c r="AK157" s="58">
        <f t="shared" ca="1" si="128"/>
        <v>539.21100000000024</v>
      </c>
      <c r="AL157" s="58">
        <f t="shared" ca="1" si="128"/>
        <v>716.65025000000037</v>
      </c>
      <c r="AM157" s="58">
        <f t="shared" ca="1" si="128"/>
        <v>894.0895000000005</v>
      </c>
      <c r="AN157" s="58">
        <f t="shared" ca="1" si="128"/>
        <v>1071.5287500000006</v>
      </c>
      <c r="AO157" s="58">
        <f t="shared" ca="1" si="128"/>
        <v>1248.9680000000008</v>
      </c>
      <c r="AP157" s="58">
        <f t="shared" ca="1" si="128"/>
        <v>1457.8728292137112</v>
      </c>
      <c r="AQ157" s="58">
        <f t="shared" ca="1" si="128"/>
        <v>1714.0156756404124</v>
      </c>
      <c r="AR157" s="58">
        <f t="shared" ca="1" si="128"/>
        <v>1998.0784668443926</v>
      </c>
      <c r="AS157" s="58">
        <f t="shared" ca="1" si="128"/>
        <v>2250.5639550101755</v>
      </c>
      <c r="AT157" s="58">
        <f t="shared" ca="1" si="128"/>
        <v>2423.7299802350462</v>
      </c>
      <c r="AU157" s="58">
        <f t="shared" ca="1" si="128"/>
        <v>2640.321664065787</v>
      </c>
      <c r="AV157" s="58">
        <f t="shared" ca="1" si="128"/>
        <v>2884.7847389405247</v>
      </c>
      <c r="AW157" s="58">
        <f t="shared" ca="1" si="128"/>
        <v>3107.2155107687672</v>
      </c>
      <c r="AX157" s="58">
        <f t="shared" ca="1" si="128"/>
        <v>3249.8495758233853</v>
      </c>
      <c r="AY157" s="58">
        <f t="shared" ca="1" si="128"/>
        <v>3434.6571241268589</v>
      </c>
      <c r="AZ157" s="58">
        <f t="shared" ca="1" si="128"/>
        <v>3645.9477841953208</v>
      </c>
    </row>
    <row r="158" spans="2:52" s="1" customFormat="1">
      <c r="B158" s="11" t="s">
        <v>559</v>
      </c>
      <c r="E158" s="2"/>
      <c r="F158" s="58"/>
      <c r="G158" s="58"/>
      <c r="H158" s="58"/>
      <c r="I158" s="58">
        <f>+I64</f>
        <v>222.19499999999999</v>
      </c>
      <c r="J158" s="58">
        <f>+J64</f>
        <v>306.495</v>
      </c>
      <c r="K158" s="58">
        <f>+K64</f>
        <v>348.92099999999999</v>
      </c>
      <c r="L158" s="58">
        <f t="shared" ref="L158:N160" ca="1" si="129">SUM(OFFSET($P158,0,L$1,1,4))</f>
        <v>513.51479773588142</v>
      </c>
      <c r="M158" s="58">
        <f t="shared" ca="1" si="129"/>
        <v>815.95202706012265</v>
      </c>
      <c r="N158" s="58">
        <f t="shared" ca="1" si="129"/>
        <v>1075.0135995931466</v>
      </c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>
        <f>I158/4</f>
        <v>55.548749999999998</v>
      </c>
      <c r="AD158" s="58">
        <f>AC158</f>
        <v>55.548749999999998</v>
      </c>
      <c r="AE158" s="58">
        <f t="shared" ref="AE158:AF160" si="130">AD158</f>
        <v>55.548749999999998</v>
      </c>
      <c r="AF158" s="58">
        <f t="shared" si="130"/>
        <v>55.548749999999998</v>
      </c>
      <c r="AG158" s="58">
        <f>J158/4</f>
        <v>76.623750000000001</v>
      </c>
      <c r="AH158" s="58">
        <f>AG158</f>
        <v>76.623750000000001</v>
      </c>
      <c r="AI158" s="58">
        <f t="shared" ref="AI158:AJ160" si="131">AH158</f>
        <v>76.623750000000001</v>
      </c>
      <c r="AJ158" s="58">
        <f t="shared" si="131"/>
        <v>76.623750000000001</v>
      </c>
      <c r="AK158" s="58">
        <f>K158/4</f>
        <v>87.230249999999998</v>
      </c>
      <c r="AL158" s="58">
        <f>AK158</f>
        <v>87.230249999999998</v>
      </c>
      <c r="AM158" s="58">
        <f t="shared" ref="AM158:AN160" si="132">AL158</f>
        <v>87.230249999999998</v>
      </c>
      <c r="AN158" s="58">
        <f t="shared" si="132"/>
        <v>87.230249999999998</v>
      </c>
      <c r="AO158" s="58">
        <f ca="1">AO164*AO157</f>
        <v>99.917440000000056</v>
      </c>
      <c r="AP158" s="58">
        <f t="shared" ref="AP158:AZ158" ca="1" si="133">AP164*AP157</f>
        <v>116.6298263370969</v>
      </c>
      <c r="AQ158" s="58">
        <f t="shared" ca="1" si="133"/>
        <v>137.121254051233</v>
      </c>
      <c r="AR158" s="58">
        <f t="shared" ca="1" si="133"/>
        <v>159.84627734755142</v>
      </c>
      <c r="AS158" s="58">
        <f t="shared" ca="1" si="133"/>
        <v>180.04511640081404</v>
      </c>
      <c r="AT158" s="58">
        <f t="shared" ca="1" si="133"/>
        <v>193.89839841880371</v>
      </c>
      <c r="AU158" s="58">
        <f t="shared" ca="1" si="133"/>
        <v>211.22573312526296</v>
      </c>
      <c r="AV158" s="58">
        <f t="shared" ca="1" si="133"/>
        <v>230.78277911524196</v>
      </c>
      <c r="AW158" s="58">
        <f t="shared" ca="1" si="133"/>
        <v>248.57724086150139</v>
      </c>
      <c r="AX158" s="58">
        <f t="shared" ca="1" si="133"/>
        <v>259.98796606587081</v>
      </c>
      <c r="AY158" s="58">
        <f t="shared" ca="1" si="133"/>
        <v>274.77256993014873</v>
      </c>
      <c r="AZ158" s="58">
        <f t="shared" ca="1" si="133"/>
        <v>291.67582273562567</v>
      </c>
    </row>
    <row r="159" spans="2:52" s="1" customFormat="1">
      <c r="B159" s="1" t="s">
        <v>172</v>
      </c>
      <c r="E159" s="2"/>
      <c r="F159" s="58"/>
      <c r="G159" s="58"/>
      <c r="H159" s="58"/>
      <c r="I159" s="58">
        <f>-I84</f>
        <v>295.44799999999998</v>
      </c>
      <c r="J159" s="58">
        <f>-J84</f>
        <v>399.88499999999999</v>
      </c>
      <c r="K159" s="58">
        <f>-K84</f>
        <v>1022.3150000000001</v>
      </c>
      <c r="L159" s="58">
        <f t="shared" ca="1" si="129"/>
        <v>1515.1107527460565</v>
      </c>
      <c r="M159" s="58">
        <f t="shared" ca="1" si="129"/>
        <v>1672.6035828187144</v>
      </c>
      <c r="N159" s="58">
        <f t="shared" ca="1" si="129"/>
        <v>1812.4777350870336</v>
      </c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>
        <f>I159/4</f>
        <v>73.861999999999995</v>
      </c>
      <c r="AD159" s="58">
        <f>AC159</f>
        <v>73.861999999999995</v>
      </c>
      <c r="AE159" s="58">
        <f t="shared" si="130"/>
        <v>73.861999999999995</v>
      </c>
      <c r="AF159" s="58">
        <f t="shared" si="130"/>
        <v>73.861999999999995</v>
      </c>
      <c r="AG159" s="58">
        <f>J159/4</f>
        <v>99.971249999999998</v>
      </c>
      <c r="AH159" s="58">
        <f>AG159</f>
        <v>99.971249999999998</v>
      </c>
      <c r="AI159" s="58">
        <f t="shared" si="131"/>
        <v>99.971249999999998</v>
      </c>
      <c r="AJ159" s="58">
        <f t="shared" si="131"/>
        <v>99.971249999999998</v>
      </c>
      <c r="AK159" s="58">
        <f>K159/4</f>
        <v>255.57875000000001</v>
      </c>
      <c r="AL159" s="58">
        <f>AK159</f>
        <v>255.57875000000001</v>
      </c>
      <c r="AM159" s="58">
        <f t="shared" si="132"/>
        <v>255.57875000000001</v>
      </c>
      <c r="AN159" s="58">
        <f t="shared" si="132"/>
        <v>255.57875000000001</v>
      </c>
      <c r="AO159" s="58">
        <f>+AO163*IQ_IS!AO82</f>
        <v>308.82226921371068</v>
      </c>
      <c r="AP159" s="58">
        <f>+AP163*IQ_IS!AP82</f>
        <v>372.77267276379797</v>
      </c>
      <c r="AQ159" s="58">
        <f>+AQ163*IQ_IS!AQ82</f>
        <v>421.18404525521339</v>
      </c>
      <c r="AR159" s="58">
        <f>+AR163*IQ_IS!AR82</f>
        <v>412.3317655133344</v>
      </c>
      <c r="AS159" s="58">
        <f>+AS163*IQ_IS!AS82</f>
        <v>353.211141625685</v>
      </c>
      <c r="AT159" s="58">
        <f>+AT163*IQ_IS!AT82</f>
        <v>410.49008224954429</v>
      </c>
      <c r="AU159" s="58">
        <f>+AU163*IQ_IS!AU82</f>
        <v>455.68880800000085</v>
      </c>
      <c r="AV159" s="58">
        <f>+AV163*IQ_IS!AV82</f>
        <v>453.21355094348422</v>
      </c>
      <c r="AW159" s="58">
        <f>+AW163*IQ_IS!AW82</f>
        <v>391.21130591611916</v>
      </c>
      <c r="AX159" s="58">
        <f>+AX163*IQ_IS!AX82</f>
        <v>444.79551436934446</v>
      </c>
      <c r="AY159" s="58">
        <f>+AY163*IQ_IS!AY82</f>
        <v>486.06322999861032</v>
      </c>
      <c r="AZ159" s="58">
        <f>+AZ163*IQ_IS!AZ82</f>
        <v>490.40768480295969</v>
      </c>
    </row>
    <row r="160" spans="2:52" s="1" customFormat="1">
      <c r="B160" s="1" t="s">
        <v>171</v>
      </c>
      <c r="E160" s="2"/>
      <c r="F160" s="58"/>
      <c r="G160" s="58"/>
      <c r="H160" s="58"/>
      <c r="I160" s="64">
        <f>I72</f>
        <v>-1.8080000000000001</v>
      </c>
      <c r="J160" s="64">
        <f>J72</f>
        <v>1.1659999999999999</v>
      </c>
      <c r="K160" s="58">
        <f ca="1">+K161-SUM(K157,-K158,K159)</f>
        <v>36.363000000000056</v>
      </c>
      <c r="L160" s="58">
        <f t="shared" ca="1" si="129"/>
        <v>0</v>
      </c>
      <c r="M160" s="58">
        <f t="shared" ca="1" si="129"/>
        <v>0</v>
      </c>
      <c r="N160" s="58">
        <f t="shared" ca="1" si="129"/>
        <v>0</v>
      </c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>
        <f>I160/4</f>
        <v>-0.45200000000000001</v>
      </c>
      <c r="AD160" s="58">
        <f>AC160</f>
        <v>-0.45200000000000001</v>
      </c>
      <c r="AE160" s="58">
        <f t="shared" si="130"/>
        <v>-0.45200000000000001</v>
      </c>
      <c r="AF160" s="58">
        <f t="shared" si="130"/>
        <v>-0.45200000000000001</v>
      </c>
      <c r="AG160" s="58">
        <f>J160/4</f>
        <v>0.29149999999999998</v>
      </c>
      <c r="AH160" s="58">
        <f>AG160</f>
        <v>0.29149999999999998</v>
      </c>
      <c r="AI160" s="58">
        <f t="shared" si="131"/>
        <v>0.29149999999999998</v>
      </c>
      <c r="AJ160" s="58">
        <f t="shared" si="131"/>
        <v>0.29149999999999998</v>
      </c>
      <c r="AK160" s="58">
        <f ca="1">K160/4</f>
        <v>9.0907500000000141</v>
      </c>
      <c r="AL160" s="58">
        <f ca="1">AK160</f>
        <v>9.0907500000000141</v>
      </c>
      <c r="AM160" s="58">
        <f t="shared" ca="1" si="132"/>
        <v>9.0907500000000141</v>
      </c>
      <c r="AN160" s="58">
        <f t="shared" ca="1" si="132"/>
        <v>9.0907500000000141</v>
      </c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</row>
    <row r="161" spans="2:52" s="1" customFormat="1">
      <c r="B161" s="1" t="s">
        <v>160</v>
      </c>
      <c r="E161" s="67">
        <v>2744.241</v>
      </c>
      <c r="F161" s="58"/>
      <c r="G161" s="58"/>
      <c r="H161" s="58"/>
      <c r="I161" s="58">
        <f ca="1">J157</f>
        <v>444.65499999999997</v>
      </c>
      <c r="J161" s="58">
        <f ca="1">J16</f>
        <v>539.21100000000001</v>
      </c>
      <c r="K161" s="58">
        <f ca="1">K16</f>
        <v>1248.9680000000001</v>
      </c>
      <c r="L161" s="58">
        <f t="shared" ref="L161:N161" ca="1" si="134">L157-L158+L159+L160</f>
        <v>2250.5639550101751</v>
      </c>
      <c r="M161" s="58">
        <f t="shared" ca="1" si="134"/>
        <v>3107.2155107687668</v>
      </c>
      <c r="N161" s="58">
        <f t="shared" ca="1" si="134"/>
        <v>3844.6796462626535</v>
      </c>
      <c r="O161" s="58"/>
      <c r="P161" s="58"/>
      <c r="Q161" s="67"/>
      <c r="R161" s="67"/>
      <c r="S161" s="67"/>
      <c r="T161" s="58"/>
      <c r="U161" s="58"/>
      <c r="V161" s="58"/>
      <c r="W161" s="58"/>
      <c r="X161" s="58"/>
      <c r="Y161" s="58"/>
      <c r="Z161" s="58"/>
      <c r="AA161" s="58"/>
      <c r="AB161" s="58"/>
      <c r="AC161" s="58">
        <f ca="1">AC157-AC158+AC159+AC160</f>
        <v>391.07124999999996</v>
      </c>
      <c r="AD161" s="58">
        <f t="shared" ref="AD161:AJ161" ca="1" si="135">AD157-AD158+AD159+AD160</f>
        <v>408.9325</v>
      </c>
      <c r="AE161" s="58">
        <f t="shared" ca="1" si="135"/>
        <v>426.79375000000005</v>
      </c>
      <c r="AF161" s="58">
        <f t="shared" ca="1" si="135"/>
        <v>444.65500000000009</v>
      </c>
      <c r="AG161" s="58">
        <f t="shared" ca="1" si="135"/>
        <v>468.2940000000001</v>
      </c>
      <c r="AH161" s="58">
        <f t="shared" ca="1" si="135"/>
        <v>491.93300000000011</v>
      </c>
      <c r="AI161" s="58">
        <f t="shared" ca="1" si="135"/>
        <v>515.57200000000012</v>
      </c>
      <c r="AJ161" s="58">
        <f t="shared" ca="1" si="135"/>
        <v>539.21100000000024</v>
      </c>
      <c r="AK161" s="58">
        <f ca="1">AK157-AK158+AK159+AK160</f>
        <v>716.65025000000037</v>
      </c>
      <c r="AL161" s="58">
        <f t="shared" ref="AL161:AN161" ca="1" si="136">AL157-AL158+AL159+AL160</f>
        <v>894.0895000000005</v>
      </c>
      <c r="AM161" s="58">
        <f t="shared" ca="1" si="136"/>
        <v>1071.5287500000006</v>
      </c>
      <c r="AN161" s="58">
        <f t="shared" ca="1" si="136"/>
        <v>1248.9680000000008</v>
      </c>
      <c r="AO161" s="58">
        <f t="shared" ref="AO161:AZ161" ca="1" si="137">+AO157-AO158+AO159</f>
        <v>1457.8728292137112</v>
      </c>
      <c r="AP161" s="58">
        <f t="shared" ca="1" si="137"/>
        <v>1714.0156756404124</v>
      </c>
      <c r="AQ161" s="58">
        <f t="shared" ca="1" si="137"/>
        <v>1998.0784668443926</v>
      </c>
      <c r="AR161" s="58">
        <f t="shared" ca="1" si="137"/>
        <v>2250.5639550101755</v>
      </c>
      <c r="AS161" s="58">
        <f t="shared" ca="1" si="137"/>
        <v>2423.7299802350462</v>
      </c>
      <c r="AT161" s="58">
        <f t="shared" ca="1" si="137"/>
        <v>2640.321664065787</v>
      </c>
      <c r="AU161" s="58">
        <f t="shared" ca="1" si="137"/>
        <v>2884.7847389405247</v>
      </c>
      <c r="AV161" s="58">
        <f t="shared" ca="1" si="137"/>
        <v>3107.2155107687672</v>
      </c>
      <c r="AW161" s="58">
        <f t="shared" ca="1" si="137"/>
        <v>3249.8495758233853</v>
      </c>
      <c r="AX161" s="58">
        <f t="shared" ca="1" si="137"/>
        <v>3434.6571241268589</v>
      </c>
      <c r="AY161" s="58">
        <f t="shared" ca="1" si="137"/>
        <v>3645.9477841953208</v>
      </c>
      <c r="AZ161" s="58">
        <f t="shared" ca="1" si="137"/>
        <v>3844.6796462626544</v>
      </c>
    </row>
    <row r="162" spans="2:52" s="1" customFormat="1">
      <c r="E162" s="10"/>
      <c r="F162" s="10"/>
      <c r="G162" s="10"/>
      <c r="H162" s="10"/>
      <c r="I162" s="10"/>
      <c r="J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</row>
    <row r="163" spans="2:52" s="1" customFormat="1">
      <c r="B163" s="1" t="s">
        <v>170</v>
      </c>
      <c r="E163" s="10"/>
      <c r="F163" s="4"/>
      <c r="G163" s="4"/>
      <c r="H163" s="4"/>
      <c r="I163" s="4"/>
      <c r="J163" s="4">
        <f>+J159/IQ_IS!J75</f>
        <v>3.5585166578019294E-2</v>
      </c>
      <c r="K163" s="4">
        <f>+K159/IQ_IS!K75</f>
        <v>5.8826931210385347E-2</v>
      </c>
      <c r="L163" s="4">
        <f ca="1">+L159/IQ_IS!L75</f>
        <v>6.0394765782651183E-2</v>
      </c>
      <c r="M163" s="4">
        <f ca="1">+M159/IQ_IS!M75</f>
        <v>5.1335550915253512E-2</v>
      </c>
      <c r="N163" s="4">
        <f ca="1">+N159/IQ_IS!N75</f>
        <v>4.3635218277965473E-2</v>
      </c>
      <c r="O163" s="71"/>
      <c r="P163" s="71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183" t="str">
        <f>+IFERROR(AC159/IQ_IS!AC75,"-")</f>
        <v>-</v>
      </c>
      <c r="AD163" s="183" t="str">
        <f>+IFERROR(AD159/IQ_IS!AD75,"-")</f>
        <v>-</v>
      </c>
      <c r="AE163" s="183" t="str">
        <f>+IFERROR(AE159/IQ_IS!AE75,"-")</f>
        <v>-</v>
      </c>
      <c r="AF163" s="183" t="str">
        <f>+IFERROR(AF159/IQ_IS!AF75,"-")</f>
        <v>-</v>
      </c>
      <c r="AG163" s="183">
        <f>+IFERROR(AG159/IQ_IS!AG75,"-")</f>
        <v>5.1922192993162475E-2</v>
      </c>
      <c r="AH163" s="183" t="str">
        <f>+IFERROR(AH159/IQ_IS!AH75,"-")</f>
        <v>-</v>
      </c>
      <c r="AI163" s="183">
        <f>+IFERROR(AI159/IQ_IS!AI75,"-")</f>
        <v>3.0688092910976482E-2</v>
      </c>
      <c r="AJ163" s="183">
        <f>+IFERROR(AJ159/IQ_IS!AJ75,"-")</f>
        <v>3.1685443577985722E-2</v>
      </c>
      <c r="AK163" s="183">
        <f>+IFERROR(AK159/IQ_IS!AK75,"-")</f>
        <v>7.7824635798533146E-2</v>
      </c>
      <c r="AL163" s="183">
        <f>+IFERROR(AL159/IQ_IS!AL75,"-")</f>
        <v>5.9075336330954797E-2</v>
      </c>
      <c r="AM163" s="183">
        <f>+IFERROR(AM159/IQ_IS!AM75,"-")</f>
        <v>5.1625990312656113E-2</v>
      </c>
      <c r="AN163" s="183">
        <f>+IFERROR(AN159/IQ_IS!AN75,"-")</f>
        <v>5.3053100688460662E-2</v>
      </c>
      <c r="AO163" s="66">
        <f>AVERAGE(AK163:AN163)</f>
        <v>6.0394765782651183E-2</v>
      </c>
      <c r="AP163" s="66">
        <f t="shared" ref="AP163:AR163" si="138">AO163</f>
        <v>6.0394765782651183E-2</v>
      </c>
      <c r="AQ163" s="66">
        <f t="shared" si="138"/>
        <v>6.0394765782651183E-2</v>
      </c>
      <c r="AR163" s="66">
        <f t="shared" si="138"/>
        <v>6.0394765782651183E-2</v>
      </c>
      <c r="AS163" s="66">
        <f>AO163*0.85</f>
        <v>5.1335550915253506E-2</v>
      </c>
      <c r="AT163" s="66">
        <f t="shared" ref="AT163:AZ163" si="139">AP163*0.85</f>
        <v>5.1335550915253506E-2</v>
      </c>
      <c r="AU163" s="66">
        <f t="shared" si="139"/>
        <v>5.1335550915253506E-2</v>
      </c>
      <c r="AV163" s="66">
        <f t="shared" si="139"/>
        <v>5.1335550915253506E-2</v>
      </c>
      <c r="AW163" s="66">
        <f t="shared" si="139"/>
        <v>4.363521827796548E-2</v>
      </c>
      <c r="AX163" s="66">
        <f t="shared" si="139"/>
        <v>4.363521827796548E-2</v>
      </c>
      <c r="AY163" s="66">
        <f t="shared" si="139"/>
        <v>4.363521827796548E-2</v>
      </c>
      <c r="AZ163" s="66">
        <f t="shared" si="139"/>
        <v>4.363521827796548E-2</v>
      </c>
    </row>
    <row r="164" spans="2:52" s="1" customFormat="1">
      <c r="B164" s="1" t="s">
        <v>169</v>
      </c>
      <c r="E164" s="10"/>
      <c r="F164" s="4"/>
      <c r="G164" s="4"/>
      <c r="H164" s="4"/>
      <c r="I164" s="4"/>
      <c r="J164" s="4">
        <f t="shared" ref="J164:N164" ca="1" si="140">+J158/J$157</f>
        <v>0.68928720018891054</v>
      </c>
      <c r="K164" s="4">
        <f t="shared" ca="1" si="140"/>
        <v>0.6470954783934304</v>
      </c>
      <c r="L164" s="4">
        <f t="shared" ca="1" si="140"/>
        <v>0.41115128468934464</v>
      </c>
      <c r="M164" s="4">
        <f t="shared" ca="1" si="140"/>
        <v>0.36255447228845078</v>
      </c>
      <c r="N164" s="4">
        <f t="shared" ca="1" si="140"/>
        <v>0.34597329855861009</v>
      </c>
      <c r="O164" s="71"/>
      <c r="P164" s="71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>
        <f t="shared" ref="AC164:AN164" ca="1" si="141">+AC158/AC157</f>
        <v>0.14884046515366683</v>
      </c>
      <c r="AD164" s="4">
        <f t="shared" ca="1" si="141"/>
        <v>0.14204253061302768</v>
      </c>
      <c r="AE164" s="4">
        <f t="shared" ca="1" si="141"/>
        <v>0.13583843299322015</v>
      </c>
      <c r="AF164" s="4">
        <f t="shared" ca="1" si="141"/>
        <v>0.13015361635450376</v>
      </c>
      <c r="AG164" s="4">
        <f t="shared" ca="1" si="141"/>
        <v>0.17232180004722761</v>
      </c>
      <c r="AH164" s="4">
        <f t="shared" ca="1" si="141"/>
        <v>0.16362317262232698</v>
      </c>
      <c r="AI164" s="4">
        <f t="shared" ca="1" si="141"/>
        <v>0.15576054056141789</v>
      </c>
      <c r="AJ164" s="4">
        <f t="shared" ca="1" si="141"/>
        <v>0.14861891258640886</v>
      </c>
      <c r="AK164" s="4">
        <f t="shared" ca="1" si="141"/>
        <v>0.16177386959835752</v>
      </c>
      <c r="AL164" s="4">
        <f t="shared" ca="1" si="141"/>
        <v>0.1217194161308113</v>
      </c>
      <c r="AM164" s="4">
        <f t="shared" ca="1" si="141"/>
        <v>9.756321934213516E-2</v>
      </c>
      <c r="AN164" s="4">
        <f t="shared" ca="1" si="141"/>
        <v>8.1407288418532814E-2</v>
      </c>
      <c r="AO164" s="66">
        <v>0.08</v>
      </c>
      <c r="AP164" s="66">
        <f t="shared" ref="AP164" si="142">AO164</f>
        <v>0.08</v>
      </c>
      <c r="AQ164" s="66">
        <f t="shared" ref="AQ164" si="143">AP164</f>
        <v>0.08</v>
      </c>
      <c r="AR164" s="66">
        <f t="shared" ref="AR164" si="144">AQ164</f>
        <v>0.08</v>
      </c>
      <c r="AS164" s="66">
        <f>AR164</f>
        <v>0.08</v>
      </c>
      <c r="AT164" s="66">
        <f t="shared" ref="AT164:AZ164" si="145">AS164</f>
        <v>0.08</v>
      </c>
      <c r="AU164" s="66">
        <f t="shared" si="145"/>
        <v>0.08</v>
      </c>
      <c r="AV164" s="66">
        <f t="shared" si="145"/>
        <v>0.08</v>
      </c>
      <c r="AW164" s="66">
        <f t="shared" si="145"/>
        <v>0.08</v>
      </c>
      <c r="AX164" s="66">
        <f t="shared" si="145"/>
        <v>0.08</v>
      </c>
      <c r="AY164" s="66">
        <f t="shared" si="145"/>
        <v>0.08</v>
      </c>
      <c r="AZ164" s="66">
        <f t="shared" si="145"/>
        <v>0.08</v>
      </c>
    </row>
    <row r="165" spans="2:52" s="1" customFormat="1">
      <c r="I165" s="10"/>
      <c r="AC165" s="10"/>
      <c r="AG165" s="40"/>
      <c r="AH165" s="40"/>
      <c r="AI165" s="40"/>
      <c r="AJ165" s="40"/>
    </row>
    <row r="166" spans="2:52" s="1" customFormat="1">
      <c r="B166" s="8" t="s">
        <v>166</v>
      </c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12"/>
      <c r="AH166" s="12"/>
      <c r="AI166" s="12"/>
      <c r="AJ166" s="1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</row>
    <row r="167" spans="2:52" s="1" customFormat="1">
      <c r="B167" s="1" t="s">
        <v>165</v>
      </c>
      <c r="E167" s="58"/>
      <c r="F167" s="58"/>
      <c r="G167" s="58"/>
      <c r="H167" s="58"/>
      <c r="I167" s="58">
        <f ca="1">I171-I170-I169+I168</f>
        <v>585.27600000000007</v>
      </c>
      <c r="J167" s="58">
        <f ca="1">J171-J170-J169+J168</f>
        <v>443.09700000000004</v>
      </c>
      <c r="K167" s="58">
        <f t="shared" ref="K167:N167" ca="1" si="146">+J171</f>
        <v>382.97500000000002</v>
      </c>
      <c r="L167" s="58">
        <f t="shared" ca="1" si="146"/>
        <v>428.005</v>
      </c>
      <c r="M167" s="58">
        <f t="shared" ca="1" si="146"/>
        <v>467.49210981871153</v>
      </c>
      <c r="N167" s="58">
        <f t="shared" ca="1" si="146"/>
        <v>531.40476341357214</v>
      </c>
      <c r="O167" s="58"/>
      <c r="P167" s="58"/>
      <c r="Q167" s="67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>
        <f ca="1">I167</f>
        <v>585.27600000000007</v>
      </c>
      <c r="AD167" s="58">
        <f t="shared" ref="AD167" ca="1" si="147">+AC171</f>
        <v>549.73125000000005</v>
      </c>
      <c r="AE167" s="58">
        <f t="shared" ref="AE167" ca="1" si="148">+AD171</f>
        <v>514.18650000000002</v>
      </c>
      <c r="AF167" s="58">
        <f t="shared" ref="AF167" ca="1" si="149">+AE171</f>
        <v>478.64175</v>
      </c>
      <c r="AG167" s="58">
        <f t="shared" ref="AG167" ca="1" si="150">+AF171</f>
        <v>443.09699999999998</v>
      </c>
      <c r="AH167" s="58">
        <f t="shared" ref="AH167" ca="1" si="151">+AG171</f>
        <v>428.06649999999996</v>
      </c>
      <c r="AI167" s="58">
        <f t="shared" ref="AI167" ca="1" si="152">+AH171</f>
        <v>413.03599999999994</v>
      </c>
      <c r="AJ167" s="58">
        <f t="shared" ref="AJ167" ca="1" si="153">+AI171</f>
        <v>398.00549999999993</v>
      </c>
      <c r="AK167" s="58">
        <f t="shared" ref="AK167:AN167" ca="1" si="154">+AJ171</f>
        <v>382.97499999999991</v>
      </c>
      <c r="AL167" s="58">
        <f t="shared" ca="1" si="154"/>
        <v>394.2324999999999</v>
      </c>
      <c r="AM167" s="58">
        <f t="shared" ca="1" si="154"/>
        <v>405.4899999999999</v>
      </c>
      <c r="AN167" s="58">
        <f t="shared" ca="1" si="154"/>
        <v>416.74749999999989</v>
      </c>
      <c r="AO167" s="58">
        <f t="shared" ref="AO167:AZ167" ca="1" si="155">AN171</f>
        <v>428.00499999999988</v>
      </c>
      <c r="AP167" s="58">
        <f t="shared" ca="1" si="155"/>
        <v>431.0906996589672</v>
      </c>
      <c r="AQ167" s="58">
        <f t="shared" ca="1" si="155"/>
        <v>440.85758596867123</v>
      </c>
      <c r="AR167" s="58">
        <f t="shared" ca="1" si="155"/>
        <v>455.15736227772442</v>
      </c>
      <c r="AS167" s="58">
        <f t="shared" ca="1" si="155"/>
        <v>467.49210981871153</v>
      </c>
      <c r="AT167" s="58">
        <f t="shared" ca="1" si="155"/>
        <v>477.06052358546071</v>
      </c>
      <c r="AU167" s="58">
        <f t="shared" ca="1" si="155"/>
        <v>492.85949052450371</v>
      </c>
      <c r="AV167" s="58">
        <f t="shared" ca="1" si="155"/>
        <v>512.99236627144012</v>
      </c>
      <c r="AW167" s="58">
        <f t="shared" ca="1" si="155"/>
        <v>531.40476341357214</v>
      </c>
      <c r="AX167" s="58">
        <f t="shared" ca="1" si="155"/>
        <v>546.59018811052226</v>
      </c>
      <c r="AY167" s="58">
        <f t="shared" ca="1" si="155"/>
        <v>567.92403982310543</v>
      </c>
      <c r="AZ167" s="58">
        <f t="shared" ca="1" si="155"/>
        <v>593.31227319016557</v>
      </c>
    </row>
    <row r="168" spans="2:52" s="1" customFormat="1">
      <c r="B168" s="11" t="s">
        <v>164</v>
      </c>
      <c r="E168" s="58"/>
      <c r="F168" s="58"/>
      <c r="G168" s="58"/>
      <c r="H168" s="58"/>
      <c r="I168" s="58">
        <f>I65</f>
        <v>172.78800000000001</v>
      </c>
      <c r="J168" s="58">
        <f>J65</f>
        <v>102.242</v>
      </c>
      <c r="K168" s="58">
        <f>K65</f>
        <v>112.86</v>
      </c>
      <c r="L168" s="58">
        <f t="shared" ref="L168:N170" ca="1" si="156">SUM(OFFSET($P168,0,L$1,1,4))</f>
        <v>123.96697715092357</v>
      </c>
      <c r="M168" s="58">
        <f t="shared" ca="1" si="156"/>
        <v>137.7609720277498</v>
      </c>
      <c r="N168" s="58">
        <f t="shared" ca="1" si="156"/>
        <v>158.16138506015449</v>
      </c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>
        <f>I168/4</f>
        <v>43.197000000000003</v>
      </c>
      <c r="AD168" s="58">
        <f>AC168</f>
        <v>43.197000000000003</v>
      </c>
      <c r="AE168" s="58">
        <f t="shared" ref="AE168:AF168" si="157">AD168</f>
        <v>43.197000000000003</v>
      </c>
      <c r="AF168" s="58">
        <f t="shared" si="157"/>
        <v>43.197000000000003</v>
      </c>
      <c r="AG168" s="58">
        <f>J168/4</f>
        <v>25.560500000000001</v>
      </c>
      <c r="AH168" s="58">
        <f>AG168</f>
        <v>25.560500000000001</v>
      </c>
      <c r="AI168" s="58">
        <f t="shared" ref="AI168:AJ168" si="158">AH168</f>
        <v>25.560500000000001</v>
      </c>
      <c r="AJ168" s="58">
        <f t="shared" si="158"/>
        <v>25.560500000000001</v>
      </c>
      <c r="AK168" s="58">
        <f>K168/4</f>
        <v>28.215</v>
      </c>
      <c r="AL168" s="58">
        <f t="shared" ref="AL168:AN170" si="159">AK168</f>
        <v>28.215</v>
      </c>
      <c r="AM168" s="58">
        <f t="shared" si="159"/>
        <v>28.215</v>
      </c>
      <c r="AN168" s="58">
        <f t="shared" si="159"/>
        <v>28.215</v>
      </c>
      <c r="AO168" s="58">
        <f ca="1">+AO175*AO167</f>
        <v>30.230849615551982</v>
      </c>
      <c r="AP168" s="58">
        <f t="shared" ref="AP168:AZ168" ca="1" si="160">+AP175*AP167</f>
        <v>30.448798757148463</v>
      </c>
      <c r="AQ168" s="58">
        <f t="shared" ca="1" si="160"/>
        <v>31.138653481370973</v>
      </c>
      <c r="AR168" s="58">
        <f t="shared" ca="1" si="160"/>
        <v>32.148675296852147</v>
      </c>
      <c r="AS168" s="58">
        <f t="shared" ca="1" si="160"/>
        <v>33.019903198295779</v>
      </c>
      <c r="AT168" s="58">
        <f t="shared" ca="1" si="160"/>
        <v>33.695739409653058</v>
      </c>
      <c r="AU168" s="58">
        <f t="shared" ca="1" si="160"/>
        <v>34.811652059307349</v>
      </c>
      <c r="AV168" s="58">
        <f t="shared" ca="1" si="160"/>
        <v>36.233677360493623</v>
      </c>
      <c r="AW168" s="58">
        <f t="shared" ca="1" si="160"/>
        <v>37.534181815034131</v>
      </c>
      <c r="AX168" s="58">
        <f t="shared" ca="1" si="160"/>
        <v>38.606758748391897</v>
      </c>
      <c r="AY168" s="58">
        <f t="shared" ca="1" si="160"/>
        <v>40.113611385261997</v>
      </c>
      <c r="AZ168" s="58">
        <f t="shared" ca="1" si="160"/>
        <v>41.90683311146644</v>
      </c>
    </row>
    <row r="169" spans="2:52" s="1" customFormat="1">
      <c r="B169" s="1" t="s">
        <v>162</v>
      </c>
      <c r="E169" s="58"/>
      <c r="F169" s="67"/>
      <c r="G169" s="67"/>
      <c r="H169" s="67"/>
      <c r="I169" s="58">
        <f>-I85</f>
        <v>30.609000000000002</v>
      </c>
      <c r="J169" s="58">
        <f>-J85</f>
        <v>42.12</v>
      </c>
      <c r="K169" s="58">
        <f>-K85</f>
        <v>110.29</v>
      </c>
      <c r="L169" s="58">
        <f t="shared" ca="1" si="156"/>
        <v>163.45408696963517</v>
      </c>
      <c r="M169" s="58">
        <f t="shared" ca="1" si="156"/>
        <v>201.6736256226105</v>
      </c>
      <c r="N169" s="58">
        <f t="shared" ca="1" si="156"/>
        <v>244.24936488417484</v>
      </c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>
        <f>I169/4</f>
        <v>7.6522500000000004</v>
      </c>
      <c r="AD169" s="58">
        <f>AC169</f>
        <v>7.6522500000000004</v>
      </c>
      <c r="AE169" s="58">
        <f t="shared" ref="AE169:AF169" si="161">AD169</f>
        <v>7.6522500000000004</v>
      </c>
      <c r="AF169" s="58">
        <f t="shared" si="161"/>
        <v>7.6522500000000004</v>
      </c>
      <c r="AG169" s="58">
        <f>J169/4</f>
        <v>10.53</v>
      </c>
      <c r="AH169" s="58">
        <f>AG169</f>
        <v>10.53</v>
      </c>
      <c r="AI169" s="58">
        <f t="shared" ref="AI169:AJ169" si="162">AH169</f>
        <v>10.53</v>
      </c>
      <c r="AJ169" s="58">
        <f t="shared" si="162"/>
        <v>10.53</v>
      </c>
      <c r="AK169" s="58">
        <f>K169/4</f>
        <v>27.572500000000002</v>
      </c>
      <c r="AL169" s="58">
        <f t="shared" si="159"/>
        <v>27.572500000000002</v>
      </c>
      <c r="AM169" s="58">
        <f t="shared" si="159"/>
        <v>27.572500000000002</v>
      </c>
      <c r="AN169" s="58">
        <f t="shared" si="159"/>
        <v>27.572500000000002</v>
      </c>
      <c r="AO169" s="58">
        <f>AO176*IQ_IS!AO75</f>
        <v>33.316549274519254</v>
      </c>
      <c r="AP169" s="58">
        <f>AP176*IQ_IS!AP75</f>
        <v>40.215685066852465</v>
      </c>
      <c r="AQ169" s="58">
        <f>AQ176*IQ_IS!AQ75</f>
        <v>45.438429790424166</v>
      </c>
      <c r="AR169" s="58">
        <f>AR176*IQ_IS!AR75</f>
        <v>44.483422837839271</v>
      </c>
      <c r="AS169" s="58">
        <f>AS176*IQ_IS!AS75</f>
        <v>42.588316965044967</v>
      </c>
      <c r="AT169" s="58">
        <f>AT176*IQ_IS!AT75</f>
        <v>49.494706348696056</v>
      </c>
      <c r="AU169" s="58">
        <f>AU176*IQ_IS!AU75</f>
        <v>54.944527806243777</v>
      </c>
      <c r="AV169" s="58">
        <f>AV176*IQ_IS!AV75</f>
        <v>54.646074502625702</v>
      </c>
      <c r="AW169" s="58">
        <f>AW176*IQ_IS!AW75</f>
        <v>52.719606511984196</v>
      </c>
      <c r="AX169" s="58">
        <f>AX176*IQ_IS!AX75</f>
        <v>59.94061046097508</v>
      </c>
      <c r="AY169" s="58">
        <f>AY176*IQ_IS!AY75</f>
        <v>65.501844752322057</v>
      </c>
      <c r="AZ169" s="58">
        <f>AZ176*IQ_IS!AZ75</f>
        <v>66.087303158893533</v>
      </c>
    </row>
    <row r="170" spans="2:52" s="1" customFormat="1">
      <c r="B170" s="1" t="s">
        <v>161</v>
      </c>
      <c r="E170" s="58"/>
      <c r="F170" s="58"/>
      <c r="G170" s="58"/>
      <c r="H170" s="58"/>
      <c r="I170" s="64">
        <v>0</v>
      </c>
      <c r="J170" s="64">
        <v>0</v>
      </c>
      <c r="K170" s="58">
        <f ca="1">+K171-(K167-K168+K169)</f>
        <v>47.599999999999966</v>
      </c>
      <c r="L170" s="58">
        <f t="shared" ca="1" si="156"/>
        <v>0</v>
      </c>
      <c r="M170" s="58">
        <f t="shared" ca="1" si="156"/>
        <v>0</v>
      </c>
      <c r="N170" s="58">
        <f t="shared" ca="1" si="156"/>
        <v>0</v>
      </c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>
        <f>I170/4</f>
        <v>0</v>
      </c>
      <c r="AD170" s="58">
        <f>AC170</f>
        <v>0</v>
      </c>
      <c r="AE170" s="58">
        <f t="shared" ref="AE170:AF170" si="163">AD170</f>
        <v>0</v>
      </c>
      <c r="AF170" s="58">
        <f t="shared" si="163"/>
        <v>0</v>
      </c>
      <c r="AG170" s="58">
        <f>J170/4</f>
        <v>0</v>
      </c>
      <c r="AH170" s="58">
        <f>AG170</f>
        <v>0</v>
      </c>
      <c r="AI170" s="58">
        <f t="shared" ref="AI170:AJ170" si="164">AH170</f>
        <v>0</v>
      </c>
      <c r="AJ170" s="58">
        <f t="shared" si="164"/>
        <v>0</v>
      </c>
      <c r="AK170" s="58">
        <f ca="1">K170/4</f>
        <v>11.899999999999991</v>
      </c>
      <c r="AL170" s="58">
        <f t="shared" ca="1" si="159"/>
        <v>11.899999999999991</v>
      </c>
      <c r="AM170" s="58">
        <f t="shared" ca="1" si="159"/>
        <v>11.899999999999991</v>
      </c>
      <c r="AN170" s="58">
        <f t="shared" ca="1" si="159"/>
        <v>11.899999999999991</v>
      </c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</row>
    <row r="171" spans="2:52" s="1" customFormat="1">
      <c r="B171" s="1" t="s">
        <v>160</v>
      </c>
      <c r="E171" s="67">
        <v>928.51099999999997</v>
      </c>
      <c r="F171" s="58"/>
      <c r="G171" s="58"/>
      <c r="H171" s="58"/>
      <c r="I171" s="58">
        <f ca="1">J167</f>
        <v>443.09700000000004</v>
      </c>
      <c r="J171" s="58">
        <f ca="1">J17</f>
        <v>382.97500000000002</v>
      </c>
      <c r="K171" s="58">
        <f ca="1">K17</f>
        <v>428.005</v>
      </c>
      <c r="L171" s="58">
        <f t="shared" ref="L171:N171" ca="1" si="165">L17</f>
        <v>467.49210981871153</v>
      </c>
      <c r="M171" s="58">
        <f t="shared" ca="1" si="165"/>
        <v>531.40476341357214</v>
      </c>
      <c r="N171" s="58">
        <f t="shared" ca="1" si="165"/>
        <v>617.49274323759266</v>
      </c>
      <c r="O171" s="58"/>
      <c r="P171" s="58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58">
        <f ca="1">AC167-AC168+AC169+AC170</f>
        <v>549.73125000000005</v>
      </c>
      <c r="AD171" s="58">
        <f t="shared" ref="AD171" ca="1" si="166">AD167-AD168+AD169+AD170</f>
        <v>514.18650000000002</v>
      </c>
      <c r="AE171" s="58">
        <f t="shared" ref="AE171" ca="1" si="167">AE167-AE168+AE169+AE170</f>
        <v>478.64175</v>
      </c>
      <c r="AF171" s="58">
        <f t="shared" ref="AF171" ca="1" si="168">AF167-AF168+AF169+AF170</f>
        <v>443.09699999999998</v>
      </c>
      <c r="AG171" s="58">
        <f t="shared" ref="AG171" ca="1" si="169">AG167-AG168+AG169+AG170</f>
        <v>428.06649999999996</v>
      </c>
      <c r="AH171" s="58">
        <f t="shared" ref="AH171" ca="1" si="170">AH167-AH168+AH169+AH170</f>
        <v>413.03599999999994</v>
      </c>
      <c r="AI171" s="58">
        <f t="shared" ref="AI171" ca="1" si="171">AI167-AI168+AI169+AI170</f>
        <v>398.00549999999993</v>
      </c>
      <c r="AJ171" s="58">
        <f t="shared" ref="AJ171" ca="1" si="172">AJ167-AJ168+AJ169+AJ170</f>
        <v>382.97499999999991</v>
      </c>
      <c r="AK171" s="58">
        <f ca="1">AK167-AK168+AK169+AK170</f>
        <v>394.2324999999999</v>
      </c>
      <c r="AL171" s="58">
        <f t="shared" ref="AL171:AN171" ca="1" si="173">AL167-AL168+AL169+AL170</f>
        <v>405.4899999999999</v>
      </c>
      <c r="AM171" s="58">
        <f t="shared" ca="1" si="173"/>
        <v>416.74749999999989</v>
      </c>
      <c r="AN171" s="58">
        <f t="shared" ca="1" si="173"/>
        <v>428.00499999999988</v>
      </c>
      <c r="AO171" s="58">
        <f ca="1">+AO167-AO168+AO169</f>
        <v>431.0906996589672</v>
      </c>
      <c r="AP171" s="58">
        <f t="shared" ref="AP171:AZ171" ca="1" si="174">+AP167-AP168+AP169</f>
        <v>440.85758596867123</v>
      </c>
      <c r="AQ171" s="58">
        <f t="shared" ca="1" si="174"/>
        <v>455.15736227772442</v>
      </c>
      <c r="AR171" s="58">
        <f t="shared" ca="1" si="174"/>
        <v>467.49210981871153</v>
      </c>
      <c r="AS171" s="58">
        <f t="shared" ca="1" si="174"/>
        <v>477.06052358546071</v>
      </c>
      <c r="AT171" s="58">
        <f t="shared" ca="1" si="174"/>
        <v>492.85949052450371</v>
      </c>
      <c r="AU171" s="58">
        <f t="shared" ca="1" si="174"/>
        <v>512.99236627144012</v>
      </c>
      <c r="AV171" s="58">
        <f t="shared" ca="1" si="174"/>
        <v>531.40476341357214</v>
      </c>
      <c r="AW171" s="58">
        <f t="shared" ca="1" si="174"/>
        <v>546.59018811052226</v>
      </c>
      <c r="AX171" s="58">
        <f t="shared" ca="1" si="174"/>
        <v>567.92403982310543</v>
      </c>
      <c r="AY171" s="58">
        <f t="shared" ca="1" si="174"/>
        <v>593.31227319016557</v>
      </c>
      <c r="AZ171" s="58">
        <f t="shared" ca="1" si="174"/>
        <v>617.49274323759266</v>
      </c>
    </row>
    <row r="172" spans="2:52" s="1" customFormat="1">
      <c r="E172" s="10"/>
      <c r="F172" s="10"/>
      <c r="G172" s="10"/>
      <c r="H172" s="10"/>
      <c r="I172" s="10"/>
      <c r="J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</row>
    <row r="173" spans="2:52" s="1" customFormat="1">
      <c r="B173" s="1" t="s">
        <v>520</v>
      </c>
      <c r="E173" s="10"/>
      <c r="F173" s="10"/>
      <c r="G173" s="10"/>
      <c r="H173" s="10"/>
      <c r="I173" s="10"/>
      <c r="J173" s="10"/>
      <c r="L173" s="67">
        <v>86.272000000000006</v>
      </c>
      <c r="M173" s="67">
        <v>78.545000000000002</v>
      </c>
      <c r="N173" s="67">
        <v>65.942999999999998</v>
      </c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O173" s="58">
        <f>L173/4</f>
        <v>21.568000000000001</v>
      </c>
      <c r="AP173" s="58">
        <f>AO173</f>
        <v>21.568000000000001</v>
      </c>
      <c r="AQ173" s="58">
        <f t="shared" ref="AQ173:AR173" si="175">AP173</f>
        <v>21.568000000000001</v>
      </c>
      <c r="AR173" s="58">
        <f t="shared" si="175"/>
        <v>21.568000000000001</v>
      </c>
      <c r="AS173" s="58">
        <f>M173/4</f>
        <v>19.63625</v>
      </c>
      <c r="AT173" s="58">
        <f>AS173</f>
        <v>19.63625</v>
      </c>
      <c r="AU173" s="58">
        <f t="shared" ref="AU173:AV173" si="176">AT173</f>
        <v>19.63625</v>
      </c>
      <c r="AV173" s="58">
        <f t="shared" si="176"/>
        <v>19.63625</v>
      </c>
      <c r="AW173" s="58">
        <f>N173/4</f>
        <v>16.485749999999999</v>
      </c>
      <c r="AX173" s="58">
        <f>AW173</f>
        <v>16.485749999999999</v>
      </c>
      <c r="AY173" s="58">
        <f t="shared" ref="AY173:AZ173" si="177">AX173</f>
        <v>16.485749999999999</v>
      </c>
      <c r="AZ173" s="58">
        <f t="shared" si="177"/>
        <v>16.485749999999999</v>
      </c>
    </row>
    <row r="174" spans="2:52" s="1" customFormat="1">
      <c r="E174" s="10"/>
      <c r="F174" s="10"/>
      <c r="G174" s="10"/>
      <c r="H174" s="10"/>
      <c r="I174" s="10"/>
      <c r="J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</row>
    <row r="175" spans="2:52" s="1" customFormat="1">
      <c r="B175" s="11" t="s">
        <v>158</v>
      </c>
      <c r="E175" s="10"/>
      <c r="F175" s="4"/>
      <c r="G175" s="4"/>
      <c r="H175" s="4"/>
      <c r="I175" s="4"/>
      <c r="J175" s="4">
        <f ca="1">J168/J167</f>
        <v>0.23074405829874722</v>
      </c>
      <c r="K175" s="4">
        <f ca="1">K168/K167</f>
        <v>0.29469286506952147</v>
      </c>
      <c r="L175" s="4">
        <f ca="1">L168/L167</f>
        <v>0.28963908634460711</v>
      </c>
      <c r="M175" s="4">
        <f t="shared" ref="M175:N175" ca="1" si="178">M168/M167</f>
        <v>0.29468084943973072</v>
      </c>
      <c r="N175" s="4">
        <f t="shared" ca="1" si="178"/>
        <v>0.29762884330237643</v>
      </c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>
        <f t="shared" ref="AC175:AN175" ca="1" si="179">AC168/AC167</f>
        <v>7.3806204252352736E-2</v>
      </c>
      <c r="AD175" s="4">
        <f t="shared" ca="1" si="179"/>
        <v>7.8578396261809749E-2</v>
      </c>
      <c r="AE175" s="4">
        <f t="shared" ca="1" si="179"/>
        <v>8.4010373667920107E-2</v>
      </c>
      <c r="AF175" s="4">
        <f t="shared" ca="1" si="179"/>
        <v>9.0249126826065632E-2</v>
      </c>
      <c r="AG175" s="4">
        <f t="shared" ca="1" si="179"/>
        <v>5.7686014574686813E-2</v>
      </c>
      <c r="AH175" s="4">
        <f t="shared" ca="1" si="179"/>
        <v>5.9711516785359291E-2</v>
      </c>
      <c r="AI175" s="4">
        <f t="shared" ca="1" si="179"/>
        <v>6.1884436223476898E-2</v>
      </c>
      <c r="AJ175" s="4">
        <f t="shared" ca="1" si="179"/>
        <v>6.4221474326359829E-2</v>
      </c>
      <c r="AK175" s="4">
        <f t="shared" ca="1" si="179"/>
        <v>7.3673216267380395E-2</v>
      </c>
      <c r="AL175" s="4">
        <f t="shared" ca="1" si="179"/>
        <v>7.1569441890255131E-2</v>
      </c>
      <c r="AM175" s="4">
        <f t="shared" ca="1" si="179"/>
        <v>6.9582480455744916E-2</v>
      </c>
      <c r="AN175" s="4">
        <f t="shared" ca="1" si="179"/>
        <v>6.7702865644065066E-2</v>
      </c>
      <c r="AO175" s="66">
        <f ca="1">+AVERAGE(AK175:AN175)</f>
        <v>7.0632001064361377E-2</v>
      </c>
      <c r="AP175" s="66">
        <f t="shared" ref="AP175:AR175" ca="1" si="180">AO175</f>
        <v>7.0632001064361377E-2</v>
      </c>
      <c r="AQ175" s="66">
        <f t="shared" ca="1" si="180"/>
        <v>7.0632001064361377E-2</v>
      </c>
      <c r="AR175" s="66">
        <f t="shared" ca="1" si="180"/>
        <v>7.0632001064361377E-2</v>
      </c>
      <c r="AS175" s="66">
        <f ca="1">AR175</f>
        <v>7.0632001064361377E-2</v>
      </c>
      <c r="AT175" s="66">
        <f t="shared" ref="AT175:AZ175" ca="1" si="181">AS175</f>
        <v>7.0632001064361377E-2</v>
      </c>
      <c r="AU175" s="66">
        <f t="shared" ca="1" si="181"/>
        <v>7.0632001064361377E-2</v>
      </c>
      <c r="AV175" s="66">
        <f t="shared" ca="1" si="181"/>
        <v>7.0632001064361377E-2</v>
      </c>
      <c r="AW175" s="66">
        <f t="shared" ca="1" si="181"/>
        <v>7.0632001064361377E-2</v>
      </c>
      <c r="AX175" s="66">
        <f t="shared" ca="1" si="181"/>
        <v>7.0632001064361377E-2</v>
      </c>
      <c r="AY175" s="66">
        <f t="shared" ca="1" si="181"/>
        <v>7.0632001064361377E-2</v>
      </c>
      <c r="AZ175" s="66">
        <f t="shared" ca="1" si="181"/>
        <v>7.0632001064361377E-2</v>
      </c>
    </row>
    <row r="176" spans="2:52" s="1" customFormat="1">
      <c r="B176" s="1" t="s">
        <v>157</v>
      </c>
      <c r="E176" s="10"/>
      <c r="F176" s="4"/>
      <c r="G176" s="4"/>
      <c r="H176" s="4"/>
      <c r="I176" s="4"/>
      <c r="J176" s="4">
        <f>J169/IQ_IS!J75</f>
        <v>3.7481956469139189E-3</v>
      </c>
      <c r="K176" s="4">
        <f>K169/IQ_IS!K75</f>
        <v>6.3464022763956313E-3</v>
      </c>
      <c r="L176" s="4">
        <f ca="1">L169/IQ_IS!L75</f>
        <v>6.5155443460856973E-3</v>
      </c>
      <c r="M176" s="4">
        <f ca="1">M169/IQ_IS!M75</f>
        <v>6.1897671287814123E-3</v>
      </c>
      <c r="N176" s="4">
        <f ca="1">N169/IQ_IS!N75</f>
        <v>5.8802787723423386E-3</v>
      </c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183" t="str">
        <f>IFERROR(AC169/IQ_IS!AC75,"-")</f>
        <v>-</v>
      </c>
      <c r="AD176" s="183" t="str">
        <f>IFERROR(AD169/IQ_IS!AD75,"-")</f>
        <v>-</v>
      </c>
      <c r="AE176" s="183" t="str">
        <f>IFERROR(AE169/IQ_IS!AE75,"-")</f>
        <v>-</v>
      </c>
      <c r="AF176" s="183" t="str">
        <f>IFERROR(AF169/IQ_IS!AF75,"-")</f>
        <v>-</v>
      </c>
      <c r="AG176" s="183">
        <f>IFERROR(AG169/IQ_IS!AG75,"-")</f>
        <v>5.468979253715452E-3</v>
      </c>
      <c r="AH176" s="183" t="str">
        <f>IFERROR(AH169/IQ_IS!AH75,"-")</f>
        <v>-</v>
      </c>
      <c r="AI176" s="183">
        <f>IFERROR(AI169/IQ_IS!AI75,"-")</f>
        <v>3.2323854943554506E-3</v>
      </c>
      <c r="AJ176" s="183">
        <f>IFERROR(AJ169/IQ_IS!AJ75,"-")</f>
        <v>3.3374367218194194E-3</v>
      </c>
      <c r="AK176" s="183">
        <f>IFERROR(AK169/IQ_IS!AK75,"-")</f>
        <v>8.3959240373272636E-3</v>
      </c>
      <c r="AL176" s="183">
        <f>IFERROR(AL169/IQ_IS!AL75,"-")</f>
        <v>6.3732008666027642E-3</v>
      </c>
      <c r="AM176" s="183">
        <f>IFERROR(AM169/IQ_IS!AM75,"-")</f>
        <v>5.5695460514448509E-3</v>
      </c>
      <c r="AN176" s="183">
        <f>IFERROR(AN169/IQ_IS!AN75,"-")</f>
        <v>5.7235064289679078E-3</v>
      </c>
      <c r="AO176" s="66">
        <f>+AVERAGE(AK176:AN176)</f>
        <v>6.5155443460856964E-3</v>
      </c>
      <c r="AP176" s="66">
        <f t="shared" ref="AP176" si="182">AO176</f>
        <v>6.5155443460856964E-3</v>
      </c>
      <c r="AQ176" s="66">
        <f t="shared" ref="AQ176" si="183">AP176</f>
        <v>6.5155443460856964E-3</v>
      </c>
      <c r="AR176" s="66">
        <f t="shared" ref="AR176" si="184">AQ176</f>
        <v>6.5155443460856964E-3</v>
      </c>
      <c r="AS176" s="66">
        <f>AO176*0.95</f>
        <v>6.1897671287814114E-3</v>
      </c>
      <c r="AT176" s="66">
        <f t="shared" ref="AT176:AZ176" si="185">AP176*0.95</f>
        <v>6.1897671287814114E-3</v>
      </c>
      <c r="AU176" s="66">
        <f t="shared" si="185"/>
        <v>6.1897671287814114E-3</v>
      </c>
      <c r="AV176" s="66">
        <f t="shared" si="185"/>
        <v>6.1897671287814114E-3</v>
      </c>
      <c r="AW176" s="66">
        <f t="shared" si="185"/>
        <v>5.8802787723423403E-3</v>
      </c>
      <c r="AX176" s="66">
        <f t="shared" si="185"/>
        <v>5.8802787723423403E-3</v>
      </c>
      <c r="AY176" s="66">
        <f t="shared" si="185"/>
        <v>5.8802787723423403E-3</v>
      </c>
      <c r="AZ176" s="66">
        <f t="shared" si="185"/>
        <v>5.8802787723423403E-3</v>
      </c>
    </row>
    <row r="177" spans="2:52" s="1" customFormat="1">
      <c r="I177" s="10"/>
    </row>
    <row r="178" spans="2:52" s="1" customFormat="1">
      <c r="B178" s="8" t="s">
        <v>155</v>
      </c>
      <c r="I178" s="10"/>
    </row>
    <row r="179" spans="2:52" s="1" customFormat="1">
      <c r="B179" s="3" t="s">
        <v>367</v>
      </c>
      <c r="F179" s="58"/>
      <c r="G179" s="58"/>
      <c r="H179" s="58"/>
      <c r="I179" s="58">
        <f>I64</f>
        <v>222.19499999999999</v>
      </c>
      <c r="J179" s="58">
        <f>J158</f>
        <v>306.495</v>
      </c>
      <c r="K179" s="58">
        <f>K158</f>
        <v>348.92099999999999</v>
      </c>
      <c r="L179" s="58">
        <f t="shared" ref="L179:N181" ca="1" si="186">SUM(OFFSET($P179,0,L$1,1,4))</f>
        <v>513.51479773588142</v>
      </c>
      <c r="M179" s="58">
        <f t="shared" ca="1" si="186"/>
        <v>815.95202706012265</v>
      </c>
      <c r="N179" s="58">
        <f t="shared" ca="1" si="186"/>
        <v>1075.0135995931466</v>
      </c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>
        <f>AC158</f>
        <v>55.548749999999998</v>
      </c>
      <c r="AD179" s="58">
        <f t="shared" ref="AD179:AZ179" si="187">AD158</f>
        <v>55.548749999999998</v>
      </c>
      <c r="AE179" s="58">
        <f t="shared" si="187"/>
        <v>55.548749999999998</v>
      </c>
      <c r="AF179" s="58">
        <f t="shared" si="187"/>
        <v>55.548749999999998</v>
      </c>
      <c r="AG179" s="58">
        <f t="shared" si="187"/>
        <v>76.623750000000001</v>
      </c>
      <c r="AH179" s="58">
        <f t="shared" si="187"/>
        <v>76.623750000000001</v>
      </c>
      <c r="AI179" s="58">
        <f t="shared" si="187"/>
        <v>76.623750000000001</v>
      </c>
      <c r="AJ179" s="58">
        <f t="shared" si="187"/>
        <v>76.623750000000001</v>
      </c>
      <c r="AK179" s="58">
        <f t="shared" si="187"/>
        <v>87.230249999999998</v>
      </c>
      <c r="AL179" s="58">
        <f t="shared" si="187"/>
        <v>87.230249999999998</v>
      </c>
      <c r="AM179" s="58">
        <f t="shared" si="187"/>
        <v>87.230249999999998</v>
      </c>
      <c r="AN179" s="58">
        <f t="shared" si="187"/>
        <v>87.230249999999998</v>
      </c>
      <c r="AO179" s="58">
        <f t="shared" ca="1" si="187"/>
        <v>99.917440000000056</v>
      </c>
      <c r="AP179" s="58">
        <f t="shared" ca="1" si="187"/>
        <v>116.6298263370969</v>
      </c>
      <c r="AQ179" s="58">
        <f t="shared" ca="1" si="187"/>
        <v>137.121254051233</v>
      </c>
      <c r="AR179" s="58">
        <f t="shared" ca="1" si="187"/>
        <v>159.84627734755142</v>
      </c>
      <c r="AS179" s="58">
        <f t="shared" ca="1" si="187"/>
        <v>180.04511640081404</v>
      </c>
      <c r="AT179" s="58">
        <f t="shared" ca="1" si="187"/>
        <v>193.89839841880371</v>
      </c>
      <c r="AU179" s="58">
        <f t="shared" ca="1" si="187"/>
        <v>211.22573312526296</v>
      </c>
      <c r="AV179" s="58">
        <f t="shared" ca="1" si="187"/>
        <v>230.78277911524196</v>
      </c>
      <c r="AW179" s="58">
        <f t="shared" ca="1" si="187"/>
        <v>248.57724086150139</v>
      </c>
      <c r="AX179" s="58">
        <f t="shared" ca="1" si="187"/>
        <v>259.98796606587081</v>
      </c>
      <c r="AY179" s="58">
        <f t="shared" ca="1" si="187"/>
        <v>274.77256993014873</v>
      </c>
      <c r="AZ179" s="58">
        <f t="shared" ca="1" si="187"/>
        <v>291.67582273562567</v>
      </c>
    </row>
    <row r="180" spans="2:52" s="1" customFormat="1">
      <c r="B180" s="3" t="str">
        <f>B168</f>
        <v>Amortization of Intangible Assets</v>
      </c>
      <c r="F180" s="58"/>
      <c r="G180" s="58"/>
      <c r="H180" s="58"/>
      <c r="I180" s="58">
        <f>I65</f>
        <v>172.78800000000001</v>
      </c>
      <c r="J180" s="58">
        <f>J168</f>
        <v>102.242</v>
      </c>
      <c r="K180" s="58">
        <f>K168</f>
        <v>112.86</v>
      </c>
      <c r="L180" s="58">
        <f t="shared" ca="1" si="186"/>
        <v>123.96697715092357</v>
      </c>
      <c r="M180" s="58">
        <f t="shared" ca="1" si="186"/>
        <v>137.7609720277498</v>
      </c>
      <c r="N180" s="58">
        <f t="shared" ca="1" si="186"/>
        <v>158.16138506015449</v>
      </c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>
        <f>AC168</f>
        <v>43.197000000000003</v>
      </c>
      <c r="AD180" s="58">
        <f t="shared" ref="AD180:AZ180" si="188">AD168</f>
        <v>43.197000000000003</v>
      </c>
      <c r="AE180" s="58">
        <f t="shared" si="188"/>
        <v>43.197000000000003</v>
      </c>
      <c r="AF180" s="58">
        <f t="shared" si="188"/>
        <v>43.197000000000003</v>
      </c>
      <c r="AG180" s="58">
        <f t="shared" si="188"/>
        <v>25.560500000000001</v>
      </c>
      <c r="AH180" s="58">
        <f t="shared" si="188"/>
        <v>25.560500000000001</v>
      </c>
      <c r="AI180" s="58">
        <f t="shared" si="188"/>
        <v>25.560500000000001</v>
      </c>
      <c r="AJ180" s="58">
        <f t="shared" si="188"/>
        <v>25.560500000000001</v>
      </c>
      <c r="AK180" s="58">
        <f t="shared" si="188"/>
        <v>28.215</v>
      </c>
      <c r="AL180" s="58">
        <f t="shared" si="188"/>
        <v>28.215</v>
      </c>
      <c r="AM180" s="58">
        <f t="shared" si="188"/>
        <v>28.215</v>
      </c>
      <c r="AN180" s="58">
        <f t="shared" si="188"/>
        <v>28.215</v>
      </c>
      <c r="AO180" s="58">
        <f t="shared" ca="1" si="188"/>
        <v>30.230849615551982</v>
      </c>
      <c r="AP180" s="58">
        <f t="shared" ca="1" si="188"/>
        <v>30.448798757148463</v>
      </c>
      <c r="AQ180" s="58">
        <f t="shared" ca="1" si="188"/>
        <v>31.138653481370973</v>
      </c>
      <c r="AR180" s="58">
        <f t="shared" ca="1" si="188"/>
        <v>32.148675296852147</v>
      </c>
      <c r="AS180" s="58">
        <f t="shared" ca="1" si="188"/>
        <v>33.019903198295779</v>
      </c>
      <c r="AT180" s="58">
        <f t="shared" ca="1" si="188"/>
        <v>33.695739409653058</v>
      </c>
      <c r="AU180" s="58">
        <f t="shared" ca="1" si="188"/>
        <v>34.811652059307349</v>
      </c>
      <c r="AV180" s="58">
        <f t="shared" ca="1" si="188"/>
        <v>36.233677360493623</v>
      </c>
      <c r="AW180" s="58">
        <f t="shared" ca="1" si="188"/>
        <v>37.534181815034131</v>
      </c>
      <c r="AX180" s="58">
        <f t="shared" ca="1" si="188"/>
        <v>38.606758748391897</v>
      </c>
      <c r="AY180" s="58">
        <f t="shared" ca="1" si="188"/>
        <v>40.113611385261997</v>
      </c>
      <c r="AZ180" s="58">
        <f t="shared" ca="1" si="188"/>
        <v>41.90683311146644</v>
      </c>
    </row>
    <row r="181" spans="2:52" s="1" customFormat="1">
      <c r="B181" s="3" t="s">
        <v>87</v>
      </c>
      <c r="F181" s="58"/>
      <c r="G181" s="58"/>
      <c r="H181" s="58"/>
      <c r="I181" s="58">
        <f>SUM(I179:I180)</f>
        <v>394.983</v>
      </c>
      <c r="J181" s="58">
        <f>SUM(J179:J180)</f>
        <v>408.73700000000002</v>
      </c>
      <c r="K181" s="58">
        <f>SUM(K179:K180)</f>
        <v>461.78100000000001</v>
      </c>
      <c r="L181" s="58">
        <f t="shared" ca="1" si="186"/>
        <v>637.48177488680494</v>
      </c>
      <c r="M181" s="58">
        <f t="shared" ca="1" si="186"/>
        <v>953.7129990878725</v>
      </c>
      <c r="N181" s="58">
        <f t="shared" ca="1" si="186"/>
        <v>1233.1749846533012</v>
      </c>
      <c r="O181" s="58"/>
      <c r="P181" s="58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58">
        <f>SUM(AC179:AC180)</f>
        <v>98.745750000000001</v>
      </c>
      <c r="AD181" s="58">
        <f t="shared" ref="AD181:AZ181" si="189">SUM(AD179:AD180)</f>
        <v>98.745750000000001</v>
      </c>
      <c r="AE181" s="58">
        <f t="shared" si="189"/>
        <v>98.745750000000001</v>
      </c>
      <c r="AF181" s="58">
        <f t="shared" si="189"/>
        <v>98.745750000000001</v>
      </c>
      <c r="AG181" s="58">
        <f t="shared" si="189"/>
        <v>102.18425000000001</v>
      </c>
      <c r="AH181" s="58">
        <f t="shared" si="189"/>
        <v>102.18425000000001</v>
      </c>
      <c r="AI181" s="58">
        <f t="shared" si="189"/>
        <v>102.18425000000001</v>
      </c>
      <c r="AJ181" s="58">
        <f t="shared" si="189"/>
        <v>102.18425000000001</v>
      </c>
      <c r="AK181" s="58">
        <f t="shared" si="189"/>
        <v>115.44525</v>
      </c>
      <c r="AL181" s="58">
        <f t="shared" si="189"/>
        <v>115.44525</v>
      </c>
      <c r="AM181" s="58">
        <f t="shared" si="189"/>
        <v>115.44525</v>
      </c>
      <c r="AN181" s="58">
        <f t="shared" si="189"/>
        <v>115.44525</v>
      </c>
      <c r="AO181" s="58">
        <f t="shared" ca="1" si="189"/>
        <v>130.14828961555205</v>
      </c>
      <c r="AP181" s="58">
        <f t="shared" ca="1" si="189"/>
        <v>147.07862509424535</v>
      </c>
      <c r="AQ181" s="58">
        <f t="shared" ca="1" si="189"/>
        <v>168.25990753260396</v>
      </c>
      <c r="AR181" s="58">
        <f t="shared" ca="1" si="189"/>
        <v>191.99495264440355</v>
      </c>
      <c r="AS181" s="58">
        <f t="shared" ca="1" si="189"/>
        <v>213.0650195991098</v>
      </c>
      <c r="AT181" s="58">
        <f t="shared" ca="1" si="189"/>
        <v>227.59413782845678</v>
      </c>
      <c r="AU181" s="58">
        <f t="shared" ca="1" si="189"/>
        <v>246.03738518457033</v>
      </c>
      <c r="AV181" s="58">
        <f t="shared" ca="1" si="189"/>
        <v>267.01645647573559</v>
      </c>
      <c r="AW181" s="58">
        <f t="shared" ca="1" si="189"/>
        <v>286.11142267653554</v>
      </c>
      <c r="AX181" s="58">
        <f t="shared" ca="1" si="189"/>
        <v>298.59472481426269</v>
      </c>
      <c r="AY181" s="58">
        <f t="shared" ca="1" si="189"/>
        <v>314.88618131541074</v>
      </c>
      <c r="AZ181" s="58">
        <f t="shared" ca="1" si="189"/>
        <v>333.5826558470921</v>
      </c>
    </row>
    <row r="183" spans="2:52">
      <c r="B183" s="6" t="s">
        <v>521</v>
      </c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</row>
    <row r="184" spans="2:52" s="1" customFormat="1">
      <c r="B184" s="68" t="s">
        <v>516</v>
      </c>
      <c r="E184" s="10"/>
      <c r="F184" s="10"/>
      <c r="G184" s="10"/>
      <c r="H184" s="10"/>
      <c r="I184" s="10"/>
      <c r="J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</row>
    <row r="185" spans="2:52" s="1" customFormat="1">
      <c r="B185" s="3" t="s">
        <v>506</v>
      </c>
      <c r="E185" s="10"/>
      <c r="F185" s="10"/>
      <c r="G185" s="10"/>
      <c r="H185" s="10"/>
      <c r="I185" s="10"/>
      <c r="J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</row>
    <row r="186" spans="2:52" s="1" customFormat="1">
      <c r="B186" s="52" t="s">
        <v>507</v>
      </c>
      <c r="E186" s="10"/>
      <c r="F186" s="10"/>
      <c r="G186" s="10"/>
      <c r="H186" s="10"/>
      <c r="I186" s="10"/>
      <c r="J186" s="58">
        <f>J203+J220</f>
        <v>7771.2860000000001</v>
      </c>
      <c r="K186" s="58">
        <f>K203+K220</f>
        <v>14570.029999999999</v>
      </c>
      <c r="L186" s="109">
        <f t="shared" ref="L186:N187" ca="1" si="190">OFFSET($P186,0,L$2,1,1)</f>
        <v>27869.212404099693</v>
      </c>
      <c r="M186" s="109">
        <f t="shared" ca="1" si="190"/>
        <v>41100.250256636573</v>
      </c>
      <c r="N186" s="109">
        <f t="shared" ca="1" si="190"/>
        <v>54043.553358562385</v>
      </c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N186" s="58">
        <f>K186</f>
        <v>14570.029999999999</v>
      </c>
      <c r="AO186" s="58">
        <f>AN186+AO198</f>
        <v>17392.623819130877</v>
      </c>
      <c r="AP186" s="58">
        <f t="shared" ref="AP186:AZ186" si="191">AO186+AP198</f>
        <v>20714.879099581849</v>
      </c>
      <c r="AQ186" s="58">
        <f t="shared" si="191"/>
        <v>24375.122790211659</v>
      </c>
      <c r="AR186" s="58">
        <f t="shared" si="191"/>
        <v>27869.212404099693</v>
      </c>
      <c r="AS186" s="58">
        <f t="shared" si="191"/>
        <v>31044.014200907586</v>
      </c>
      <c r="AT186" s="58">
        <f t="shared" si="191"/>
        <v>34406.759048590182</v>
      </c>
      <c r="AU186" s="58">
        <f t="shared" si="191"/>
        <v>37882.195008539136</v>
      </c>
      <c r="AV186" s="58">
        <f t="shared" si="191"/>
        <v>41100.250256636573</v>
      </c>
      <c r="AW186" s="58">
        <f t="shared" si="191"/>
        <v>44173.811566906297</v>
      </c>
      <c r="AX186" s="58">
        <f t="shared" si="191"/>
        <v>47460.432992739959</v>
      </c>
      <c r="AY186" s="58">
        <f t="shared" si="191"/>
        <v>50838.28681733444</v>
      </c>
      <c r="AZ186" s="58">
        <f t="shared" si="191"/>
        <v>54043.553358562385</v>
      </c>
    </row>
    <row r="187" spans="2:52" s="1" customFormat="1">
      <c r="B187" s="52" t="s">
        <v>508</v>
      </c>
      <c r="E187" s="10"/>
      <c r="F187" s="10"/>
      <c r="G187" s="10"/>
      <c r="H187" s="10"/>
      <c r="I187" s="10"/>
      <c r="J187" s="58">
        <f>J204+J221</f>
        <v>677.37099999999998</v>
      </c>
      <c r="K187" s="58">
        <f>K204+K221</f>
        <v>1599.154</v>
      </c>
      <c r="L187" s="109">
        <f t="shared" ca="1" si="190"/>
        <v>2664.7203272424185</v>
      </c>
      <c r="M187" s="109">
        <f t="shared" ca="1" si="190"/>
        <v>3946.1781502497615</v>
      </c>
      <c r="N187" s="109">
        <f t="shared" ca="1" si="190"/>
        <v>5427.3613181649735</v>
      </c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N187" s="58">
        <f>K187</f>
        <v>1599.154</v>
      </c>
      <c r="AO187" s="58">
        <f ca="1">AN187+AO199</f>
        <v>1801.7504959082946</v>
      </c>
      <c r="AP187" s="58">
        <f t="shared" ref="AP187:AZ187" ca="1" si="192">AO187+AP199</f>
        <v>2245.2100029196749</v>
      </c>
      <c r="AQ187" s="58">
        <f t="shared" ca="1" si="192"/>
        <v>2480.1789221551608</v>
      </c>
      <c r="AR187" s="58">
        <f t="shared" ca="1" si="192"/>
        <v>2664.7203272424185</v>
      </c>
      <c r="AS187" s="58">
        <f t="shared" ca="1" si="192"/>
        <v>2912.0399996224692</v>
      </c>
      <c r="AT187" s="58">
        <f t="shared" ca="1" si="192"/>
        <v>3447.3898597304451</v>
      </c>
      <c r="AU187" s="58">
        <f t="shared" ca="1" si="192"/>
        <v>3728.0254289860713</v>
      </c>
      <c r="AV187" s="58">
        <f t="shared" ca="1" si="192"/>
        <v>3946.1781502497615</v>
      </c>
      <c r="AW187" s="58">
        <f t="shared" ca="1" si="192"/>
        <v>4235.6726446783914</v>
      </c>
      <c r="AX187" s="58">
        <f t="shared" ca="1" si="192"/>
        <v>4856.4114439125597</v>
      </c>
      <c r="AY187" s="58">
        <f t="shared" ca="1" si="192"/>
        <v>5178.8690458225901</v>
      </c>
      <c r="AZ187" s="58">
        <f t="shared" ca="1" si="192"/>
        <v>5427.3613181649735</v>
      </c>
    </row>
    <row r="188" spans="2:52" s="1" customFormat="1">
      <c r="B188" s="3" t="s">
        <v>510</v>
      </c>
      <c r="E188" s="10"/>
      <c r="F188" s="10"/>
      <c r="G188" s="10"/>
      <c r="H188" s="10"/>
      <c r="I188" s="10"/>
      <c r="J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</row>
    <row r="189" spans="2:52" s="1" customFormat="1">
      <c r="B189" s="52" t="s">
        <v>507</v>
      </c>
      <c r="E189" s="10"/>
      <c r="F189" s="10"/>
      <c r="G189" s="10"/>
      <c r="H189" s="10"/>
      <c r="I189" s="10"/>
      <c r="J189" s="58">
        <f>J206+J223</f>
        <v>4877.3190000000004</v>
      </c>
      <c r="K189" s="58">
        <f>K206+K223</f>
        <v>9211.7790000000005</v>
      </c>
      <c r="L189" s="109">
        <f t="shared" ref="L189:N190" ca="1" si="193">OFFSET($P189,0,L$2,1,1)</f>
        <v>21943.302545538398</v>
      </c>
      <c r="M189" s="109">
        <f t="shared" ca="1" si="193"/>
        <v>35352.083995753557</v>
      </c>
      <c r="N189" s="109">
        <f t="shared" ca="1" si="193"/>
        <v>49009.07951209959</v>
      </c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N189" s="58">
        <f>K189</f>
        <v>9211.7790000000005</v>
      </c>
      <c r="AO189" s="58">
        <f ca="1">AN189+AO195</f>
        <v>11418.647659565439</v>
      </c>
      <c r="AP189" s="58">
        <f t="shared" ref="AP189:AZ189" ca="1" si="194">AO189+AP195</f>
        <v>14580.995504573644</v>
      </c>
      <c r="AQ189" s="58">
        <f t="shared" ca="1" si="194"/>
        <v>18178.382610957837</v>
      </c>
      <c r="AR189" s="58">
        <f t="shared" ca="1" si="194"/>
        <v>21943.302545538398</v>
      </c>
      <c r="AS189" s="58">
        <f t="shared" ca="1" si="194"/>
        <v>25135.800141446663</v>
      </c>
      <c r="AT189" s="58">
        <f t="shared" ca="1" si="194"/>
        <v>28434.095407205372</v>
      </c>
      <c r="AU189" s="58">
        <f t="shared" ca="1" si="194"/>
        <v>31902.955989390586</v>
      </c>
      <c r="AV189" s="58">
        <f t="shared" ca="1" si="194"/>
        <v>35352.083995753557</v>
      </c>
      <c r="AW189" s="58">
        <f t="shared" ca="1" si="194"/>
        <v>38620.738358317045</v>
      </c>
      <c r="AX189" s="58">
        <f t="shared" ca="1" si="194"/>
        <v>42057.574682205857</v>
      </c>
      <c r="AY189" s="58">
        <f t="shared" ca="1" si="194"/>
        <v>45572.874166951005</v>
      </c>
      <c r="AZ189" s="58">
        <f t="shared" ca="1" si="194"/>
        <v>49009.07951209959</v>
      </c>
    </row>
    <row r="190" spans="2:52" s="1" customFormat="1">
      <c r="B190" s="52" t="s">
        <v>508</v>
      </c>
      <c r="E190" s="10"/>
      <c r="F190" s="10"/>
      <c r="G190" s="10"/>
      <c r="H190" s="10"/>
      <c r="I190" s="10"/>
      <c r="J190" s="58">
        <f>J207+J224</f>
        <v>628.16999999999996</v>
      </c>
      <c r="K190" s="58">
        <f>K207+K224</f>
        <v>1580.4549999999999</v>
      </c>
      <c r="L190" s="109">
        <f t="shared" ca="1" si="193"/>
        <v>2646.0213272424185</v>
      </c>
      <c r="M190" s="109">
        <f t="shared" ca="1" si="193"/>
        <v>3927.4791502497615</v>
      </c>
      <c r="N190" s="109">
        <f t="shared" ca="1" si="193"/>
        <v>5408.6623181649738</v>
      </c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N190" s="58">
        <f>K190</f>
        <v>1580.4549999999999</v>
      </c>
      <c r="AO190" s="58">
        <f ca="1">AN190+AO196</f>
        <v>1783.0514959082946</v>
      </c>
      <c r="AP190" s="58">
        <f t="shared" ref="AP190:AZ190" ca="1" si="195">AO190+AP196</f>
        <v>2226.5110029196749</v>
      </c>
      <c r="AQ190" s="58">
        <f t="shared" ca="1" si="195"/>
        <v>2461.4799221551607</v>
      </c>
      <c r="AR190" s="58">
        <f t="shared" ca="1" si="195"/>
        <v>2646.0213272424185</v>
      </c>
      <c r="AS190" s="58">
        <f t="shared" ca="1" si="195"/>
        <v>2893.3409996224691</v>
      </c>
      <c r="AT190" s="58">
        <f t="shared" ca="1" si="195"/>
        <v>3428.690859730445</v>
      </c>
      <c r="AU190" s="58">
        <f t="shared" ca="1" si="195"/>
        <v>3709.3264289860713</v>
      </c>
      <c r="AV190" s="58">
        <f t="shared" ca="1" si="195"/>
        <v>3927.4791502497615</v>
      </c>
      <c r="AW190" s="58">
        <f t="shared" ca="1" si="195"/>
        <v>4216.9736446783918</v>
      </c>
      <c r="AX190" s="58">
        <f t="shared" ca="1" si="195"/>
        <v>4837.71244391256</v>
      </c>
      <c r="AY190" s="58">
        <f t="shared" ca="1" si="195"/>
        <v>5160.1700458225905</v>
      </c>
      <c r="AZ190" s="58">
        <f t="shared" ca="1" si="195"/>
        <v>5408.6623181649738</v>
      </c>
    </row>
    <row r="191" spans="2:52" s="1" customFormat="1">
      <c r="B191" s="3" t="s">
        <v>511</v>
      </c>
      <c r="E191" s="10"/>
      <c r="F191" s="10"/>
      <c r="G191" s="10"/>
      <c r="H191" s="10"/>
      <c r="I191" s="10"/>
      <c r="J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</row>
    <row r="192" spans="2:52" s="1" customFormat="1">
      <c r="B192" s="52" t="s">
        <v>507</v>
      </c>
      <c r="E192" s="10"/>
      <c r="F192" s="10"/>
      <c r="G192" s="10"/>
      <c r="H192" s="10"/>
      <c r="I192" s="10"/>
      <c r="J192" s="58">
        <f>J186-J189</f>
        <v>2893.9669999999996</v>
      </c>
      <c r="K192" s="58">
        <f>K186-K189</f>
        <v>5358.2509999999984</v>
      </c>
      <c r="L192" s="109">
        <f t="shared" ref="L192:N193" ca="1" si="196">OFFSET($P192,0,L$2,1,1)</f>
        <v>5925.9098585612956</v>
      </c>
      <c r="M192" s="109">
        <f t="shared" ca="1" si="196"/>
        <v>5748.1662608830156</v>
      </c>
      <c r="N192" s="109">
        <f t="shared" ca="1" si="196"/>
        <v>5034.4738464627953</v>
      </c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N192" s="58">
        <f>AN186-AN189</f>
        <v>5358.2509999999984</v>
      </c>
      <c r="AO192" s="58">
        <f ca="1">AO186-AO189</f>
        <v>5973.9761595654381</v>
      </c>
      <c r="AP192" s="58">
        <f t="shared" ref="AP192:AZ192" ca="1" si="197">AP186-AP189</f>
        <v>6133.8835950082048</v>
      </c>
      <c r="AQ192" s="58">
        <f t="shared" ca="1" si="197"/>
        <v>6196.7401792538221</v>
      </c>
      <c r="AR192" s="58">
        <f t="shared" ca="1" si="197"/>
        <v>5925.9098585612956</v>
      </c>
      <c r="AS192" s="58">
        <f t="shared" ca="1" si="197"/>
        <v>5908.2140594609227</v>
      </c>
      <c r="AT192" s="58">
        <f t="shared" ca="1" si="197"/>
        <v>5972.66364138481</v>
      </c>
      <c r="AU192" s="58">
        <f t="shared" ca="1" si="197"/>
        <v>5979.2390191485501</v>
      </c>
      <c r="AV192" s="58">
        <f t="shared" ca="1" si="197"/>
        <v>5748.1662608830156</v>
      </c>
      <c r="AW192" s="58">
        <f t="shared" ca="1" si="197"/>
        <v>5553.0732085892523</v>
      </c>
      <c r="AX192" s="58">
        <f t="shared" ca="1" si="197"/>
        <v>5402.8583105341022</v>
      </c>
      <c r="AY192" s="58">
        <f t="shared" ca="1" si="197"/>
        <v>5265.4126503834341</v>
      </c>
      <c r="AZ192" s="58">
        <f t="shared" ca="1" si="197"/>
        <v>5034.4738464627953</v>
      </c>
    </row>
    <row r="193" spans="2:52" s="1" customFormat="1">
      <c r="B193" s="52" t="s">
        <v>508</v>
      </c>
      <c r="E193" s="10"/>
      <c r="F193" s="10"/>
      <c r="G193" s="10"/>
      <c r="H193" s="10"/>
      <c r="I193" s="10"/>
      <c r="J193" s="58">
        <f>J187-J190</f>
        <v>49.201000000000022</v>
      </c>
      <c r="K193" s="58">
        <f>K187-K190</f>
        <v>18.699000000000069</v>
      </c>
      <c r="L193" s="109">
        <f t="shared" ca="1" si="196"/>
        <v>18.699000000000069</v>
      </c>
      <c r="M193" s="109">
        <f t="shared" ca="1" si="196"/>
        <v>18.699000000000069</v>
      </c>
      <c r="N193" s="109">
        <f t="shared" ca="1" si="196"/>
        <v>18.698999999999614</v>
      </c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N193" s="58">
        <f>AN187-AN190</f>
        <v>18.699000000000069</v>
      </c>
      <c r="AO193" s="58">
        <f ca="1">AO187-AO190</f>
        <v>18.699000000000069</v>
      </c>
      <c r="AP193" s="58">
        <f t="shared" ref="AP193:AZ193" ca="1" si="198">AP187-AP190</f>
        <v>18.699000000000069</v>
      </c>
      <c r="AQ193" s="58">
        <f t="shared" ca="1" si="198"/>
        <v>18.699000000000069</v>
      </c>
      <c r="AR193" s="58">
        <f t="shared" ca="1" si="198"/>
        <v>18.699000000000069</v>
      </c>
      <c r="AS193" s="58">
        <f t="shared" ca="1" si="198"/>
        <v>18.699000000000069</v>
      </c>
      <c r="AT193" s="58">
        <f t="shared" ca="1" si="198"/>
        <v>18.699000000000069</v>
      </c>
      <c r="AU193" s="58">
        <f t="shared" ca="1" si="198"/>
        <v>18.699000000000069</v>
      </c>
      <c r="AV193" s="58">
        <f t="shared" ca="1" si="198"/>
        <v>18.699000000000069</v>
      </c>
      <c r="AW193" s="58">
        <f t="shared" ca="1" si="198"/>
        <v>18.698999999999614</v>
      </c>
      <c r="AX193" s="58">
        <f t="shared" ca="1" si="198"/>
        <v>18.698999999999614</v>
      </c>
      <c r="AY193" s="58">
        <f t="shared" ca="1" si="198"/>
        <v>18.698999999999614</v>
      </c>
      <c r="AZ193" s="58">
        <f t="shared" ca="1" si="198"/>
        <v>18.698999999999614</v>
      </c>
    </row>
    <row r="194" spans="2:52" s="1" customFormat="1">
      <c r="B194" s="3" t="s">
        <v>512</v>
      </c>
      <c r="E194" s="10"/>
      <c r="F194" s="10"/>
      <c r="G194" s="10"/>
      <c r="H194" s="10"/>
      <c r="I194" s="10"/>
      <c r="J194" s="58"/>
      <c r="K194" s="58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</row>
    <row r="195" spans="2:52" s="1" customFormat="1">
      <c r="B195" s="52" t="s">
        <v>507</v>
      </c>
      <c r="E195" s="10"/>
      <c r="F195" s="10"/>
      <c r="G195" s="10"/>
      <c r="H195" s="10"/>
      <c r="I195" s="10"/>
      <c r="J195" s="58"/>
      <c r="K195" s="58">
        <f>K189-J189</f>
        <v>4334.46</v>
      </c>
      <c r="L195" s="58">
        <f t="shared" ref="L195:N195" ca="1" si="199">L189-K189</f>
        <v>12731.523545538397</v>
      </c>
      <c r="M195" s="58">
        <f t="shared" ca="1" si="199"/>
        <v>13408.78145021516</v>
      </c>
      <c r="N195" s="58">
        <f t="shared" ca="1" si="199"/>
        <v>13656.995516346033</v>
      </c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O195" s="58">
        <f ca="1">AO260-AO196</f>
        <v>2206.868659565439</v>
      </c>
      <c r="AP195" s="58">
        <f t="shared" ref="AP195:AZ195" ca="1" si="200">AP260-AP196</f>
        <v>3162.3478450082061</v>
      </c>
      <c r="AQ195" s="58">
        <f t="shared" ca="1" si="200"/>
        <v>3597.3871063841925</v>
      </c>
      <c r="AR195" s="58">
        <f t="shared" ca="1" si="200"/>
        <v>3764.9199345805619</v>
      </c>
      <c r="AS195" s="58">
        <f t="shared" ca="1" si="200"/>
        <v>3192.4975959082658</v>
      </c>
      <c r="AT195" s="58">
        <f t="shared" ca="1" si="200"/>
        <v>3298.2952657587084</v>
      </c>
      <c r="AU195" s="58">
        <f t="shared" ca="1" si="200"/>
        <v>3468.8605821852138</v>
      </c>
      <c r="AV195" s="58">
        <f t="shared" ca="1" si="200"/>
        <v>3449.1280063629738</v>
      </c>
      <c r="AW195" s="58">
        <f t="shared" ca="1" si="200"/>
        <v>3268.6543625634895</v>
      </c>
      <c r="AX195" s="58">
        <f t="shared" ca="1" si="200"/>
        <v>3436.8363238888096</v>
      </c>
      <c r="AY195" s="58">
        <f t="shared" ca="1" si="200"/>
        <v>3515.2994847451455</v>
      </c>
      <c r="AZ195" s="58">
        <f t="shared" ca="1" si="200"/>
        <v>3436.2053451485826</v>
      </c>
    </row>
    <row r="196" spans="2:52" s="1" customFormat="1">
      <c r="B196" s="52" t="s">
        <v>508</v>
      </c>
      <c r="E196" s="10"/>
      <c r="F196" s="10"/>
      <c r="G196" s="10"/>
      <c r="H196" s="10"/>
      <c r="I196" s="10"/>
      <c r="J196" s="58"/>
      <c r="K196" s="58">
        <f>K190-J190</f>
        <v>952.28499999999997</v>
      </c>
      <c r="L196" s="58">
        <f t="shared" ref="L196:N196" ca="1" si="201">L190-K190</f>
        <v>1065.5663272424185</v>
      </c>
      <c r="M196" s="58">
        <f t="shared" ca="1" si="201"/>
        <v>1281.457823007343</v>
      </c>
      <c r="N196" s="58">
        <f t="shared" ca="1" si="201"/>
        <v>1481.1831679152124</v>
      </c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O196" s="58">
        <f ca="1">AO213+AO230</f>
        <v>202.59649590829457</v>
      </c>
      <c r="AP196" s="58">
        <f t="shared" ref="AP196:AZ196" ca="1" si="202">AP213+AP230</f>
        <v>443.45950701138014</v>
      </c>
      <c r="AQ196" s="58">
        <f t="shared" ca="1" si="202"/>
        <v>234.96891923548603</v>
      </c>
      <c r="AR196" s="58">
        <f t="shared" ca="1" si="202"/>
        <v>184.54140508725763</v>
      </c>
      <c r="AS196" s="58">
        <f t="shared" ca="1" si="202"/>
        <v>247.31967238005058</v>
      </c>
      <c r="AT196" s="58">
        <f t="shared" ca="1" si="202"/>
        <v>535.34986010797581</v>
      </c>
      <c r="AU196" s="58">
        <f t="shared" ca="1" si="202"/>
        <v>280.63556925562631</v>
      </c>
      <c r="AV196" s="58">
        <f t="shared" ca="1" si="202"/>
        <v>218.15272126369035</v>
      </c>
      <c r="AW196" s="58">
        <f t="shared" ca="1" si="202"/>
        <v>289.49449442863011</v>
      </c>
      <c r="AX196" s="58">
        <f t="shared" ca="1" si="202"/>
        <v>620.73879923416825</v>
      </c>
      <c r="AY196" s="58">
        <f t="shared" ca="1" si="202"/>
        <v>322.45760191003069</v>
      </c>
      <c r="AZ196" s="58">
        <f t="shared" ca="1" si="202"/>
        <v>248.49227234238322</v>
      </c>
    </row>
    <row r="197" spans="2:52" s="1" customFormat="1">
      <c r="B197" s="3" t="s">
        <v>517</v>
      </c>
      <c r="E197" s="10"/>
      <c r="F197" s="10"/>
      <c r="G197" s="10"/>
      <c r="H197" s="10"/>
      <c r="I197" s="10"/>
      <c r="J197" s="58"/>
      <c r="K197" s="58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8"/>
    </row>
    <row r="198" spans="2:52" s="1" customFormat="1">
      <c r="B198" s="52" t="s">
        <v>507</v>
      </c>
      <c r="E198" s="10"/>
      <c r="F198" s="10"/>
      <c r="G198" s="10"/>
      <c r="H198" s="10"/>
      <c r="I198" s="10"/>
      <c r="J198" s="58"/>
      <c r="K198" s="58">
        <f>K186-J186</f>
        <v>6798.7439999999988</v>
      </c>
      <c r="L198" s="58">
        <f t="shared" ref="L198:N198" ca="1" si="203">L186-K186</f>
        <v>13299.182404099694</v>
      </c>
      <c r="M198" s="58">
        <f t="shared" ca="1" si="203"/>
        <v>13231.03785253688</v>
      </c>
      <c r="N198" s="58">
        <f t="shared" ca="1" si="203"/>
        <v>12943.303101925812</v>
      </c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O198" s="58">
        <f>AO243</f>
        <v>2822.5938191308783</v>
      </c>
      <c r="AP198" s="58">
        <f t="shared" ref="AP198:AZ198" si="204">AP243</f>
        <v>3322.2552804509728</v>
      </c>
      <c r="AQ198" s="58">
        <f t="shared" si="204"/>
        <v>3660.2436906298103</v>
      </c>
      <c r="AR198" s="58">
        <f t="shared" si="204"/>
        <v>3494.089613888033</v>
      </c>
      <c r="AS198" s="58">
        <f t="shared" si="204"/>
        <v>3174.8017968078925</v>
      </c>
      <c r="AT198" s="58">
        <f t="shared" si="204"/>
        <v>3362.7448476825939</v>
      </c>
      <c r="AU198" s="58">
        <f t="shared" si="204"/>
        <v>3475.4359599489553</v>
      </c>
      <c r="AV198" s="58">
        <f t="shared" si="204"/>
        <v>3218.0552480974366</v>
      </c>
      <c r="AW198" s="58">
        <f t="shared" si="204"/>
        <v>3073.5613102697253</v>
      </c>
      <c r="AX198" s="58">
        <f t="shared" si="204"/>
        <v>3286.6214258336613</v>
      </c>
      <c r="AY198" s="58">
        <f t="shared" si="204"/>
        <v>3377.8538245944783</v>
      </c>
      <c r="AZ198" s="58">
        <f t="shared" si="204"/>
        <v>3205.2665412279462</v>
      </c>
    </row>
    <row r="199" spans="2:52" s="1" customFormat="1">
      <c r="B199" s="52" t="s">
        <v>508</v>
      </c>
      <c r="E199" s="10"/>
      <c r="F199" s="10"/>
      <c r="G199" s="10"/>
      <c r="H199" s="10"/>
      <c r="I199" s="10"/>
      <c r="J199" s="58"/>
      <c r="K199" s="58">
        <f>K187-J187</f>
        <v>921.78300000000002</v>
      </c>
      <c r="L199" s="58">
        <f t="shared" ref="L199:N199" ca="1" si="205">L187-K187</f>
        <v>1065.5663272424185</v>
      </c>
      <c r="M199" s="58">
        <f t="shared" ca="1" si="205"/>
        <v>1281.457823007343</v>
      </c>
      <c r="N199" s="58">
        <f t="shared" ca="1" si="205"/>
        <v>1481.1831679152119</v>
      </c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O199" s="58">
        <f ca="1">AO216+AO233</f>
        <v>202.59649590829457</v>
      </c>
      <c r="AP199" s="58">
        <f t="shared" ref="AP199:AZ199" ca="1" si="206">AP216+AP233</f>
        <v>443.45950701138014</v>
      </c>
      <c r="AQ199" s="58">
        <f t="shared" ca="1" si="206"/>
        <v>234.96891923548603</v>
      </c>
      <c r="AR199" s="58">
        <f t="shared" ca="1" si="206"/>
        <v>184.54140508725763</v>
      </c>
      <c r="AS199" s="58">
        <f t="shared" ca="1" si="206"/>
        <v>247.31967238005058</v>
      </c>
      <c r="AT199" s="58">
        <f t="shared" ca="1" si="206"/>
        <v>535.34986010797581</v>
      </c>
      <c r="AU199" s="58">
        <f t="shared" ca="1" si="206"/>
        <v>280.63556925562631</v>
      </c>
      <c r="AV199" s="58">
        <f t="shared" ca="1" si="206"/>
        <v>218.15272126369035</v>
      </c>
      <c r="AW199" s="58">
        <f t="shared" ca="1" si="206"/>
        <v>289.49449442863011</v>
      </c>
      <c r="AX199" s="58">
        <f t="shared" ca="1" si="206"/>
        <v>620.73879923416825</v>
      </c>
      <c r="AY199" s="58">
        <f t="shared" ca="1" si="206"/>
        <v>322.45760191003069</v>
      </c>
      <c r="AZ199" s="58">
        <f t="shared" ca="1" si="206"/>
        <v>248.49227234238322</v>
      </c>
    </row>
    <row r="200" spans="2:52" s="1" customFormat="1">
      <c r="B200" s="61"/>
      <c r="E200" s="10"/>
      <c r="F200" s="10"/>
      <c r="G200" s="10"/>
      <c r="H200" s="10"/>
      <c r="I200" s="10"/>
      <c r="J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</row>
    <row r="201" spans="2:52" s="1" customFormat="1">
      <c r="B201" s="9" t="s">
        <v>509</v>
      </c>
      <c r="E201" s="10"/>
      <c r="F201" s="10"/>
      <c r="G201" s="10"/>
      <c r="H201" s="10"/>
      <c r="I201" s="10"/>
      <c r="J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</row>
    <row r="202" spans="2:52" s="1" customFormat="1">
      <c r="B202" s="52" t="s">
        <v>506</v>
      </c>
      <c r="E202" s="10"/>
      <c r="F202" s="10"/>
      <c r="G202" s="10"/>
      <c r="H202" s="10"/>
      <c r="I202" s="10"/>
      <c r="J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N202" s="58"/>
    </row>
    <row r="203" spans="2:52" s="1" customFormat="1">
      <c r="B203" s="61" t="s">
        <v>507</v>
      </c>
      <c r="E203" s="10"/>
      <c r="F203" s="10"/>
      <c r="G203" s="10"/>
      <c r="H203" s="10"/>
      <c r="I203" s="10"/>
      <c r="J203" s="67">
        <v>2981.33</v>
      </c>
      <c r="K203" s="67">
        <v>5185.5029999999997</v>
      </c>
      <c r="L203" s="109">
        <f t="shared" ref="L203:N204" ca="1" si="207">OFFSET($P203,0,L$2,1,1)</f>
        <v>8939.3137999999999</v>
      </c>
      <c r="M203" s="109">
        <f t="shared" ca="1" si="207"/>
        <v>18837.973699581853</v>
      </c>
      <c r="N203" s="109">
        <f t="shared" ca="1" si="207"/>
        <v>34406.759048590182</v>
      </c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N203" s="58">
        <f>K203</f>
        <v>5185.5029999999997</v>
      </c>
      <c r="AO203" s="58">
        <f ca="1">AN203+AO215</f>
        <v>6123.9556999999995</v>
      </c>
      <c r="AP203" s="58">
        <f t="shared" ref="AP203:AZ203" ca="1" si="208">AO203+AP215</f>
        <v>7062.4083999999993</v>
      </c>
      <c r="AQ203" s="58">
        <f t="shared" ca="1" si="208"/>
        <v>8000.8610999999992</v>
      </c>
      <c r="AR203" s="58">
        <f t="shared" ca="1" si="208"/>
        <v>8939.3137999999999</v>
      </c>
      <c r="AS203" s="58">
        <f t="shared" ca="1" si="208"/>
        <v>9877.7664999999997</v>
      </c>
      <c r="AT203" s="58">
        <f t="shared" ca="1" si="208"/>
        <v>10816.2192</v>
      </c>
      <c r="AU203" s="58">
        <f t="shared" ca="1" si="208"/>
        <v>14577.265719130879</v>
      </c>
      <c r="AV203" s="58">
        <f t="shared" ca="1" si="208"/>
        <v>18837.973699581853</v>
      </c>
      <c r="AW203" s="58">
        <f t="shared" ca="1" si="208"/>
        <v>23436.670090211665</v>
      </c>
      <c r="AX203" s="58">
        <f t="shared" ca="1" si="208"/>
        <v>27869.212404099697</v>
      </c>
      <c r="AY203" s="58">
        <f t="shared" ca="1" si="208"/>
        <v>31044.01420090759</v>
      </c>
      <c r="AZ203" s="58">
        <f t="shared" ca="1" si="208"/>
        <v>34406.759048590182</v>
      </c>
    </row>
    <row r="204" spans="2:52" s="1" customFormat="1">
      <c r="B204" s="61" t="s">
        <v>508</v>
      </c>
      <c r="E204" s="10"/>
      <c r="F204" s="10"/>
      <c r="G204" s="10"/>
      <c r="H204" s="10"/>
      <c r="I204" s="10"/>
      <c r="J204" s="67">
        <v>677.37099999999998</v>
      </c>
      <c r="K204" s="67">
        <v>1599.154</v>
      </c>
      <c r="L204" s="109">
        <f t="shared" ca="1" si="207"/>
        <v>2664.7203272424185</v>
      </c>
      <c r="M204" s="109">
        <f t="shared" ca="1" si="207"/>
        <v>3946.1781502497615</v>
      </c>
      <c r="N204" s="109">
        <f t="shared" ca="1" si="207"/>
        <v>5427.3613181649735</v>
      </c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N204" s="58">
        <f>K204</f>
        <v>1599.154</v>
      </c>
      <c r="AO204" s="58">
        <f ca="1">AN204+AO216</f>
        <v>1801.7504959082946</v>
      </c>
      <c r="AP204" s="58">
        <f t="shared" ref="AP204:AZ204" ca="1" si="209">AO204+AP216</f>
        <v>2245.2100029196749</v>
      </c>
      <c r="AQ204" s="58">
        <f t="shared" ca="1" si="209"/>
        <v>2480.1789221551608</v>
      </c>
      <c r="AR204" s="58">
        <f t="shared" ca="1" si="209"/>
        <v>2664.7203272424185</v>
      </c>
      <c r="AS204" s="58">
        <f t="shared" ca="1" si="209"/>
        <v>2912.0399996224692</v>
      </c>
      <c r="AT204" s="58">
        <f t="shared" ca="1" si="209"/>
        <v>3447.3898597304451</v>
      </c>
      <c r="AU204" s="58">
        <f t="shared" ca="1" si="209"/>
        <v>3728.0254289860713</v>
      </c>
      <c r="AV204" s="58">
        <f t="shared" ca="1" si="209"/>
        <v>3946.1781502497615</v>
      </c>
      <c r="AW204" s="58">
        <f t="shared" ca="1" si="209"/>
        <v>4235.6726446783914</v>
      </c>
      <c r="AX204" s="58">
        <f t="shared" ca="1" si="209"/>
        <v>4856.4114439125597</v>
      </c>
      <c r="AY204" s="58">
        <f t="shared" ca="1" si="209"/>
        <v>5178.8690458225901</v>
      </c>
      <c r="AZ204" s="58">
        <f t="shared" ca="1" si="209"/>
        <v>5427.3613181649735</v>
      </c>
    </row>
    <row r="205" spans="2:52" s="1" customFormat="1">
      <c r="B205" s="52" t="s">
        <v>510</v>
      </c>
      <c r="E205" s="10"/>
      <c r="F205" s="10"/>
      <c r="G205" s="10"/>
      <c r="H205" s="10"/>
      <c r="I205" s="10"/>
      <c r="J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</row>
    <row r="206" spans="2:52" s="1" customFormat="1">
      <c r="B206" s="61" t="s">
        <v>507</v>
      </c>
      <c r="E206" s="10"/>
      <c r="F206" s="10"/>
      <c r="G206" s="10"/>
      <c r="H206" s="10"/>
      <c r="I206" s="10"/>
      <c r="J206" s="67">
        <v>2534.0880000000002</v>
      </c>
      <c r="K206" s="67">
        <v>4385.335</v>
      </c>
      <c r="L206" s="109">
        <f t="shared" ref="L206:N207" ca="1" si="210">OFFSET($P206,0,L$2,1,1)</f>
        <v>7998.3778950000005</v>
      </c>
      <c r="M206" s="109">
        <f t="shared" ca="1" si="210"/>
        <v>17353.117730101942</v>
      </c>
      <c r="N206" s="109">
        <f t="shared" ca="1" si="210"/>
        <v>32789.457173601186</v>
      </c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N206" s="58">
        <f>K206</f>
        <v>4385.335</v>
      </c>
      <c r="AO206" s="58">
        <f ca="1">AN206+AO212</f>
        <v>5253.4037475000005</v>
      </c>
      <c r="AP206" s="58">
        <f t="shared" ref="AP206:AZ206" ca="1" si="211">AO206+AP212</f>
        <v>6144.9338125000004</v>
      </c>
      <c r="AQ206" s="58">
        <f t="shared" ca="1" si="211"/>
        <v>7059.9251950000007</v>
      </c>
      <c r="AR206" s="58">
        <f t="shared" ca="1" si="211"/>
        <v>7998.3778950000005</v>
      </c>
      <c r="AS206" s="58">
        <f t="shared" ca="1" si="211"/>
        <v>8936.8305950000013</v>
      </c>
      <c r="AT206" s="58">
        <f t="shared" ca="1" si="211"/>
        <v>9875.2832950000011</v>
      </c>
      <c r="AU206" s="58">
        <f t="shared" ca="1" si="211"/>
        <v>13354.070432217792</v>
      </c>
      <c r="AV206" s="58">
        <f t="shared" ca="1" si="211"/>
        <v>17353.117730101942</v>
      </c>
      <c r="AW206" s="58">
        <f t="shared" ca="1" si="211"/>
        <v>21739.410979158318</v>
      </c>
      <c r="AX206" s="58">
        <f t="shared" ca="1" si="211"/>
        <v>26067.671651412838</v>
      </c>
      <c r="AY206" s="58">
        <f t="shared" ca="1" si="211"/>
        <v>29351.318098642434</v>
      </c>
      <c r="AZ206" s="58">
        <f t="shared" ca="1" si="211"/>
        <v>32789.457173601186</v>
      </c>
    </row>
    <row r="207" spans="2:52" s="1" customFormat="1">
      <c r="B207" s="61" t="s">
        <v>508</v>
      </c>
      <c r="E207" s="10"/>
      <c r="F207" s="10"/>
      <c r="G207" s="10"/>
      <c r="H207" s="10"/>
      <c r="I207" s="10"/>
      <c r="J207" s="67">
        <v>628.16999999999996</v>
      </c>
      <c r="K207" s="67">
        <v>1580.4549999999999</v>
      </c>
      <c r="L207" s="109">
        <f t="shared" ca="1" si="210"/>
        <v>2646.0213272424185</v>
      </c>
      <c r="M207" s="109">
        <f t="shared" ca="1" si="210"/>
        <v>3927.4791502497615</v>
      </c>
      <c r="N207" s="109">
        <f t="shared" ca="1" si="210"/>
        <v>5408.6623181649738</v>
      </c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N207" s="58">
        <f>K207</f>
        <v>1580.4549999999999</v>
      </c>
      <c r="AO207" s="58">
        <f ca="1">AN207+AO213</f>
        <v>1783.0514959082946</v>
      </c>
      <c r="AP207" s="58">
        <f t="shared" ref="AP207:AZ207" ca="1" si="212">AO207+AP213</f>
        <v>2226.5110029196749</v>
      </c>
      <c r="AQ207" s="58">
        <f t="shared" ca="1" si="212"/>
        <v>2461.4799221551607</v>
      </c>
      <c r="AR207" s="58">
        <f t="shared" ca="1" si="212"/>
        <v>2646.0213272424185</v>
      </c>
      <c r="AS207" s="58">
        <f t="shared" ca="1" si="212"/>
        <v>2893.3409996224691</v>
      </c>
      <c r="AT207" s="58">
        <f t="shared" ca="1" si="212"/>
        <v>3428.690859730445</v>
      </c>
      <c r="AU207" s="58">
        <f t="shared" ca="1" si="212"/>
        <v>3709.3264289860713</v>
      </c>
      <c r="AV207" s="58">
        <f t="shared" ca="1" si="212"/>
        <v>3927.4791502497615</v>
      </c>
      <c r="AW207" s="58">
        <f t="shared" ca="1" si="212"/>
        <v>4216.9736446783918</v>
      </c>
      <c r="AX207" s="58">
        <f t="shared" ca="1" si="212"/>
        <v>4837.71244391256</v>
      </c>
      <c r="AY207" s="58">
        <f t="shared" ca="1" si="212"/>
        <v>5160.1700458225905</v>
      </c>
      <c r="AZ207" s="58">
        <f t="shared" ca="1" si="212"/>
        <v>5408.6623181649738</v>
      </c>
    </row>
    <row r="208" spans="2:52" s="1" customFormat="1">
      <c r="B208" s="52" t="s">
        <v>511</v>
      </c>
      <c r="E208" s="10"/>
      <c r="F208" s="10"/>
      <c r="G208" s="10"/>
      <c r="H208" s="10"/>
      <c r="I208" s="10"/>
      <c r="J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</row>
    <row r="209" spans="2:52" s="1" customFormat="1">
      <c r="B209" s="61" t="s">
        <v>507</v>
      </c>
      <c r="E209" s="10"/>
      <c r="F209" s="10"/>
      <c r="G209" s="10"/>
      <c r="H209" s="10"/>
      <c r="I209" s="10"/>
      <c r="J209" s="58">
        <f>J203-J206</f>
        <v>447.24199999999973</v>
      </c>
      <c r="K209" s="58">
        <f>K203-K206</f>
        <v>800.16799999999967</v>
      </c>
      <c r="L209" s="109">
        <f t="shared" ref="L209:N210" ca="1" si="213">OFFSET($P209,0,L$2,1,1)</f>
        <v>940.93590499999937</v>
      </c>
      <c r="M209" s="109">
        <f t="shared" ca="1" si="213"/>
        <v>1484.8559694799114</v>
      </c>
      <c r="N209" s="109">
        <f t="shared" ca="1" si="213"/>
        <v>1617.3018749889961</v>
      </c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N209" s="58">
        <f>AN203-AN206</f>
        <v>800.16799999999967</v>
      </c>
      <c r="AO209" s="58">
        <f ca="1">AO203-AO206</f>
        <v>870.55195249999906</v>
      </c>
      <c r="AP209" s="58">
        <f t="shared" ref="AP209:AZ209" ca="1" si="214">AP203-AP206</f>
        <v>917.47458749999896</v>
      </c>
      <c r="AQ209" s="58">
        <f t="shared" ca="1" si="214"/>
        <v>940.93590499999846</v>
      </c>
      <c r="AR209" s="58">
        <f t="shared" ca="1" si="214"/>
        <v>940.93590499999937</v>
      </c>
      <c r="AS209" s="58">
        <f t="shared" ca="1" si="214"/>
        <v>940.93590499999846</v>
      </c>
      <c r="AT209" s="58">
        <f t="shared" ca="1" si="214"/>
        <v>940.93590499999846</v>
      </c>
      <c r="AU209" s="58">
        <f t="shared" ca="1" si="214"/>
        <v>1223.1952869130873</v>
      </c>
      <c r="AV209" s="58">
        <f t="shared" ca="1" si="214"/>
        <v>1484.8559694799114</v>
      </c>
      <c r="AW209" s="58">
        <f t="shared" ca="1" si="214"/>
        <v>1697.2591110533467</v>
      </c>
      <c r="AX209" s="58">
        <f t="shared" ca="1" si="214"/>
        <v>1801.5407526868585</v>
      </c>
      <c r="AY209" s="58">
        <f t="shared" ca="1" si="214"/>
        <v>1692.6961022651558</v>
      </c>
      <c r="AZ209" s="58">
        <f t="shared" ca="1" si="214"/>
        <v>1617.3018749889961</v>
      </c>
    </row>
    <row r="210" spans="2:52" s="1" customFormat="1">
      <c r="B210" s="61" t="s">
        <v>508</v>
      </c>
      <c r="E210" s="10"/>
      <c r="F210" s="10"/>
      <c r="G210" s="10"/>
      <c r="H210" s="10"/>
      <c r="I210" s="10"/>
      <c r="J210" s="58">
        <f>J204-J207</f>
        <v>49.201000000000022</v>
      </c>
      <c r="K210" s="58">
        <f>K204-K207</f>
        <v>18.699000000000069</v>
      </c>
      <c r="L210" s="109">
        <f t="shared" ca="1" si="213"/>
        <v>18.699000000000069</v>
      </c>
      <c r="M210" s="109">
        <f t="shared" ca="1" si="213"/>
        <v>18.699000000000069</v>
      </c>
      <c r="N210" s="109">
        <f t="shared" ca="1" si="213"/>
        <v>18.698999999999614</v>
      </c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N210" s="58">
        <f>AN204-AN207</f>
        <v>18.699000000000069</v>
      </c>
      <c r="AO210" s="58">
        <f t="shared" ref="AO210:AZ210" ca="1" si="215">AO204-AO207</f>
        <v>18.699000000000069</v>
      </c>
      <c r="AP210" s="58">
        <f t="shared" ca="1" si="215"/>
        <v>18.699000000000069</v>
      </c>
      <c r="AQ210" s="58">
        <f t="shared" ca="1" si="215"/>
        <v>18.699000000000069</v>
      </c>
      <c r="AR210" s="58">
        <f t="shared" ca="1" si="215"/>
        <v>18.699000000000069</v>
      </c>
      <c r="AS210" s="58">
        <f t="shared" ca="1" si="215"/>
        <v>18.699000000000069</v>
      </c>
      <c r="AT210" s="58">
        <f t="shared" ca="1" si="215"/>
        <v>18.699000000000069</v>
      </c>
      <c r="AU210" s="58">
        <f t="shared" ca="1" si="215"/>
        <v>18.699000000000069</v>
      </c>
      <c r="AV210" s="58">
        <f t="shared" ca="1" si="215"/>
        <v>18.699000000000069</v>
      </c>
      <c r="AW210" s="58">
        <f t="shared" ca="1" si="215"/>
        <v>18.698999999999614</v>
      </c>
      <c r="AX210" s="58">
        <f t="shared" ca="1" si="215"/>
        <v>18.698999999999614</v>
      </c>
      <c r="AY210" s="58">
        <f t="shared" ca="1" si="215"/>
        <v>18.698999999999614</v>
      </c>
      <c r="AZ210" s="58">
        <f t="shared" ca="1" si="215"/>
        <v>18.698999999999614</v>
      </c>
    </row>
    <row r="211" spans="2:52" s="1" customFormat="1">
      <c r="B211" s="52" t="s">
        <v>512</v>
      </c>
      <c r="E211" s="10"/>
      <c r="F211" s="10"/>
      <c r="G211" s="10"/>
      <c r="H211" s="10"/>
      <c r="I211" s="10"/>
      <c r="J211" s="58"/>
      <c r="K211" s="58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</row>
    <row r="212" spans="2:52" s="1" customFormat="1">
      <c r="B212" s="61" t="s">
        <v>507</v>
      </c>
      <c r="E212" s="10"/>
      <c r="F212" s="10"/>
      <c r="G212" s="10"/>
      <c r="H212" s="10"/>
      <c r="I212" s="10"/>
      <c r="J212" s="58"/>
      <c r="K212" s="58">
        <f>K206-J206</f>
        <v>1851.2469999999998</v>
      </c>
      <c r="L212" s="109">
        <f ca="1">OFFSET($P212,0,L$2,1,1)</f>
        <v>938.45270000000005</v>
      </c>
      <c r="M212" s="109">
        <f ca="1">OFFSET($P212,0,M$2,1,1)</f>
        <v>3999.0472978841481</v>
      </c>
      <c r="N212" s="109">
        <f ca="1">OFFSET($P212,0,N$2,1,1)</f>
        <v>3438.1390749587522</v>
      </c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O212" s="58">
        <f t="shared" ref="AO212:AZ212" ca="1" si="216">AO215*($B$254+$B$255+$B$256*2+$B$257*2)+SUM(OFFSET($AN$215,0,MAX(AO$1-4,1),1,MIN(AO$1,4)))*$B$258</f>
        <v>868.06874749999997</v>
      </c>
      <c r="AP212" s="58">
        <f t="shared" ca="1" si="216"/>
        <v>891.53006500000004</v>
      </c>
      <c r="AQ212" s="58">
        <f t="shared" ca="1" si="216"/>
        <v>914.99138249999999</v>
      </c>
      <c r="AR212" s="58">
        <f t="shared" ca="1" si="216"/>
        <v>938.45270000000005</v>
      </c>
      <c r="AS212" s="58">
        <f t="shared" ca="1" si="216"/>
        <v>938.45270000000005</v>
      </c>
      <c r="AT212" s="58">
        <f t="shared" ca="1" si="216"/>
        <v>938.45270000000005</v>
      </c>
      <c r="AU212" s="58">
        <f t="shared" ca="1" si="216"/>
        <v>3478.7871372177906</v>
      </c>
      <c r="AV212" s="58">
        <f t="shared" ca="1" si="216"/>
        <v>3999.0472978841481</v>
      </c>
      <c r="AW212" s="58">
        <f t="shared" ca="1" si="216"/>
        <v>4386.2932490563753</v>
      </c>
      <c r="AX212" s="58">
        <f t="shared" ca="1" si="216"/>
        <v>4328.2606722545215</v>
      </c>
      <c r="AY212" s="58">
        <f t="shared" ca="1" si="216"/>
        <v>3283.6464472295957</v>
      </c>
      <c r="AZ212" s="58">
        <f t="shared" ca="1" si="216"/>
        <v>3438.1390749587522</v>
      </c>
    </row>
    <row r="213" spans="2:52" s="1" customFormat="1">
      <c r="B213" s="61" t="s">
        <v>508</v>
      </c>
      <c r="E213" s="10"/>
      <c r="F213" s="10"/>
      <c r="G213" s="10"/>
      <c r="H213" s="10"/>
      <c r="I213" s="10"/>
      <c r="J213" s="58"/>
      <c r="K213" s="58">
        <f>K207-J207</f>
        <v>952.28499999999997</v>
      </c>
      <c r="L213" s="58">
        <f t="shared" ref="L213:N213" ca="1" si="217">L207-K207</f>
        <v>1065.5663272424185</v>
      </c>
      <c r="M213" s="58">
        <f t="shared" ca="1" si="217"/>
        <v>1281.457823007343</v>
      </c>
      <c r="N213" s="58">
        <f t="shared" ca="1" si="217"/>
        <v>1481.1831679152124</v>
      </c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O213" s="58">
        <f ca="1">AO216</f>
        <v>202.59649590829457</v>
      </c>
      <c r="AP213" s="58">
        <f t="shared" ref="AP213:AZ213" ca="1" si="218">AP216</f>
        <v>443.45950701138014</v>
      </c>
      <c r="AQ213" s="58">
        <f t="shared" ca="1" si="218"/>
        <v>234.96891923548603</v>
      </c>
      <c r="AR213" s="58">
        <f t="shared" ca="1" si="218"/>
        <v>184.54140508725763</v>
      </c>
      <c r="AS213" s="58">
        <f t="shared" ca="1" si="218"/>
        <v>247.31967238005058</v>
      </c>
      <c r="AT213" s="58">
        <f t="shared" ca="1" si="218"/>
        <v>535.34986010797581</v>
      </c>
      <c r="AU213" s="58">
        <f t="shared" ca="1" si="218"/>
        <v>280.63556925562631</v>
      </c>
      <c r="AV213" s="58">
        <f t="shared" ca="1" si="218"/>
        <v>218.15272126369035</v>
      </c>
      <c r="AW213" s="58">
        <f t="shared" ca="1" si="218"/>
        <v>289.49449442863011</v>
      </c>
      <c r="AX213" s="58">
        <f t="shared" ca="1" si="218"/>
        <v>620.73879923416825</v>
      </c>
      <c r="AY213" s="58">
        <f t="shared" ca="1" si="218"/>
        <v>322.45760191003069</v>
      </c>
      <c r="AZ213" s="58">
        <f t="shared" ca="1" si="218"/>
        <v>248.49227234238322</v>
      </c>
    </row>
    <row r="214" spans="2:52" s="1" customFormat="1">
      <c r="B214" s="52" t="s">
        <v>517</v>
      </c>
      <c r="E214" s="10"/>
      <c r="F214" s="10"/>
      <c r="G214" s="10"/>
      <c r="H214" s="10"/>
      <c r="I214" s="10"/>
      <c r="J214" s="58"/>
      <c r="K214" s="58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</row>
    <row r="215" spans="2:52" s="1" customFormat="1">
      <c r="B215" s="61" t="s">
        <v>507</v>
      </c>
      <c r="E215" s="10"/>
      <c r="F215" s="10"/>
      <c r="G215" s="10"/>
      <c r="H215" s="10"/>
      <c r="I215" s="10"/>
      <c r="J215" s="58"/>
      <c r="K215" s="58">
        <f>K203-J203</f>
        <v>2204.1729999999998</v>
      </c>
      <c r="L215" s="109">
        <f ca="1">OFFSET($P215,0,L$2,1,1)</f>
        <v>938.45270000000005</v>
      </c>
      <c r="M215" s="109">
        <f ca="1">OFFSET($P215,0,M$2,1,1)</f>
        <v>4260.7079804509731</v>
      </c>
      <c r="N215" s="109">
        <f ca="1">OFFSET($P215,0,N$2,1,1)</f>
        <v>3362.7448476825939</v>
      </c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O215" s="58">
        <f t="shared" ref="AO215:AT215" ca="1" si="219">IF(AO$1&lt;=6,$AN220/10,IF(AO$1&lt;=10,$AN220/10+SUM(OFFSET($AN$243,0,MAX(AO$1-15,1),1,MAX(MIN(AO$1-6,10),0)))/10,SUM(OFFSET($AN$243,0,MAX(AO$1-15,1),1,MAX(MIN(AO$1-6,10),0)))/10))</f>
        <v>938.45270000000005</v>
      </c>
      <c r="AP215" s="58">
        <f t="shared" ca="1" si="219"/>
        <v>938.45270000000005</v>
      </c>
      <c r="AQ215" s="58">
        <f t="shared" ca="1" si="219"/>
        <v>938.45270000000005</v>
      </c>
      <c r="AR215" s="58">
        <f t="shared" ca="1" si="219"/>
        <v>938.45270000000005</v>
      </c>
      <c r="AS215" s="58">
        <f t="shared" ca="1" si="219"/>
        <v>938.45270000000005</v>
      </c>
      <c r="AT215" s="58">
        <f t="shared" ca="1" si="219"/>
        <v>938.45270000000005</v>
      </c>
      <c r="AU215" s="58">
        <f t="shared" ref="AU215:AZ215" ca="1" si="220">IF(AU$1&lt;=6,$AN220/10,IF(AU$1&lt;=10,$AN220/10+OFFSET($AN$243,0,MAX(AU$1-6,1),1,1),OFFSET($AN$243,0,MAX(AU$1-6,1),1,1)))</f>
        <v>3761.0465191308786</v>
      </c>
      <c r="AV215" s="58">
        <f t="shared" ca="1" si="220"/>
        <v>4260.7079804509731</v>
      </c>
      <c r="AW215" s="58">
        <f t="shared" ca="1" si="220"/>
        <v>4598.6963906298106</v>
      </c>
      <c r="AX215" s="58">
        <f t="shared" ca="1" si="220"/>
        <v>4432.5423138880333</v>
      </c>
      <c r="AY215" s="58">
        <f t="shared" ca="1" si="220"/>
        <v>3174.8017968078925</v>
      </c>
      <c r="AZ215" s="58">
        <f t="shared" ca="1" si="220"/>
        <v>3362.7448476825939</v>
      </c>
    </row>
    <row r="216" spans="2:52" s="1" customFormat="1">
      <c r="B216" s="61" t="s">
        <v>508</v>
      </c>
      <c r="E216" s="10"/>
      <c r="F216" s="10"/>
      <c r="G216" s="10"/>
      <c r="H216" s="10"/>
      <c r="I216" s="10"/>
      <c r="J216" s="58"/>
      <c r="K216" s="58">
        <f>K204-J204</f>
        <v>921.78300000000002</v>
      </c>
      <c r="L216" s="58">
        <f t="shared" ref="L216:N216" ca="1" si="221">L204-K204</f>
        <v>1065.5663272424185</v>
      </c>
      <c r="M216" s="58">
        <f t="shared" ca="1" si="221"/>
        <v>1281.457823007343</v>
      </c>
      <c r="N216" s="58">
        <f t="shared" ca="1" si="221"/>
        <v>1481.1831679152119</v>
      </c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O216" s="58">
        <f ca="1">Operating_Model!AO222</f>
        <v>202.59649590829457</v>
      </c>
      <c r="AP216" s="58">
        <f ca="1">Operating_Model!AP222</f>
        <v>443.45950701138014</v>
      </c>
      <c r="AQ216" s="58">
        <f ca="1">Operating_Model!AQ222</f>
        <v>234.96891923548603</v>
      </c>
      <c r="AR216" s="58">
        <f ca="1">Operating_Model!AR222</f>
        <v>184.54140508725763</v>
      </c>
      <c r="AS216" s="58">
        <f ca="1">Operating_Model!AS222</f>
        <v>247.31967238005058</v>
      </c>
      <c r="AT216" s="58">
        <f ca="1">Operating_Model!AT222</f>
        <v>535.34986010797581</v>
      </c>
      <c r="AU216" s="58">
        <f ca="1">Operating_Model!AU222</f>
        <v>280.63556925562631</v>
      </c>
      <c r="AV216" s="58">
        <f ca="1">Operating_Model!AV222</f>
        <v>218.15272126369035</v>
      </c>
      <c r="AW216" s="58">
        <f ca="1">Operating_Model!AW222</f>
        <v>289.49449442863011</v>
      </c>
      <c r="AX216" s="58">
        <f ca="1">Operating_Model!AX222</f>
        <v>620.73879923416825</v>
      </c>
      <c r="AY216" s="58">
        <f ca="1">Operating_Model!AY222</f>
        <v>322.45760191003069</v>
      </c>
      <c r="AZ216" s="58">
        <f ca="1">Operating_Model!AZ222</f>
        <v>248.49227234238322</v>
      </c>
    </row>
    <row r="217" spans="2:52" s="1" customFormat="1">
      <c r="B217" s="61"/>
      <c r="E217" s="10"/>
      <c r="F217" s="10"/>
      <c r="G217" s="10"/>
      <c r="H217" s="10"/>
      <c r="I217" s="10"/>
      <c r="J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U217" s="58"/>
      <c r="AV217" s="58"/>
      <c r="AW217" s="58"/>
      <c r="AX217" s="58"/>
      <c r="AY217" s="58"/>
      <c r="AZ217" s="58"/>
    </row>
    <row r="218" spans="2:52" s="1" customFormat="1">
      <c r="B218" s="9" t="s">
        <v>513</v>
      </c>
      <c r="E218" s="10"/>
      <c r="F218" s="10"/>
      <c r="G218" s="10"/>
      <c r="H218" s="10"/>
      <c r="I218" s="10"/>
      <c r="J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</row>
    <row r="219" spans="2:52" s="1" customFormat="1">
      <c r="B219" s="52" t="s">
        <v>506</v>
      </c>
      <c r="E219" s="10"/>
      <c r="F219" s="10"/>
      <c r="G219" s="10"/>
      <c r="H219" s="10"/>
      <c r="I219" s="10"/>
      <c r="J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</row>
    <row r="220" spans="2:52" s="1" customFormat="1">
      <c r="B220" s="61" t="s">
        <v>507</v>
      </c>
      <c r="E220" s="10"/>
      <c r="F220" s="10"/>
      <c r="G220" s="10"/>
      <c r="H220" s="10"/>
      <c r="I220" s="10"/>
      <c r="J220" s="67">
        <v>4789.9560000000001</v>
      </c>
      <c r="K220" s="67">
        <v>9384.527</v>
      </c>
      <c r="L220" s="109">
        <f ca="1">OFFSET($P220,0,L$2,1,1)</f>
        <v>18929.898604099693</v>
      </c>
      <c r="M220" s="109">
        <f ca="1">OFFSET($P220,0,M$2,1,1)</f>
        <v>22262.276557054716</v>
      </c>
      <c r="N220" s="109">
        <f ca="1">OFFSET($P220,0,N$2,1,1)</f>
        <v>19636.7943099722</v>
      </c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N220" s="58">
        <f>K220</f>
        <v>9384.527</v>
      </c>
      <c r="AO220" s="58">
        <f ca="1">AN220+AO232</f>
        <v>11268.668119130878</v>
      </c>
      <c r="AP220" s="58">
        <f t="shared" ref="AP220:AZ220" ca="1" si="222">AO220+AP232</f>
        <v>13652.470699581851</v>
      </c>
      <c r="AQ220" s="58">
        <f t="shared" ca="1" si="222"/>
        <v>16374.261690211661</v>
      </c>
      <c r="AR220" s="58">
        <f t="shared" ca="1" si="222"/>
        <v>18929.898604099693</v>
      </c>
      <c r="AS220" s="58">
        <f t="shared" ca="1" si="222"/>
        <v>21166.247700907585</v>
      </c>
      <c r="AT220" s="58">
        <f t="shared" ca="1" si="222"/>
        <v>23590.539848590179</v>
      </c>
      <c r="AU220" s="58">
        <f t="shared" ca="1" si="222"/>
        <v>23304.929289408254</v>
      </c>
      <c r="AV220" s="58">
        <f t="shared" ca="1" si="222"/>
        <v>22262.276557054716</v>
      </c>
      <c r="AW220" s="58">
        <f t="shared" ca="1" si="222"/>
        <v>20737.141476694633</v>
      </c>
      <c r="AX220" s="58">
        <f t="shared" ca="1" si="222"/>
        <v>19591.220588640259</v>
      </c>
      <c r="AY220" s="58">
        <f t="shared" ca="1" si="222"/>
        <v>19794.272616426846</v>
      </c>
      <c r="AZ220" s="58">
        <f t="shared" ca="1" si="222"/>
        <v>19636.7943099722</v>
      </c>
    </row>
    <row r="221" spans="2:52" s="1" customFormat="1">
      <c r="B221" s="61" t="s">
        <v>508</v>
      </c>
      <c r="E221" s="10"/>
      <c r="F221" s="10"/>
      <c r="G221" s="10"/>
      <c r="H221" s="10"/>
      <c r="I221" s="10"/>
      <c r="J221" s="67">
        <v>0</v>
      </c>
      <c r="K221" s="67">
        <v>0</v>
      </c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N221" s="58">
        <f>K221</f>
        <v>0</v>
      </c>
    </row>
    <row r="222" spans="2:52" s="1" customFormat="1">
      <c r="B222" s="52" t="s">
        <v>510</v>
      </c>
      <c r="E222" s="10"/>
      <c r="F222" s="10"/>
      <c r="G222" s="10"/>
      <c r="H222" s="10"/>
      <c r="I222" s="10"/>
      <c r="J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</row>
    <row r="223" spans="2:52" s="1" customFormat="1">
      <c r="B223" s="61" t="s">
        <v>507</v>
      </c>
      <c r="E223" s="10"/>
      <c r="F223" s="10"/>
      <c r="G223" s="10"/>
      <c r="H223" s="10"/>
      <c r="I223" s="10"/>
      <c r="J223" s="67">
        <v>2343.2310000000002</v>
      </c>
      <c r="K223" s="67">
        <v>4826.4440000000004</v>
      </c>
      <c r="L223" s="109">
        <f ca="1">OFFSET($P223,0,L$2,1,1)</f>
        <v>13944.9246505384</v>
      </c>
      <c r="M223" s="109">
        <f ca="1">OFFSET($P223,0,M$2,1,1)</f>
        <v>17998.966265651623</v>
      </c>
      <c r="N223" s="109">
        <f ca="1">OFFSET($P223,0,N$2,1,1)</f>
        <v>16219.622338498406</v>
      </c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N223" s="58">
        <f>K223</f>
        <v>4826.4440000000004</v>
      </c>
      <c r="AO223" s="58">
        <f ca="1">AN223+AO229</f>
        <v>6165.243912065439</v>
      </c>
      <c r="AP223" s="58">
        <f t="shared" ref="AP223:AZ223" ca="1" si="223">AO223+AP229</f>
        <v>8436.0616920736447</v>
      </c>
      <c r="AQ223" s="58">
        <f t="shared" ca="1" si="223"/>
        <v>11118.457415957837</v>
      </c>
      <c r="AR223" s="58">
        <f t="shared" ca="1" si="223"/>
        <v>13944.9246505384</v>
      </c>
      <c r="AS223" s="58">
        <f t="shared" ca="1" si="223"/>
        <v>16198.969546446666</v>
      </c>
      <c r="AT223" s="58">
        <f t="shared" ca="1" si="223"/>
        <v>18558.812112205374</v>
      </c>
      <c r="AU223" s="58">
        <f t="shared" ca="1" si="223"/>
        <v>18548.885557172798</v>
      </c>
      <c r="AV223" s="58">
        <f t="shared" ca="1" si="223"/>
        <v>17998.966265651623</v>
      </c>
      <c r="AW223" s="58">
        <f t="shared" ca="1" si="223"/>
        <v>16881.327379158738</v>
      </c>
      <c r="AX223" s="58">
        <f t="shared" ca="1" si="223"/>
        <v>15989.903030793026</v>
      </c>
      <c r="AY223" s="58">
        <f t="shared" ca="1" si="223"/>
        <v>16221.556068308575</v>
      </c>
      <c r="AZ223" s="58">
        <f t="shared" ca="1" si="223"/>
        <v>16219.622338498406</v>
      </c>
    </row>
    <row r="224" spans="2:52" s="1" customFormat="1">
      <c r="B224" s="61" t="s">
        <v>508</v>
      </c>
      <c r="E224" s="10"/>
      <c r="F224" s="10"/>
      <c r="G224" s="10"/>
      <c r="H224" s="10"/>
      <c r="I224" s="10"/>
      <c r="J224" s="67">
        <v>0</v>
      </c>
      <c r="K224" s="67">
        <v>0</v>
      </c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N224" s="58">
        <f>K224</f>
        <v>0</v>
      </c>
    </row>
    <row r="225" spans="2:52" s="1" customFormat="1">
      <c r="B225" s="52" t="s">
        <v>511</v>
      </c>
      <c r="E225" s="10"/>
      <c r="F225" s="10"/>
      <c r="G225" s="10"/>
      <c r="H225" s="10"/>
      <c r="I225" s="10"/>
      <c r="J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</row>
    <row r="226" spans="2:52" s="1" customFormat="1">
      <c r="B226" s="61" t="s">
        <v>507</v>
      </c>
      <c r="E226" s="10"/>
      <c r="F226" s="10"/>
      <c r="G226" s="10"/>
      <c r="H226" s="10"/>
      <c r="I226" s="10"/>
      <c r="J226" s="58">
        <f>J220-J223</f>
        <v>2446.7249999999999</v>
      </c>
      <c r="K226" s="58">
        <f>K220-K223</f>
        <v>4558.0829999999996</v>
      </c>
      <c r="L226" s="109">
        <f ca="1">OFFSET($P226,0,L$2,1,1)</f>
        <v>4984.9739535612935</v>
      </c>
      <c r="M226" s="109">
        <f ca="1">OFFSET($P226,0,M$2,1,1)</f>
        <v>4263.3102914030933</v>
      </c>
      <c r="N226" s="109">
        <f ca="1">OFFSET($P226,0,N$2,1,1)</f>
        <v>3417.1719714737937</v>
      </c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N226" s="58">
        <f>AN220-AN223</f>
        <v>4558.0829999999996</v>
      </c>
      <c r="AO226" s="58">
        <f ca="1">AO220-AO223</f>
        <v>5103.4242070654391</v>
      </c>
      <c r="AP226" s="58">
        <f t="shared" ref="AP226:AZ226" ca="1" si="224">AP220-AP223</f>
        <v>5216.4090075082058</v>
      </c>
      <c r="AQ226" s="58">
        <f t="shared" ca="1" si="224"/>
        <v>5255.8042742538237</v>
      </c>
      <c r="AR226" s="58">
        <f t="shared" ca="1" si="224"/>
        <v>4984.9739535612935</v>
      </c>
      <c r="AS226" s="58">
        <f t="shared" ca="1" si="224"/>
        <v>4967.2781544609188</v>
      </c>
      <c r="AT226" s="58">
        <f t="shared" ca="1" si="224"/>
        <v>5031.7277363848043</v>
      </c>
      <c r="AU226" s="58">
        <f t="shared" ca="1" si="224"/>
        <v>4756.0437322354555</v>
      </c>
      <c r="AV226" s="58">
        <f t="shared" ca="1" si="224"/>
        <v>4263.3102914030933</v>
      </c>
      <c r="AW226" s="58">
        <f t="shared" ca="1" si="224"/>
        <v>3855.8140975358947</v>
      </c>
      <c r="AX226" s="58">
        <f t="shared" ca="1" si="224"/>
        <v>3601.3175578472328</v>
      </c>
      <c r="AY226" s="58">
        <f t="shared" ca="1" si="224"/>
        <v>3572.716548118271</v>
      </c>
      <c r="AZ226" s="58">
        <f t="shared" ca="1" si="224"/>
        <v>3417.1719714737937</v>
      </c>
    </row>
    <row r="227" spans="2:52" s="1" customFormat="1">
      <c r="B227" s="61" t="s">
        <v>508</v>
      </c>
      <c r="E227" s="10"/>
      <c r="F227" s="10"/>
      <c r="G227" s="10"/>
      <c r="H227" s="10"/>
      <c r="I227" s="10"/>
      <c r="J227" s="58">
        <f>J221-J224</f>
        <v>0</v>
      </c>
      <c r="K227" s="58">
        <f>K221-K224</f>
        <v>0</v>
      </c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N227" s="58">
        <f>AN221-AN224</f>
        <v>0</v>
      </c>
    </row>
    <row r="228" spans="2:52" s="1" customFormat="1">
      <c r="B228" s="52" t="s">
        <v>512</v>
      </c>
      <c r="E228" s="10"/>
      <c r="F228" s="10"/>
      <c r="G228" s="10"/>
      <c r="H228" s="10"/>
      <c r="I228" s="10"/>
      <c r="J228" s="58"/>
      <c r="K228" s="58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</row>
    <row r="229" spans="2:52" s="1" customFormat="1">
      <c r="B229" s="61" t="s">
        <v>507</v>
      </c>
      <c r="E229" s="10"/>
      <c r="F229" s="10"/>
      <c r="G229" s="10"/>
      <c r="H229" s="10"/>
      <c r="I229" s="10"/>
      <c r="J229" s="58"/>
      <c r="K229" s="58">
        <f>K223-J223</f>
        <v>2483.2130000000002</v>
      </c>
      <c r="L229" s="109">
        <f ca="1">OFFSET($P229,0,L$2,1,1)</f>
        <v>2826.467234580562</v>
      </c>
      <c r="M229" s="109">
        <f ca="1">OFFSET($P229,0,M$2,1,1)</f>
        <v>-549.91929152117427</v>
      </c>
      <c r="N229" s="109">
        <f ca="1">OFFSET($P229,0,N$2,1,1)</f>
        <v>-1.9337298101695524</v>
      </c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O229" s="58">
        <f ca="1">AO260-SUM(AO212:AO213)</f>
        <v>1338.7999120654388</v>
      </c>
      <c r="AP229" s="58">
        <f t="shared" ref="AP229:AZ229" ca="1" si="225">AP260-SUM(AP212:AP213)</f>
        <v>2270.8177800082058</v>
      </c>
      <c r="AQ229" s="58">
        <f t="shared" ca="1" si="225"/>
        <v>2682.3957238841922</v>
      </c>
      <c r="AR229" s="58">
        <f t="shared" ca="1" si="225"/>
        <v>2826.467234580562</v>
      </c>
      <c r="AS229" s="58">
        <f t="shared" ca="1" si="225"/>
        <v>2254.044895908266</v>
      </c>
      <c r="AT229" s="58">
        <f t="shared" ca="1" si="225"/>
        <v>2359.8425657587086</v>
      </c>
      <c r="AU229" s="58">
        <f t="shared" ca="1" si="225"/>
        <v>-9.9265550325767435</v>
      </c>
      <c r="AV229" s="58">
        <f t="shared" ca="1" si="225"/>
        <v>-549.91929152117427</v>
      </c>
      <c r="AW229" s="58">
        <f t="shared" ca="1" si="225"/>
        <v>-1117.6388864928858</v>
      </c>
      <c r="AX229" s="58">
        <f t="shared" ca="1" si="225"/>
        <v>-891.42434836571192</v>
      </c>
      <c r="AY229" s="58">
        <f t="shared" ca="1" si="225"/>
        <v>231.65303751554984</v>
      </c>
      <c r="AZ229" s="58">
        <f t="shared" ca="1" si="225"/>
        <v>-1.9337298101695524</v>
      </c>
    </row>
    <row r="230" spans="2:52" s="1" customFormat="1">
      <c r="B230" s="61" t="s">
        <v>508</v>
      </c>
      <c r="E230" s="10"/>
      <c r="F230" s="10"/>
      <c r="G230" s="10"/>
      <c r="H230" s="10"/>
      <c r="I230" s="10"/>
      <c r="J230" s="58"/>
      <c r="K230" s="58">
        <f>K224-J224</f>
        <v>0</v>
      </c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</row>
    <row r="231" spans="2:52" s="1" customFormat="1">
      <c r="B231" s="52" t="s">
        <v>517</v>
      </c>
      <c r="E231" s="10"/>
      <c r="F231" s="10"/>
      <c r="G231" s="10"/>
      <c r="H231" s="10"/>
      <c r="I231" s="10"/>
      <c r="J231" s="58"/>
      <c r="K231" s="58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</row>
    <row r="232" spans="2:52" s="1" customFormat="1">
      <c r="B232" s="61" t="s">
        <v>507</v>
      </c>
      <c r="E232" s="10"/>
      <c r="F232" s="10"/>
      <c r="G232" s="10"/>
      <c r="H232" s="10"/>
      <c r="I232" s="10"/>
      <c r="J232" s="58"/>
      <c r="K232" s="58">
        <f>K220-J220</f>
        <v>4594.5709999999999</v>
      </c>
      <c r="L232" s="109">
        <f ca="1">OFFSET($P232,0,L$2,1,1)</f>
        <v>2555.6369138880327</v>
      </c>
      <c r="M232" s="109">
        <f ca="1">OFFSET($P232,0,M$2,1,1)</f>
        <v>-1042.6527323535365</v>
      </c>
      <c r="N232" s="109">
        <f ca="1">OFFSET($P232,0,N$2,1,1)</f>
        <v>-157.47830645464774</v>
      </c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O232" s="58">
        <f ca="1">AO243-AO215</f>
        <v>1884.1411191308782</v>
      </c>
      <c r="AP232" s="58">
        <f t="shared" ref="AP232:AZ232" ca="1" si="226">AP243-AP215</f>
        <v>2383.8025804509725</v>
      </c>
      <c r="AQ232" s="58">
        <f t="shared" ca="1" si="226"/>
        <v>2721.79099062981</v>
      </c>
      <c r="AR232" s="58">
        <f t="shared" ca="1" si="226"/>
        <v>2555.6369138880327</v>
      </c>
      <c r="AS232" s="58">
        <f t="shared" ca="1" si="226"/>
        <v>2236.3490968078922</v>
      </c>
      <c r="AT232" s="58">
        <f t="shared" ca="1" si="226"/>
        <v>2424.2921476825941</v>
      </c>
      <c r="AU232" s="58">
        <f t="shared" ca="1" si="226"/>
        <v>-285.61055918192324</v>
      </c>
      <c r="AV232" s="58">
        <f t="shared" ca="1" si="226"/>
        <v>-1042.6527323535365</v>
      </c>
      <c r="AW232" s="58">
        <f t="shared" ca="1" si="226"/>
        <v>-1525.1350803600853</v>
      </c>
      <c r="AX232" s="58">
        <f t="shared" ca="1" si="226"/>
        <v>-1145.920888054372</v>
      </c>
      <c r="AY232" s="58">
        <f t="shared" ca="1" si="226"/>
        <v>203.05202778658577</v>
      </c>
      <c r="AZ232" s="58">
        <f t="shared" ca="1" si="226"/>
        <v>-157.47830645464774</v>
      </c>
    </row>
    <row r="233" spans="2:52" s="1" customFormat="1">
      <c r="B233" s="61" t="s">
        <v>508</v>
      </c>
      <c r="E233" s="10"/>
      <c r="F233" s="10"/>
      <c r="G233" s="10"/>
      <c r="H233" s="10"/>
      <c r="I233" s="10"/>
      <c r="J233" s="58"/>
      <c r="K233" s="58">
        <f>K221-J221</f>
        <v>0</v>
      </c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</row>
    <row r="234" spans="2:52" s="1" customFormat="1">
      <c r="B234" s="52"/>
      <c r="E234" s="10"/>
      <c r="F234" s="10"/>
      <c r="G234" s="10"/>
      <c r="H234" s="10"/>
      <c r="I234" s="10"/>
      <c r="J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</row>
    <row r="235" spans="2:52" s="1" customFormat="1">
      <c r="B235" s="9" t="s">
        <v>595</v>
      </c>
      <c r="E235" s="10"/>
      <c r="F235" s="10"/>
      <c r="G235" s="10"/>
      <c r="H235" s="10"/>
      <c r="I235" s="10"/>
      <c r="J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</row>
    <row r="236" spans="2:52" s="1" customFormat="1">
      <c r="B236" s="52" t="s">
        <v>165</v>
      </c>
      <c r="E236" s="10"/>
      <c r="F236" s="10"/>
      <c r="G236" s="10"/>
      <c r="H236" s="10"/>
      <c r="I236" s="10"/>
      <c r="J236" s="10"/>
      <c r="L236" s="58">
        <f>K239</f>
        <v>4040.4760000000001</v>
      </c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O236" s="58">
        <f>AN239</f>
        <v>4040.4760000000001</v>
      </c>
      <c r="AP236" s="58">
        <f t="shared" ref="AP236:AZ236" si="227">AO239</f>
        <v>4174.4214871349313</v>
      </c>
      <c r="AQ236" s="58">
        <f t="shared" si="227"/>
        <v>4465.3113594541283</v>
      </c>
      <c r="AR236" s="58">
        <f t="shared" si="227"/>
        <v>4831.5377262435559</v>
      </c>
      <c r="AS236" s="58">
        <f t="shared" si="227"/>
        <v>5085.7541954012577</v>
      </c>
      <c r="AT236" s="58">
        <f t="shared" si="227"/>
        <v>5194.5710036355968</v>
      </c>
      <c r="AU236" s="58">
        <f t="shared" si="227"/>
        <v>5366.5343201620517</v>
      </c>
      <c r="AV236" s="58">
        <f t="shared" si="227"/>
        <v>5563.8384101390147</v>
      </c>
      <c r="AW236" s="58">
        <f t="shared" si="227"/>
        <v>5645.5917733405549</v>
      </c>
      <c r="AX236" s="58">
        <f t="shared" si="227"/>
        <v>5663.1213096273623</v>
      </c>
      <c r="AY236" s="58">
        <f t="shared" si="227"/>
        <v>5762.8234810428021</v>
      </c>
      <c r="AZ236" s="58">
        <f t="shared" si="227"/>
        <v>5883.1896582124346</v>
      </c>
    </row>
    <row r="237" spans="2:52" s="1" customFormat="1">
      <c r="B237" s="61" t="s">
        <v>517</v>
      </c>
      <c r="E237" s="10"/>
      <c r="F237" s="10"/>
      <c r="G237" s="10"/>
      <c r="H237" s="10"/>
      <c r="I237" s="10"/>
      <c r="J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O237" s="58">
        <f>AO245</f>
        <v>942.04068713493064</v>
      </c>
      <c r="AP237" s="58">
        <f t="shared" ref="AP237:AZ237" si="228">AP245</f>
        <v>1125.7741697461834</v>
      </c>
      <c r="AQ237" s="58">
        <f t="shared" si="228"/>
        <v>1259.2886386802541</v>
      </c>
      <c r="AR237" s="58">
        <f t="shared" si="228"/>
        <v>1220.524014406413</v>
      </c>
      <c r="AS237" s="58">
        <f t="shared" si="228"/>
        <v>1125.967647314591</v>
      </c>
      <c r="AT237" s="58">
        <f t="shared" si="228"/>
        <v>1210.8775172535748</v>
      </c>
      <c r="AU237" s="58">
        <f t="shared" si="228"/>
        <v>1270.6109540093728</v>
      </c>
      <c r="AV237" s="58">
        <f t="shared" si="228"/>
        <v>1194.5210452293427</v>
      </c>
      <c r="AW237" s="58">
        <f t="shared" si="228"/>
        <v>1146.6478909549191</v>
      </c>
      <c r="AX237" s="58">
        <f t="shared" si="228"/>
        <v>1232.3264333409124</v>
      </c>
      <c r="AY237" s="58">
        <f t="shared" si="228"/>
        <v>1272.9308733781932</v>
      </c>
      <c r="AZ237" s="58">
        <f t="shared" si="228"/>
        <v>1213.9925020884825</v>
      </c>
    </row>
    <row r="238" spans="2:52" s="1" customFormat="1">
      <c r="B238" s="61" t="s">
        <v>596</v>
      </c>
      <c r="E238" s="10"/>
      <c r="F238" s="10"/>
      <c r="G238" s="10"/>
      <c r="H238" s="10"/>
      <c r="I238" s="10"/>
      <c r="J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O238" s="58">
        <f>AO236*AO240</f>
        <v>808.09520000000009</v>
      </c>
      <c r="AP238" s="58">
        <f t="shared" ref="AP238:AZ238" si="229">AP236*AP240</f>
        <v>834.88429742698634</v>
      </c>
      <c r="AQ238" s="58">
        <f t="shared" si="229"/>
        <v>893.06227189082574</v>
      </c>
      <c r="AR238" s="58">
        <f t="shared" si="229"/>
        <v>966.30754524871122</v>
      </c>
      <c r="AS238" s="58">
        <f t="shared" si="229"/>
        <v>1017.1508390802516</v>
      </c>
      <c r="AT238" s="58">
        <f t="shared" si="229"/>
        <v>1038.9142007271194</v>
      </c>
      <c r="AU238" s="58">
        <f t="shared" si="229"/>
        <v>1073.3068640324104</v>
      </c>
      <c r="AV238" s="58">
        <f t="shared" si="229"/>
        <v>1112.7676820278029</v>
      </c>
      <c r="AW238" s="58">
        <f t="shared" si="229"/>
        <v>1129.1183546681111</v>
      </c>
      <c r="AX238" s="58">
        <f t="shared" si="229"/>
        <v>1132.6242619254724</v>
      </c>
      <c r="AY238" s="58">
        <f t="shared" si="229"/>
        <v>1152.5646962085605</v>
      </c>
      <c r="AZ238" s="58">
        <f t="shared" si="229"/>
        <v>1176.637931642487</v>
      </c>
    </row>
    <row r="239" spans="2:52" s="1" customFormat="1">
      <c r="B239" s="52" t="s">
        <v>160</v>
      </c>
      <c r="E239" s="10"/>
      <c r="F239" s="10"/>
      <c r="G239" s="10"/>
      <c r="H239" s="10"/>
      <c r="I239" s="10"/>
      <c r="J239" s="10"/>
      <c r="K239" s="58">
        <f>K245</f>
        <v>4040.4760000000001</v>
      </c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N239" s="58">
        <f>K239</f>
        <v>4040.4760000000001</v>
      </c>
      <c r="AO239" s="58">
        <f>AO236+AO237-AO238</f>
        <v>4174.4214871349313</v>
      </c>
      <c r="AP239" s="58">
        <f t="shared" ref="AP239:AZ239" si="230">AP236+AP237-AP238</f>
        <v>4465.3113594541283</v>
      </c>
      <c r="AQ239" s="58">
        <f t="shared" si="230"/>
        <v>4831.5377262435559</v>
      </c>
      <c r="AR239" s="58">
        <f t="shared" si="230"/>
        <v>5085.7541954012577</v>
      </c>
      <c r="AS239" s="58">
        <f t="shared" si="230"/>
        <v>5194.5710036355968</v>
      </c>
      <c r="AT239" s="58">
        <f t="shared" si="230"/>
        <v>5366.5343201620517</v>
      </c>
      <c r="AU239" s="58">
        <f t="shared" si="230"/>
        <v>5563.8384101390147</v>
      </c>
      <c r="AV239" s="58">
        <f t="shared" si="230"/>
        <v>5645.5917733405549</v>
      </c>
      <c r="AW239" s="58">
        <f t="shared" si="230"/>
        <v>5663.1213096273623</v>
      </c>
      <c r="AX239" s="58">
        <f t="shared" si="230"/>
        <v>5762.8234810428021</v>
      </c>
      <c r="AY239" s="58">
        <f t="shared" si="230"/>
        <v>5883.1896582124346</v>
      </c>
      <c r="AZ239" s="58">
        <f t="shared" si="230"/>
        <v>5920.5442286584303</v>
      </c>
    </row>
    <row r="240" spans="2:52" s="1" customFormat="1">
      <c r="B240" s="52" t="s">
        <v>597</v>
      </c>
      <c r="E240" s="10"/>
      <c r="F240" s="10"/>
      <c r="G240" s="10"/>
      <c r="H240" s="10"/>
      <c r="I240" s="10"/>
      <c r="J240" s="10"/>
      <c r="K240" s="58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N240" s="58"/>
      <c r="AO240" s="66">
        <v>0.2</v>
      </c>
      <c r="AP240" s="66">
        <v>0.2</v>
      </c>
      <c r="AQ240" s="66">
        <v>0.2</v>
      </c>
      <c r="AR240" s="66">
        <v>0.2</v>
      </c>
      <c r="AS240" s="66">
        <v>0.2</v>
      </c>
      <c r="AT240" s="66">
        <v>0.2</v>
      </c>
      <c r="AU240" s="66">
        <v>0.2</v>
      </c>
      <c r="AV240" s="66">
        <v>0.2</v>
      </c>
      <c r="AW240" s="66">
        <v>0.2</v>
      </c>
      <c r="AX240" s="66">
        <v>0.2</v>
      </c>
      <c r="AY240" s="66">
        <v>0.2</v>
      </c>
      <c r="AZ240" s="66">
        <v>0.2</v>
      </c>
    </row>
    <row r="241" spans="1:52" s="1" customFormat="1">
      <c r="B241" s="52"/>
      <c r="E241" s="10"/>
      <c r="F241" s="10"/>
      <c r="G241" s="10"/>
      <c r="H241" s="10"/>
      <c r="I241" s="10"/>
      <c r="J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</row>
    <row r="242" spans="1:52" s="1" customFormat="1">
      <c r="B242" s="52"/>
      <c r="E242" s="10"/>
      <c r="F242" s="10"/>
      <c r="G242" s="10"/>
      <c r="H242" s="10"/>
      <c r="I242" s="10"/>
      <c r="J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</row>
    <row r="243" spans="1:52" s="1" customFormat="1">
      <c r="B243" s="1" t="s">
        <v>593</v>
      </c>
      <c r="E243" s="10"/>
      <c r="F243" s="10"/>
      <c r="G243" s="10"/>
      <c r="H243" s="10"/>
      <c r="I243" s="58">
        <f>-I86</f>
        <v>2586.0859999999998</v>
      </c>
      <c r="J243" s="58">
        <f>-J86</f>
        <v>5290.8379999999997</v>
      </c>
      <c r="K243" s="58">
        <f>-K86</f>
        <v>9087.4380000000001</v>
      </c>
      <c r="L243" s="58">
        <f t="shared" ref="L243:N246" ca="1" si="231">SUM(OFFSET($P243,0,L$1,1,4))</f>
        <v>13299.182404099694</v>
      </c>
      <c r="M243" s="58">
        <f t="shared" ca="1" si="231"/>
        <v>13231.03785253688</v>
      </c>
      <c r="N243" s="58">
        <f t="shared" ca="1" si="231"/>
        <v>12943.303101925811</v>
      </c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O243" s="58">
        <f>AO281*AO278</f>
        <v>2822.5938191308783</v>
      </c>
      <c r="AP243" s="58">
        <f t="shared" ref="AP243:AZ243" si="232">AP281*AP278</f>
        <v>3322.2552804509728</v>
      </c>
      <c r="AQ243" s="58">
        <f t="shared" si="232"/>
        <v>3660.2436906298103</v>
      </c>
      <c r="AR243" s="58">
        <f t="shared" si="232"/>
        <v>3494.089613888033</v>
      </c>
      <c r="AS243" s="58">
        <f t="shared" si="232"/>
        <v>3174.8017968078925</v>
      </c>
      <c r="AT243" s="58">
        <f t="shared" si="232"/>
        <v>3362.7448476825939</v>
      </c>
      <c r="AU243" s="58">
        <f t="shared" si="232"/>
        <v>3475.4359599489553</v>
      </c>
      <c r="AV243" s="58">
        <f t="shared" si="232"/>
        <v>3218.0552480974366</v>
      </c>
      <c r="AW243" s="58">
        <f t="shared" si="232"/>
        <v>3073.5613102697253</v>
      </c>
      <c r="AX243" s="58">
        <f t="shared" si="232"/>
        <v>3286.6214258336613</v>
      </c>
      <c r="AY243" s="58">
        <f t="shared" si="232"/>
        <v>3377.8538245944783</v>
      </c>
      <c r="AZ243" s="58">
        <f t="shared" si="232"/>
        <v>3205.2665412279462</v>
      </c>
    </row>
    <row r="244" spans="1:52" s="1" customFormat="1">
      <c r="B244" s="1" t="s">
        <v>600</v>
      </c>
      <c r="E244" s="10"/>
      <c r="F244" s="10"/>
      <c r="G244" s="10"/>
      <c r="H244" s="10"/>
      <c r="I244" s="58">
        <f>I243-I246</f>
        <v>2586.0859999999998</v>
      </c>
      <c r="J244" s="58">
        <f>J243-J246</f>
        <v>4245.348</v>
      </c>
      <c r="K244" s="58">
        <f>K243-K246</f>
        <v>7241.5159999999996</v>
      </c>
      <c r="L244" s="58">
        <f t="shared" ca="1" si="231"/>
        <v>9796.833089533171</v>
      </c>
      <c r="M244" s="58">
        <f t="shared" ca="1" si="231"/>
        <v>8988.8982666692937</v>
      </c>
      <c r="N244" s="58">
        <f t="shared" ca="1" si="231"/>
        <v>8352.35785748118</v>
      </c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O244" s="58">
        <f>AO243-AO246</f>
        <v>2014.4986191308781</v>
      </c>
      <c r="AP244" s="58">
        <f t="shared" ref="AP244:AZ244" si="233">AP243-AP246</f>
        <v>2487.3709830239864</v>
      </c>
      <c r="AQ244" s="58">
        <f t="shared" si="233"/>
        <v>2767.1814187389846</v>
      </c>
      <c r="AR244" s="58">
        <f t="shared" si="233"/>
        <v>2527.7820686393216</v>
      </c>
      <c r="AS244" s="58">
        <f t="shared" si="233"/>
        <v>2157.6509577276411</v>
      </c>
      <c r="AT244" s="58">
        <f t="shared" si="233"/>
        <v>2323.8306469554745</v>
      </c>
      <c r="AU244" s="58">
        <f t="shared" si="233"/>
        <v>2402.1290959165449</v>
      </c>
      <c r="AV244" s="58">
        <f t="shared" si="233"/>
        <v>2105.2875660696336</v>
      </c>
      <c r="AW244" s="58">
        <f t="shared" si="233"/>
        <v>1944.4429556016141</v>
      </c>
      <c r="AX244" s="58">
        <f t="shared" si="233"/>
        <v>2153.9971639081887</v>
      </c>
      <c r="AY244" s="58">
        <f t="shared" si="233"/>
        <v>2225.289128385918</v>
      </c>
      <c r="AZ244" s="58">
        <f t="shared" si="233"/>
        <v>2028.6286095854591</v>
      </c>
    </row>
    <row r="245" spans="1:52" s="1" customFormat="1">
      <c r="B245" s="1" t="s">
        <v>564</v>
      </c>
      <c r="E245" s="10"/>
      <c r="F245" s="10"/>
      <c r="G245" s="10"/>
      <c r="H245" s="10"/>
      <c r="I245" s="58">
        <f>I122</f>
        <v>1149.0640000000001</v>
      </c>
      <c r="J245" s="58">
        <f>J122</f>
        <v>2194.5540000000001</v>
      </c>
      <c r="K245" s="58">
        <f>K122</f>
        <v>4040.4760000000001</v>
      </c>
      <c r="L245" s="58">
        <f t="shared" ca="1" si="231"/>
        <v>4547.6275099677805</v>
      </c>
      <c r="M245" s="58">
        <f t="shared" ca="1" si="231"/>
        <v>4801.9771638068814</v>
      </c>
      <c r="N245" s="58">
        <f t="shared" ca="1" si="231"/>
        <v>4865.8976997625068</v>
      </c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O245" s="58">
        <f>AO278*AO282</f>
        <v>942.04068713493064</v>
      </c>
      <c r="AP245" s="58">
        <f t="shared" ref="AP245:AZ245" si="234">AP278*AP282</f>
        <v>1125.7741697461834</v>
      </c>
      <c r="AQ245" s="58">
        <f t="shared" si="234"/>
        <v>1259.2886386802541</v>
      </c>
      <c r="AR245" s="58">
        <f t="shared" si="234"/>
        <v>1220.524014406413</v>
      </c>
      <c r="AS245" s="58">
        <f t="shared" si="234"/>
        <v>1125.967647314591</v>
      </c>
      <c r="AT245" s="58">
        <f t="shared" si="234"/>
        <v>1210.8775172535748</v>
      </c>
      <c r="AU245" s="58">
        <f t="shared" si="234"/>
        <v>1270.6109540093728</v>
      </c>
      <c r="AV245" s="58">
        <f t="shared" si="234"/>
        <v>1194.5210452293427</v>
      </c>
      <c r="AW245" s="58">
        <f t="shared" si="234"/>
        <v>1146.6478909549191</v>
      </c>
      <c r="AX245" s="58">
        <f t="shared" si="234"/>
        <v>1232.3264333409124</v>
      </c>
      <c r="AY245" s="58">
        <f t="shared" si="234"/>
        <v>1272.9308733781932</v>
      </c>
      <c r="AZ245" s="58">
        <f t="shared" si="234"/>
        <v>1213.9925020884825</v>
      </c>
    </row>
    <row r="246" spans="1:52" s="1" customFormat="1">
      <c r="B246" s="1" t="s">
        <v>594</v>
      </c>
      <c r="E246" s="10"/>
      <c r="F246" s="10"/>
      <c r="G246" s="10"/>
      <c r="H246" s="10"/>
      <c r="I246" s="58"/>
      <c r="J246" s="64">
        <f>J245-I245</f>
        <v>1045.49</v>
      </c>
      <c r="K246" s="64">
        <f>K245-J245</f>
        <v>1845.922</v>
      </c>
      <c r="L246" s="58">
        <f t="shared" ca="1" si="231"/>
        <v>3502.3493145665234</v>
      </c>
      <c r="M246" s="58">
        <f t="shared" ca="1" si="231"/>
        <v>4242.1395858675842</v>
      </c>
      <c r="N246" s="58">
        <f t="shared" ca="1" si="231"/>
        <v>4590.9452444446315</v>
      </c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O246" s="58">
        <f>AO238</f>
        <v>808.09520000000009</v>
      </c>
      <c r="AP246" s="58">
        <f t="shared" ref="AP246:AZ246" si="235">AP238</f>
        <v>834.88429742698634</v>
      </c>
      <c r="AQ246" s="58">
        <f t="shared" si="235"/>
        <v>893.06227189082574</v>
      </c>
      <c r="AR246" s="58">
        <f t="shared" si="235"/>
        <v>966.30754524871122</v>
      </c>
      <c r="AS246" s="58">
        <f t="shared" si="235"/>
        <v>1017.1508390802516</v>
      </c>
      <c r="AT246" s="58">
        <f t="shared" si="235"/>
        <v>1038.9142007271194</v>
      </c>
      <c r="AU246" s="58">
        <f t="shared" si="235"/>
        <v>1073.3068640324104</v>
      </c>
      <c r="AV246" s="58">
        <f t="shared" si="235"/>
        <v>1112.7676820278029</v>
      </c>
      <c r="AW246" s="58">
        <f t="shared" si="235"/>
        <v>1129.1183546681111</v>
      </c>
      <c r="AX246" s="58">
        <f t="shared" si="235"/>
        <v>1132.6242619254724</v>
      </c>
      <c r="AY246" s="58">
        <f t="shared" si="235"/>
        <v>1152.5646962085605</v>
      </c>
      <c r="AZ246" s="58">
        <f t="shared" si="235"/>
        <v>1176.637931642487</v>
      </c>
    </row>
    <row r="247" spans="1:52" s="1" customFormat="1">
      <c r="B247" s="1" t="s">
        <v>571</v>
      </c>
      <c r="E247" s="10"/>
      <c r="F247" s="10"/>
      <c r="G247" s="10"/>
      <c r="H247" s="10"/>
      <c r="I247" s="58">
        <f>I123+I75</f>
        <v>-58.158000000000015</v>
      </c>
      <c r="J247" s="58">
        <f>J123+J75</f>
        <v>2.839999999999975</v>
      </c>
      <c r="K247" s="58">
        <f>K123+K75</f>
        <v>18.772000000000048</v>
      </c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</row>
    <row r="248" spans="1:52" s="1" customFormat="1">
      <c r="B248" s="1" t="s">
        <v>514</v>
      </c>
      <c r="E248" s="10"/>
      <c r="F248" s="10"/>
      <c r="G248" s="10"/>
      <c r="H248" s="10"/>
      <c r="I248" s="58">
        <f>I68</f>
        <v>0</v>
      </c>
      <c r="J248" s="58">
        <f>J68</f>
        <v>212.21899999999999</v>
      </c>
      <c r="K248" s="58">
        <f>K68</f>
        <v>390.23500000000001</v>
      </c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</row>
    <row r="249" spans="1:52" s="1" customFormat="1">
      <c r="B249" s="1" t="s">
        <v>515</v>
      </c>
      <c r="E249" s="10"/>
      <c r="F249" s="10"/>
      <c r="G249" s="10"/>
      <c r="H249" s="10"/>
      <c r="I249" s="58"/>
      <c r="J249" s="58"/>
      <c r="K249" s="58">
        <f>K260-SUM(K229:K230,'IQ_BS + CFS'!K212:K213)</f>
        <v>2205.21</v>
      </c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</row>
    <row r="250" spans="1:52" s="1" customFormat="1">
      <c r="B250" s="1" t="s">
        <v>519</v>
      </c>
      <c r="E250" s="10"/>
      <c r="F250" s="10"/>
      <c r="G250" s="10"/>
      <c r="H250" s="10"/>
      <c r="I250" s="67">
        <v>2.2000000000000002</v>
      </c>
      <c r="J250" s="67">
        <v>3.5</v>
      </c>
      <c r="K250" s="67">
        <v>2.5</v>
      </c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</row>
    <row r="252" spans="1:52">
      <c r="B252" s="1" t="s">
        <v>518</v>
      </c>
      <c r="L252" s="67">
        <v>3182.2869999999998</v>
      </c>
      <c r="M252" s="67">
        <v>1247.538</v>
      </c>
      <c r="N252" s="67">
        <v>694.40499999999997</v>
      </c>
      <c r="AO252" s="58">
        <f>L252/4</f>
        <v>795.57174999999995</v>
      </c>
      <c r="AP252" s="58">
        <f>AO252</f>
        <v>795.57174999999995</v>
      </c>
      <c r="AQ252" s="58">
        <f t="shared" ref="AQ252:AR252" si="236">AP252</f>
        <v>795.57174999999995</v>
      </c>
      <c r="AR252" s="58">
        <f t="shared" si="236"/>
        <v>795.57174999999995</v>
      </c>
      <c r="AS252" s="58">
        <f>M252/4</f>
        <v>311.8845</v>
      </c>
      <c r="AT252" s="58">
        <f>AS252</f>
        <v>311.8845</v>
      </c>
      <c r="AU252" s="58">
        <f t="shared" ref="AU252:AV252" si="237">AT252</f>
        <v>311.8845</v>
      </c>
      <c r="AV252" s="58">
        <f t="shared" si="237"/>
        <v>311.8845</v>
      </c>
      <c r="AW252" s="58">
        <f>N252/4</f>
        <v>173.60124999999999</v>
      </c>
      <c r="AX252" s="58">
        <f>AW252</f>
        <v>173.60124999999999</v>
      </c>
      <c r="AY252" s="58">
        <f t="shared" ref="AY252:AZ252" si="238">AX252</f>
        <v>173.60124999999999</v>
      </c>
      <c r="AZ252" s="58">
        <f t="shared" si="238"/>
        <v>173.60124999999999</v>
      </c>
    </row>
    <row r="253" spans="1:52">
      <c r="B253" s="1" t="s">
        <v>578</v>
      </c>
      <c r="L253" s="58">
        <f t="shared" ref="L253:N260" ca="1" si="239">SUM(OFFSET($P253,0,L$1,1,4))</f>
        <v>9549.2365455383988</v>
      </c>
      <c r="M253" s="58">
        <f t="shared" ca="1" si="239"/>
        <v>12161.243450215163</v>
      </c>
      <c r="N253" s="58">
        <f t="shared" ca="1" si="239"/>
        <v>12962.590516346027</v>
      </c>
      <c r="AO253" s="58">
        <f ca="1">SUM(AO254:AO258)</f>
        <v>1411.2969095654391</v>
      </c>
      <c r="AP253" s="58">
        <f t="shared" ref="AP253:AZ253" ca="1" si="240">SUM(AP254:AP258)</f>
        <v>2366.7760950082061</v>
      </c>
      <c r="AQ253" s="58">
        <f t="shared" ca="1" si="240"/>
        <v>2801.8153563841925</v>
      </c>
      <c r="AR253" s="58">
        <f t="shared" ca="1" si="240"/>
        <v>2969.3481845805618</v>
      </c>
      <c r="AS253" s="58">
        <f t="shared" ca="1" si="240"/>
        <v>2880.6130959082657</v>
      </c>
      <c r="AT253" s="58">
        <f t="shared" ca="1" si="240"/>
        <v>2986.4107657587083</v>
      </c>
      <c r="AU253" s="58">
        <f t="shared" ca="1" si="240"/>
        <v>3156.9760821852137</v>
      </c>
      <c r="AV253" s="58">
        <f t="shared" ca="1" si="240"/>
        <v>3137.2435063629737</v>
      </c>
      <c r="AW253" s="58">
        <f t="shared" ca="1" si="240"/>
        <v>3095.0531125634889</v>
      </c>
      <c r="AX253" s="58">
        <f t="shared" ca="1" si="240"/>
        <v>3263.2350738888094</v>
      </c>
      <c r="AY253" s="58">
        <f t="shared" ca="1" si="240"/>
        <v>3341.6982347451453</v>
      </c>
      <c r="AZ253" s="58">
        <f t="shared" ca="1" si="240"/>
        <v>3262.6040951485825</v>
      </c>
    </row>
    <row r="254" spans="1:52">
      <c r="A254" s="50"/>
      <c r="B254" s="178">
        <v>0.5</v>
      </c>
      <c r="L254" s="58">
        <f t="shared" ca="1" si="239"/>
        <v>6649.5912020498472</v>
      </c>
      <c r="M254" s="58">
        <f t="shared" ca="1" si="239"/>
        <v>6615.5189262684398</v>
      </c>
      <c r="N254" s="58">
        <f t="shared" ca="1" si="239"/>
        <v>6471.6515509629053</v>
      </c>
      <c r="AO254" s="58">
        <f t="shared" ref="AO254:AZ254" si="241">AO243*$B254</f>
        <v>1411.2969095654391</v>
      </c>
      <c r="AP254" s="58">
        <f t="shared" si="241"/>
        <v>1661.1276402254864</v>
      </c>
      <c r="AQ254" s="58">
        <f t="shared" si="241"/>
        <v>1830.1218453149052</v>
      </c>
      <c r="AR254" s="58">
        <f t="shared" si="241"/>
        <v>1747.0448069440165</v>
      </c>
      <c r="AS254" s="58">
        <f t="shared" si="241"/>
        <v>1587.4008984039463</v>
      </c>
      <c r="AT254" s="58">
        <f t="shared" si="241"/>
        <v>1681.3724238412969</v>
      </c>
      <c r="AU254" s="58">
        <f t="shared" si="241"/>
        <v>1737.7179799744777</v>
      </c>
      <c r="AV254" s="58">
        <f t="shared" si="241"/>
        <v>1609.0276240487183</v>
      </c>
      <c r="AW254" s="58">
        <f t="shared" si="241"/>
        <v>1536.7806551348626</v>
      </c>
      <c r="AX254" s="58">
        <f t="shared" si="241"/>
        <v>1643.3107129168307</v>
      </c>
      <c r="AY254" s="58">
        <f t="shared" si="241"/>
        <v>1688.9269122972391</v>
      </c>
      <c r="AZ254" s="58">
        <f t="shared" si="241"/>
        <v>1602.6332706139731</v>
      </c>
    </row>
    <row r="255" spans="1:52">
      <c r="A255" s="50"/>
      <c r="B255" s="179">
        <v>0.25</v>
      </c>
      <c r="L255" s="58">
        <f t="shared" ca="1" si="239"/>
        <v>2451.2731975529155</v>
      </c>
      <c r="M255" s="58">
        <f t="shared" ca="1" si="239"/>
        <v>3376.7680545818685</v>
      </c>
      <c r="N255" s="58">
        <f t="shared" ca="1" si="239"/>
        <v>3239.0229521988254</v>
      </c>
      <c r="AO255" s="58">
        <f t="shared" ref="AO255:AZ255" si="242">AN243*$B$255</f>
        <v>0</v>
      </c>
      <c r="AP255" s="58">
        <f t="shared" si="242"/>
        <v>705.64845478271957</v>
      </c>
      <c r="AQ255" s="58">
        <f t="shared" si="242"/>
        <v>830.5638201127432</v>
      </c>
      <c r="AR255" s="58">
        <f t="shared" si="242"/>
        <v>915.06092265745258</v>
      </c>
      <c r="AS255" s="58">
        <f t="shared" si="242"/>
        <v>873.52240347200825</v>
      </c>
      <c r="AT255" s="58">
        <f t="shared" si="242"/>
        <v>793.70044920197313</v>
      </c>
      <c r="AU255" s="58">
        <f t="shared" si="242"/>
        <v>840.68621192064847</v>
      </c>
      <c r="AV255" s="58">
        <f t="shared" si="242"/>
        <v>868.85898998723883</v>
      </c>
      <c r="AW255" s="58">
        <f t="shared" si="242"/>
        <v>804.51381202435914</v>
      </c>
      <c r="AX255" s="58">
        <f t="shared" si="242"/>
        <v>768.39032756743131</v>
      </c>
      <c r="AY255" s="58">
        <f t="shared" si="242"/>
        <v>821.65535645841533</v>
      </c>
      <c r="AZ255" s="58">
        <f t="shared" si="242"/>
        <v>844.46345614861957</v>
      </c>
    </row>
    <row r="256" spans="1:52">
      <c r="B256" s="180">
        <v>0.05</v>
      </c>
      <c r="L256" s="58">
        <f t="shared" ca="1" si="239"/>
        <v>448.37214593563652</v>
      </c>
      <c r="M256" s="58">
        <f t="shared" ca="1" si="239"/>
        <v>1367.1635165392518</v>
      </c>
      <c r="N256" s="58">
        <f t="shared" ca="1" si="239"/>
        <v>1309.1735655074247</v>
      </c>
      <c r="AO256" s="58">
        <f t="shared" ref="AO256:AZ256" si="243">$B$256*SUM(AL243:AM243)</f>
        <v>0</v>
      </c>
      <c r="AP256" s="58">
        <f t="shared" si="243"/>
        <v>0</v>
      </c>
      <c r="AQ256" s="58">
        <f t="shared" si="243"/>
        <v>141.12969095654393</v>
      </c>
      <c r="AR256" s="58">
        <f t="shared" si="243"/>
        <v>307.2424549790926</v>
      </c>
      <c r="AS256" s="58">
        <f t="shared" si="243"/>
        <v>349.12494855403918</v>
      </c>
      <c r="AT256" s="58">
        <f t="shared" si="243"/>
        <v>357.7166652258922</v>
      </c>
      <c r="AU256" s="58">
        <f t="shared" si="243"/>
        <v>333.4445705347963</v>
      </c>
      <c r="AV256" s="58">
        <f t="shared" si="243"/>
        <v>326.87733222452437</v>
      </c>
      <c r="AW256" s="58">
        <f t="shared" si="243"/>
        <v>341.90904038157748</v>
      </c>
      <c r="AX256" s="58">
        <f t="shared" si="243"/>
        <v>334.67456040231963</v>
      </c>
      <c r="AY256" s="58">
        <f t="shared" si="243"/>
        <v>314.58082791835812</v>
      </c>
      <c r="AZ256" s="58">
        <f t="shared" si="243"/>
        <v>318.00913680516936</v>
      </c>
    </row>
    <row r="257" spans="2:52">
      <c r="B257" s="181">
        <f>(1-B254-B255-B256*2)/6</f>
        <v>2.4999999999999998E-2</v>
      </c>
      <c r="L257" s="58">
        <f t="shared" ca="1" si="239"/>
        <v>0</v>
      </c>
      <c r="M257" s="58">
        <f t="shared" ca="1" si="239"/>
        <v>801.79295282560201</v>
      </c>
      <c r="N257" s="58">
        <f t="shared" ca="1" si="239"/>
        <v>1352.0345100412346</v>
      </c>
      <c r="AO257" s="58">
        <f t="shared" ref="AO257:AZ257" ca="1" si="244">IF(AO$1&gt;4,SUM(OFFSET($AN$243,0,MAX(AO$1-7,1),1,MIN(AO$1-4,4)))*$B257,0)</f>
        <v>0</v>
      </c>
      <c r="AP257" s="58">
        <f t="shared" ca="1" si="244"/>
        <v>0</v>
      </c>
      <c r="AQ257" s="58">
        <f t="shared" ca="1" si="244"/>
        <v>0</v>
      </c>
      <c r="AR257" s="58">
        <f t="shared" ca="1" si="244"/>
        <v>0</v>
      </c>
      <c r="AS257" s="58">
        <f t="shared" ca="1" si="244"/>
        <v>70.564845478271948</v>
      </c>
      <c r="AT257" s="58">
        <f t="shared" ca="1" si="244"/>
        <v>153.62122748954627</v>
      </c>
      <c r="AU257" s="58">
        <f t="shared" ca="1" si="244"/>
        <v>245.12731975529152</v>
      </c>
      <c r="AV257" s="58">
        <f t="shared" ca="1" si="244"/>
        <v>332.47956010249231</v>
      </c>
      <c r="AW257" s="58">
        <f t="shared" ca="1" si="244"/>
        <v>341.28475954441774</v>
      </c>
      <c r="AX257" s="58">
        <f t="shared" ca="1" si="244"/>
        <v>342.2969987252082</v>
      </c>
      <c r="AY257" s="58">
        <f t="shared" ca="1" si="244"/>
        <v>337.67680545818683</v>
      </c>
      <c r="AZ257" s="58">
        <f t="shared" ca="1" si="244"/>
        <v>330.77594631342197</v>
      </c>
    </row>
    <row r="258" spans="2:52">
      <c r="B258" s="182">
        <f>B257</f>
        <v>2.4999999999999998E-2</v>
      </c>
      <c r="L258" s="58">
        <f t="shared" ca="1" si="239"/>
        <v>0</v>
      </c>
      <c r="M258" s="58">
        <f t="shared" ca="1" si="239"/>
        <v>0</v>
      </c>
      <c r="N258" s="58">
        <f t="shared" ca="1" si="239"/>
        <v>590.70793763563574</v>
      </c>
      <c r="AO258" s="58">
        <f t="shared" ref="AO258:AV258" ca="1" si="245">IF(AO$1&gt;8,SUM(OFFSET($AN$243,0,MAX(AO$1-7,1),1,MIN(AO$1-8,2)))*$B258,0)</f>
        <v>0</v>
      </c>
      <c r="AP258" s="58">
        <f t="shared" ca="1" si="245"/>
        <v>0</v>
      </c>
      <c r="AQ258" s="58">
        <f t="shared" ca="1" si="245"/>
        <v>0</v>
      </c>
      <c r="AR258" s="58">
        <f t="shared" ca="1" si="245"/>
        <v>0</v>
      </c>
      <c r="AS258" s="58">
        <f t="shared" ca="1" si="245"/>
        <v>0</v>
      </c>
      <c r="AT258" s="58">
        <f t="shared" ca="1" si="245"/>
        <v>0</v>
      </c>
      <c r="AU258" s="58">
        <f t="shared" ca="1" si="245"/>
        <v>0</v>
      </c>
      <c r="AV258" s="58">
        <f t="shared" ca="1" si="245"/>
        <v>0</v>
      </c>
      <c r="AW258" s="58">
        <f ca="1">IF(AW$1&gt;8,SUM(OFFSET($AN$243,0,MAX(AW$1-8,1),1,MIN(AW$1-8,2)))*$B258,0)</f>
        <v>70.564845478271948</v>
      </c>
      <c r="AX258" s="58">
        <f ca="1">IF(AX$1&gt;8,SUM(OFFSET($AN$243,0,MAX(AX$1-8,1),1,MIN(AX$1-8,2)))*$B258,0)</f>
        <v>174.56247427701956</v>
      </c>
      <c r="AY258" s="58">
        <f ca="1">IF(AY$1&gt;8,SUM(OFFSET($AN$243,0,MAX(AY$1-8,1),1,MIN(AY$1-8,2)))*$B258,0)</f>
        <v>178.85833261294607</v>
      </c>
      <c r="AZ258" s="58">
        <f ca="1">IF(AZ$1&gt;8,SUM(OFFSET($AN$243,0,MAX(AZ$1-8,1),1,MIN(AZ$1-8,2)))*$B258,0)</f>
        <v>166.72228526739812</v>
      </c>
    </row>
    <row r="259" spans="2:52">
      <c r="B259" s="1" t="s">
        <v>586</v>
      </c>
      <c r="L259" s="58">
        <f t="shared" ca="1" si="239"/>
        <v>1065.5663272424183</v>
      </c>
      <c r="M259" s="58">
        <f t="shared" ca="1" si="239"/>
        <v>1281.457823007343</v>
      </c>
      <c r="N259" s="58">
        <f t="shared" ca="1" si="239"/>
        <v>1481.1831679152124</v>
      </c>
      <c r="AO259" s="58">
        <f ca="1">AO213</f>
        <v>202.59649590829457</v>
      </c>
      <c r="AP259" s="58">
        <f t="shared" ref="AP259:AZ259" ca="1" si="246">AP213</f>
        <v>443.45950701138014</v>
      </c>
      <c r="AQ259" s="58">
        <f t="shared" ca="1" si="246"/>
        <v>234.96891923548603</v>
      </c>
      <c r="AR259" s="58">
        <f t="shared" ca="1" si="246"/>
        <v>184.54140508725763</v>
      </c>
      <c r="AS259" s="58">
        <f t="shared" ca="1" si="246"/>
        <v>247.31967238005058</v>
      </c>
      <c r="AT259" s="58">
        <f t="shared" ca="1" si="246"/>
        <v>535.34986010797581</v>
      </c>
      <c r="AU259" s="58">
        <f t="shared" ca="1" si="246"/>
        <v>280.63556925562631</v>
      </c>
      <c r="AV259" s="58">
        <f t="shared" ca="1" si="246"/>
        <v>218.15272126369035</v>
      </c>
      <c r="AW259" s="58">
        <f t="shared" ca="1" si="246"/>
        <v>289.49449442863011</v>
      </c>
      <c r="AX259" s="58">
        <f t="shared" ca="1" si="246"/>
        <v>620.73879923416825</v>
      </c>
      <c r="AY259" s="58">
        <f t="shared" ca="1" si="246"/>
        <v>322.45760191003069</v>
      </c>
      <c r="AZ259" s="58">
        <f t="shared" ca="1" si="246"/>
        <v>248.49227234238322</v>
      </c>
    </row>
    <row r="260" spans="2:52">
      <c r="B260" s="8" t="s">
        <v>585</v>
      </c>
      <c r="I260" s="58">
        <f>I66</f>
        <v>2293.7350000000001</v>
      </c>
      <c r="J260" s="58">
        <f>J66</f>
        <v>4036.1210000000001</v>
      </c>
      <c r="K260" s="58">
        <f>K66</f>
        <v>7491.9549999999999</v>
      </c>
      <c r="L260" s="58">
        <f t="shared" ca="1" si="239"/>
        <v>13797.089872780818</v>
      </c>
      <c r="M260" s="58">
        <f t="shared" ca="1" si="239"/>
        <v>14690.239273222505</v>
      </c>
      <c r="N260" s="58">
        <f t="shared" ca="1" si="239"/>
        <v>15138.178684261238</v>
      </c>
      <c r="AO260" s="82">
        <f ca="1">SUM(AO252:AO253,AO259)</f>
        <v>2409.4651554737334</v>
      </c>
      <c r="AP260" s="82">
        <f t="shared" ref="AP260:AZ260" ca="1" si="247">SUM(AP252:AP253,AP259)</f>
        <v>3605.8073520195862</v>
      </c>
      <c r="AQ260" s="82">
        <f t="shared" ca="1" si="247"/>
        <v>3832.3560256196783</v>
      </c>
      <c r="AR260" s="82">
        <f t="shared" ca="1" si="247"/>
        <v>3949.4613396678196</v>
      </c>
      <c r="AS260" s="82">
        <f t="shared" ca="1" si="247"/>
        <v>3439.8172682883164</v>
      </c>
      <c r="AT260" s="82">
        <f t="shared" ca="1" si="247"/>
        <v>3833.6451258666843</v>
      </c>
      <c r="AU260" s="82">
        <f t="shared" ca="1" si="247"/>
        <v>3749.4961514408401</v>
      </c>
      <c r="AV260" s="82">
        <f t="shared" ca="1" si="247"/>
        <v>3667.280727626664</v>
      </c>
      <c r="AW260" s="82">
        <f t="shared" ca="1" si="247"/>
        <v>3558.1488569921194</v>
      </c>
      <c r="AX260" s="82">
        <f t="shared" ca="1" si="247"/>
        <v>4057.5751231229779</v>
      </c>
      <c r="AY260" s="82">
        <f t="shared" ca="1" si="247"/>
        <v>3837.757086655176</v>
      </c>
      <c r="AZ260" s="82">
        <f t="shared" ca="1" si="247"/>
        <v>3684.697617490966</v>
      </c>
    </row>
    <row r="261" spans="2:52">
      <c r="B261" s="8"/>
      <c r="L261" s="67"/>
      <c r="M261" s="67"/>
      <c r="N261" s="67"/>
      <c r="AO261" s="58"/>
      <c r="AP261" s="58"/>
      <c r="AQ261" s="58"/>
      <c r="AR261" s="58"/>
      <c r="AS261" s="58"/>
      <c r="AT261" s="58"/>
      <c r="AU261" s="58"/>
      <c r="AV261" s="58"/>
      <c r="AW261" s="165"/>
      <c r="AX261" s="58"/>
      <c r="AY261" s="58"/>
      <c r="AZ261" s="58"/>
    </row>
    <row r="262" spans="2:52">
      <c r="B262" s="1" t="s">
        <v>575</v>
      </c>
      <c r="K262" s="67"/>
      <c r="L262" s="67">
        <v>6146.2659999999996</v>
      </c>
      <c r="M262" s="67">
        <v>5377.9930000000004</v>
      </c>
      <c r="N262" s="67">
        <v>2800.6750000000002</v>
      </c>
    </row>
    <row r="264" spans="2:52">
      <c r="B264" s="8" t="s">
        <v>522</v>
      </c>
    </row>
    <row r="265" spans="2:52">
      <c r="B265" s="3" t="s">
        <v>523</v>
      </c>
      <c r="J265" s="67">
        <v>111.726</v>
      </c>
      <c r="K265" s="67">
        <v>124.99</v>
      </c>
    </row>
    <row r="266" spans="2:52">
      <c r="B266" s="3" t="s">
        <v>524</v>
      </c>
      <c r="J266" s="67">
        <v>259.8</v>
      </c>
      <c r="K266" s="67">
        <v>1310.3489999999999</v>
      </c>
    </row>
    <row r="267" spans="2:52">
      <c r="B267" s="3" t="s">
        <v>525</v>
      </c>
      <c r="J267" s="67">
        <v>41.98</v>
      </c>
      <c r="K267" s="67">
        <v>128.94</v>
      </c>
    </row>
    <row r="268" spans="2:52">
      <c r="B268" s="9" t="s">
        <v>529</v>
      </c>
      <c r="I268" s="58">
        <f>J268+I272-I270</f>
        <v>307.15800000000007</v>
      </c>
      <c r="J268" s="58">
        <f>SUM(J265:J267)</f>
        <v>413.50600000000003</v>
      </c>
      <c r="K268" s="58">
        <f>SUM(K265:K267)</f>
        <v>1564.279</v>
      </c>
      <c r="L268" s="58">
        <f ca="1">K268+L270-L272</f>
        <v>3917.4274677372259</v>
      </c>
      <c r="M268" s="58">
        <f t="shared" ref="M268:N268" ca="1" si="248">L268+M270-M272</f>
        <v>5738.1136604315252</v>
      </c>
      <c r="N268" s="58">
        <f t="shared" ca="1" si="248"/>
        <v>6670.125369973397</v>
      </c>
      <c r="AN268" s="58">
        <f>K268</f>
        <v>1564.279</v>
      </c>
      <c r="AO268" s="58">
        <f>AN268+AO270-AO272</f>
        <v>2042.9347093044476</v>
      </c>
      <c r="AP268" s="58">
        <f t="shared" ref="AP268:AZ268" si="249">AO268+AP270-AP272</f>
        <v>2639.7256711216719</v>
      </c>
      <c r="AQ268" s="58">
        <f t="shared" si="249"/>
        <v>3314.5436720043131</v>
      </c>
      <c r="AR268" s="58">
        <f t="shared" si="249"/>
        <v>3917.4274677372259</v>
      </c>
      <c r="AS268" s="58">
        <f t="shared" si="249"/>
        <v>4388.8309768081444</v>
      </c>
      <c r="AT268" s="58">
        <f t="shared" si="249"/>
        <v>4891.2500577832061</v>
      </c>
      <c r="AU268" s="58">
        <f t="shared" si="249"/>
        <v>5392.0269728807725</v>
      </c>
      <c r="AV268" s="58">
        <f t="shared" si="249"/>
        <v>5738.1136604315243</v>
      </c>
      <c r="AW268" s="58">
        <f t="shared" si="249"/>
        <v>5925.6712346749318</v>
      </c>
      <c r="AX268" s="58">
        <f t="shared" si="249"/>
        <v>6104.1519407728301</v>
      </c>
      <c r="AY268" s="58">
        <f t="shared" si="249"/>
        <v>6439.0759733325449</v>
      </c>
      <c r="AZ268" s="58">
        <f t="shared" si="249"/>
        <v>6670.125369973397</v>
      </c>
    </row>
    <row r="269" spans="2:52">
      <c r="B269" s="9"/>
      <c r="J269" s="58"/>
      <c r="K269" s="58"/>
    </row>
    <row r="270" spans="2:52">
      <c r="B270" s="3" t="s">
        <v>561</v>
      </c>
      <c r="I270" s="67">
        <v>337.94499999999999</v>
      </c>
      <c r="J270" s="67">
        <v>872.42499999999995</v>
      </c>
      <c r="K270" s="67">
        <v>1962.221</v>
      </c>
      <c r="L270" s="58">
        <f ca="1">SUM(OFFSET($P270,0,L$1,1,4))</f>
        <v>3871.098903892977</v>
      </c>
      <c r="M270" s="58">
        <f ca="1">SUM(OFFSET($P270,0,M$1,1,4))</f>
        <v>5259.4629470367254</v>
      </c>
      <c r="N270" s="58">
        <f ca="1">SUM(OFFSET($P270,0,N$1,1,4))</f>
        <v>6172.5364110787905</v>
      </c>
      <c r="AO270" s="58">
        <f>AO283*AO278</f>
        <v>705.64845478271934</v>
      </c>
      <c r="AP270" s="58">
        <f t="shared" ref="AP270:AZ270" si="250">AP283*AP278</f>
        <v>915.31523032832911</v>
      </c>
      <c r="AQ270" s="58">
        <f t="shared" si="250"/>
        <v>1103.7136326597179</v>
      </c>
      <c r="AR270" s="58">
        <f t="shared" si="250"/>
        <v>1146.4215861222106</v>
      </c>
      <c r="AS270" s="58">
        <f t="shared" si="250"/>
        <v>1127.7125549557954</v>
      </c>
      <c r="AT270" s="58">
        <f t="shared" si="250"/>
        <v>1287.4756965110435</v>
      </c>
      <c r="AU270" s="58">
        <f t="shared" si="250"/>
        <v>1428.7039229261648</v>
      </c>
      <c r="AV270" s="58">
        <f t="shared" si="250"/>
        <v>1415.5707726437222</v>
      </c>
      <c r="AW270" s="58">
        <f t="shared" si="250"/>
        <v>1396.7129548181974</v>
      </c>
      <c r="AX270" s="58">
        <f t="shared" si="250"/>
        <v>1541.8178740807646</v>
      </c>
      <c r="AY270" s="58">
        <f t="shared" si="250"/>
        <v>1634.7427278492326</v>
      </c>
      <c r="AZ270" s="58">
        <f t="shared" si="250"/>
        <v>1599.2628543305968</v>
      </c>
    </row>
    <row r="271" spans="2:52">
      <c r="B271" s="3"/>
      <c r="J271" s="67"/>
      <c r="K271" s="67"/>
    </row>
    <row r="272" spans="2:52">
      <c r="B272" s="3" t="s">
        <v>527</v>
      </c>
      <c r="I272" s="58">
        <f>I67</f>
        <v>231.59700000000001</v>
      </c>
      <c r="J272" s="58">
        <f>J67</f>
        <v>574.53</v>
      </c>
      <c r="K272" s="58">
        <f>K67</f>
        <v>811.44799999999998</v>
      </c>
      <c r="L272" s="58">
        <f ca="1">L273+L276</f>
        <v>1517.950436155751</v>
      </c>
      <c r="M272" s="58">
        <f t="shared" ref="M272:N272" ca="1" si="251">M273+M276</f>
        <v>3438.776754342427</v>
      </c>
      <c r="N272" s="58">
        <f t="shared" ca="1" si="251"/>
        <v>5240.5247015369187</v>
      </c>
      <c r="AO272" s="58">
        <f t="shared" ref="AO272" si="252">AO273+AO276</f>
        <v>226.99274547827193</v>
      </c>
      <c r="AP272" s="58">
        <f t="shared" ref="AP272" si="253">AP273+AP276</f>
        <v>318.52426851110488</v>
      </c>
      <c r="AQ272" s="58">
        <f t="shared" ref="AQ272" si="254">AQ273+AQ276</f>
        <v>428.89563177707669</v>
      </c>
      <c r="AR272" s="58">
        <f t="shared" ref="AR272" si="255">AR273+AR276</f>
        <v>543.5377903892977</v>
      </c>
      <c r="AS272" s="58">
        <f t="shared" ref="AS272" si="256">AS273+AS276</f>
        <v>656.30904588487726</v>
      </c>
      <c r="AT272" s="58">
        <f t="shared" ref="AT272" si="257">AT273+AT276</f>
        <v>785.05661553598168</v>
      </c>
      <c r="AU272" s="58">
        <f t="shared" ref="AU272" si="258">AU273+AU276</f>
        <v>927.92700782859811</v>
      </c>
      <c r="AV272" s="58">
        <f t="shared" ref="AV272" si="259">AV273+AV276</f>
        <v>1069.4840850929702</v>
      </c>
      <c r="AW272" s="58">
        <f t="shared" ref="AW272" si="260">AW273+AW276</f>
        <v>1209.1553805747899</v>
      </c>
      <c r="AX272" s="58">
        <f t="shared" ref="AX272" si="261">AX273+AX276</f>
        <v>1363.3371679828665</v>
      </c>
      <c r="AY272" s="58">
        <f t="shared" ref="AY272" si="262">AY273+AY276</f>
        <v>1299.8186952895178</v>
      </c>
      <c r="AZ272" s="58">
        <f t="shared" ref="AZ272" si="263">AZ273+AZ276</f>
        <v>1368.2134576897447</v>
      </c>
    </row>
    <row r="273" spans="2:53">
      <c r="B273" s="52" t="s">
        <v>526</v>
      </c>
      <c r="I273" s="67">
        <v>231.59700000000001</v>
      </c>
      <c r="J273" s="67">
        <v>574.53</v>
      </c>
      <c r="K273" s="67">
        <v>774.53</v>
      </c>
      <c r="L273" s="58">
        <f t="shared" ref="L273:N275" ca="1" si="264">SUM(OFFSET($P273,0,L$1,1,4))</f>
        <v>1517.950436155751</v>
      </c>
      <c r="M273" s="58">
        <f t="shared" ca="1" si="264"/>
        <v>3438.776754342427</v>
      </c>
      <c r="N273" s="58">
        <f t="shared" ca="1" si="264"/>
        <v>5240.5247015369187</v>
      </c>
      <c r="AO273" s="58">
        <f>SUM(AO274:AO275)</f>
        <v>226.99274547827193</v>
      </c>
      <c r="AP273" s="58">
        <f t="shared" ref="AP273:AZ273" si="265">SUM(AP274:AP275)</f>
        <v>318.52426851110488</v>
      </c>
      <c r="AQ273" s="58">
        <f t="shared" si="265"/>
        <v>428.89563177707669</v>
      </c>
      <c r="AR273" s="58">
        <f t="shared" si="265"/>
        <v>543.5377903892977</v>
      </c>
      <c r="AS273" s="58">
        <f t="shared" si="265"/>
        <v>656.30904588487726</v>
      </c>
      <c r="AT273" s="58">
        <f t="shared" si="265"/>
        <v>785.05661553598168</v>
      </c>
      <c r="AU273" s="58">
        <f t="shared" si="265"/>
        <v>927.92700782859811</v>
      </c>
      <c r="AV273" s="58">
        <f t="shared" si="265"/>
        <v>1069.4840850929702</v>
      </c>
      <c r="AW273" s="58">
        <f t="shared" si="265"/>
        <v>1209.1553805747899</v>
      </c>
      <c r="AX273" s="58">
        <f t="shared" si="265"/>
        <v>1363.3371679828665</v>
      </c>
      <c r="AY273" s="58">
        <f t="shared" si="265"/>
        <v>1299.8186952895178</v>
      </c>
      <c r="AZ273" s="58">
        <f t="shared" si="265"/>
        <v>1368.2134576897447</v>
      </c>
    </row>
    <row r="274" spans="2:53">
      <c r="B274" s="61" t="s">
        <v>580</v>
      </c>
      <c r="I274" s="67"/>
      <c r="J274" s="67"/>
      <c r="K274" s="67"/>
      <c r="L274" s="58">
        <f t="shared" ca="1" si="264"/>
        <v>625.71159999999998</v>
      </c>
      <c r="M274" s="58">
        <f t="shared" ca="1" si="264"/>
        <v>625.71159999999998</v>
      </c>
      <c r="N274" s="58">
        <f t="shared" ca="1" si="264"/>
        <v>312.85579999999999</v>
      </c>
      <c r="AO274" s="58">
        <f>AN268/10</f>
        <v>156.42789999999999</v>
      </c>
      <c r="AP274" s="58">
        <f>AO274</f>
        <v>156.42789999999999</v>
      </c>
      <c r="AQ274" s="58">
        <f t="shared" ref="AQ274:AX274" si="266">AP274</f>
        <v>156.42789999999999</v>
      </c>
      <c r="AR274" s="58">
        <f t="shared" si="266"/>
        <v>156.42789999999999</v>
      </c>
      <c r="AS274" s="58">
        <f t="shared" si="266"/>
        <v>156.42789999999999</v>
      </c>
      <c r="AT274" s="58">
        <f t="shared" si="266"/>
        <v>156.42789999999999</v>
      </c>
      <c r="AU274" s="58">
        <f t="shared" si="266"/>
        <v>156.42789999999999</v>
      </c>
      <c r="AV274" s="58">
        <f t="shared" si="266"/>
        <v>156.42789999999999</v>
      </c>
      <c r="AW274" s="58">
        <f t="shared" si="266"/>
        <v>156.42789999999999</v>
      </c>
      <c r="AX274" s="58">
        <f t="shared" si="266"/>
        <v>156.42789999999999</v>
      </c>
    </row>
    <row r="275" spans="2:53">
      <c r="B275" s="61" t="s">
        <v>581</v>
      </c>
      <c r="I275" s="67"/>
      <c r="J275" s="67"/>
      <c r="K275" s="67"/>
      <c r="L275" s="58">
        <f t="shared" ca="1" si="264"/>
        <v>892.23883615575119</v>
      </c>
      <c r="M275" s="58">
        <f t="shared" ca="1" si="264"/>
        <v>2813.0651543424274</v>
      </c>
      <c r="N275" s="58">
        <f t="shared" ca="1" si="264"/>
        <v>4927.6689015369193</v>
      </c>
      <c r="AO275" s="58">
        <f>SUM(AF270:AO270)/10</f>
        <v>70.564845478271934</v>
      </c>
      <c r="AP275" s="58">
        <f t="shared" ref="AP275:AZ275" si="267">SUM(AG270:AP270)/10</f>
        <v>162.09636851110486</v>
      </c>
      <c r="AQ275" s="58">
        <f t="shared" si="267"/>
        <v>272.46773177707666</v>
      </c>
      <c r="AR275" s="58">
        <f t="shared" si="267"/>
        <v>387.10989038929768</v>
      </c>
      <c r="AS275" s="58">
        <f t="shared" si="267"/>
        <v>499.88114588487724</v>
      </c>
      <c r="AT275" s="58">
        <f t="shared" si="267"/>
        <v>628.62871553598166</v>
      </c>
      <c r="AU275" s="58">
        <f t="shared" si="267"/>
        <v>771.49910782859808</v>
      </c>
      <c r="AV275" s="58">
        <f t="shared" si="267"/>
        <v>913.05618509297017</v>
      </c>
      <c r="AW275" s="58">
        <f t="shared" si="267"/>
        <v>1052.72748057479</v>
      </c>
      <c r="AX275" s="58">
        <f t="shared" si="267"/>
        <v>1206.9092679828666</v>
      </c>
      <c r="AY275" s="58">
        <f t="shared" si="267"/>
        <v>1299.8186952895178</v>
      </c>
      <c r="AZ275" s="58">
        <f t="shared" si="267"/>
        <v>1368.2134576897447</v>
      </c>
    </row>
    <row r="276" spans="2:53">
      <c r="B276" s="52" t="s">
        <v>528</v>
      </c>
      <c r="I276" s="58">
        <f>I272-I273</f>
        <v>0</v>
      </c>
      <c r="J276" s="58">
        <f t="shared" ref="J276:K276" si="268">J272-J273</f>
        <v>0</v>
      </c>
      <c r="K276" s="58">
        <f t="shared" si="268"/>
        <v>36.918000000000006</v>
      </c>
    </row>
    <row r="277" spans="2:53">
      <c r="B277" s="52"/>
      <c r="I277" s="58"/>
      <c r="J277" s="4"/>
      <c r="K277" s="4"/>
      <c r="L277" s="4"/>
      <c r="M277" s="4"/>
      <c r="N277" s="4"/>
    </row>
    <row r="278" spans="2:53">
      <c r="B278" s="68" t="s">
        <v>562</v>
      </c>
      <c r="I278" s="58">
        <f>I243+I270+I247</f>
        <v>2865.873</v>
      </c>
      <c r="J278" s="58">
        <f t="shared" ref="J278:N278" si="269">J243+J270+J247</f>
        <v>6166.1030000000001</v>
      </c>
      <c r="K278" s="58">
        <f t="shared" si="269"/>
        <v>11068.431</v>
      </c>
      <c r="L278" s="58">
        <f t="shared" ca="1" si="269"/>
        <v>17170.281307992671</v>
      </c>
      <c r="M278" s="58">
        <f t="shared" ca="1" si="269"/>
        <v>18490.500799573605</v>
      </c>
      <c r="N278" s="58">
        <f t="shared" ca="1" si="269"/>
        <v>19115.839513004601</v>
      </c>
      <c r="AO278" s="58">
        <f>AO279*IQ_IS!AO82</f>
        <v>3528.2422739135977</v>
      </c>
      <c r="AP278" s="58">
        <f>AP279*IQ_IS!AP82</f>
        <v>4237.5705107793019</v>
      </c>
      <c r="AQ278" s="58">
        <f>AQ279*IQ_IS!AQ82</f>
        <v>4763.9573232895282</v>
      </c>
      <c r="AR278" s="58">
        <f>AR279*IQ_IS!AR82</f>
        <v>4640.5112000102436</v>
      </c>
      <c r="AS278" s="58">
        <f>AS279*IQ_IS!AS82</f>
        <v>4302.514351763688</v>
      </c>
      <c r="AT278" s="58">
        <f>AT279*IQ_IS!AT82</f>
        <v>4650.2205441936376</v>
      </c>
      <c r="AU278" s="58">
        <f>AU279*IQ_IS!AU82</f>
        <v>4904.1398828751198</v>
      </c>
      <c r="AV278" s="58">
        <f>AV279*IQ_IS!AV82</f>
        <v>4633.6260207411588</v>
      </c>
      <c r="AW278" s="58">
        <f>AW279*IQ_IS!AW82</f>
        <v>4470.2742650879227</v>
      </c>
      <c r="AX278" s="58">
        <f>AX279*IQ_IS!AX82</f>
        <v>4828.4392999144256</v>
      </c>
      <c r="AY278" s="58">
        <f>AY279*IQ_IS!AY82</f>
        <v>5012.5965524437106</v>
      </c>
      <c r="AZ278" s="58">
        <f>AZ279*IQ_IS!AZ82</f>
        <v>4804.529395558543</v>
      </c>
    </row>
    <row r="279" spans="2:53">
      <c r="B279" s="3" t="s">
        <v>284</v>
      </c>
      <c r="I279" s="4">
        <f>I278/IQ_IS!I82</f>
        <v>0.53884135326244731</v>
      </c>
      <c r="J279" s="4">
        <f>J278/IQ_IS!J82</f>
        <v>0.54871226075552848</v>
      </c>
      <c r="K279" s="4">
        <f>K278/IQ_IS!K82</f>
        <v>0.63690920024052911</v>
      </c>
      <c r="L279" s="4">
        <f ca="1">L278/IQ_IS!L82</f>
        <v>0.68443519138053321</v>
      </c>
      <c r="M279" s="4">
        <f ca="1">M278/IQ_IS!M82</f>
        <v>0.56751046990189791</v>
      </c>
      <c r="N279" s="4">
        <f ca="1">N278/IQ_IS!N82</f>
        <v>0.4602119041624857</v>
      </c>
      <c r="AO279" s="66">
        <v>0.69</v>
      </c>
      <c r="AP279" s="66">
        <f>AO279*0.995</f>
        <v>0.68654999999999999</v>
      </c>
      <c r="AQ279" s="66">
        <f t="shared" ref="AQ279:AR279" si="270">AP279*0.995</f>
        <v>0.68311725000000001</v>
      </c>
      <c r="AR279" s="66">
        <f t="shared" si="270"/>
        <v>0.67970166374999996</v>
      </c>
      <c r="AS279" s="66">
        <f>AR279*0.92</f>
        <v>0.62532553064999996</v>
      </c>
      <c r="AT279" s="66">
        <f>AS279*0.93</f>
        <v>0.58155274350450004</v>
      </c>
      <c r="AU279" s="66">
        <f t="shared" ref="AU279:AV279" si="271">AT279*0.95</f>
        <v>0.55247510632927499</v>
      </c>
      <c r="AV279" s="66">
        <f t="shared" si="271"/>
        <v>0.52485135101281122</v>
      </c>
      <c r="AW279" s="66">
        <f>AV279*0.95</f>
        <v>0.49860878346217063</v>
      </c>
      <c r="AX279" s="66">
        <f t="shared" ref="AX279" si="272">AW279*0.95</f>
        <v>0.47367834428906208</v>
      </c>
      <c r="AY279" s="66">
        <f>AX279*0.95</f>
        <v>0.44999442707460896</v>
      </c>
      <c r="AZ279" s="66">
        <f>AY279*0.95</f>
        <v>0.4274947057208785</v>
      </c>
    </row>
    <row r="280" spans="2:53">
      <c r="B280" s="3" t="s">
        <v>560</v>
      </c>
      <c r="I280" s="4"/>
      <c r="J280" s="4"/>
      <c r="K280" s="4"/>
      <c r="L280" s="4"/>
      <c r="M280" s="4"/>
      <c r="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</row>
    <row r="281" spans="2:53">
      <c r="B281" s="52" t="s">
        <v>563</v>
      </c>
      <c r="I281" s="4">
        <f t="shared" ref="I281:N281" si="273">I243/I$278</f>
        <v>0.90237285462405337</v>
      </c>
      <c r="J281" s="4">
        <f t="shared" si="273"/>
        <v>0.85805216033530407</v>
      </c>
      <c r="K281" s="4">
        <f t="shared" si="273"/>
        <v>0.82102314230445128</v>
      </c>
      <c r="L281" s="4">
        <f t="shared" ca="1" si="273"/>
        <v>0.77454656482005324</v>
      </c>
      <c r="M281" s="4">
        <f t="shared" ca="1" si="273"/>
        <v>0.71555865338390345</v>
      </c>
      <c r="N281" s="4">
        <f t="shared" ca="1" si="273"/>
        <v>0.67709833476685222</v>
      </c>
      <c r="AO281" s="66">
        <v>0.8</v>
      </c>
      <c r="AP281" s="66">
        <f>+AO281*0.98</f>
        <v>0.78400000000000003</v>
      </c>
      <c r="AQ281" s="66">
        <f t="shared" ref="AQ281:AV281" si="274">+AP281*0.98</f>
        <v>0.76832</v>
      </c>
      <c r="AR281" s="66">
        <f t="shared" si="274"/>
        <v>0.7529536</v>
      </c>
      <c r="AS281" s="66">
        <f t="shared" si="274"/>
        <v>0.73789452799999999</v>
      </c>
      <c r="AT281" s="66">
        <f t="shared" si="274"/>
        <v>0.72313663744000001</v>
      </c>
      <c r="AU281" s="66">
        <f t="shared" si="274"/>
        <v>0.70867390469119995</v>
      </c>
      <c r="AV281" s="66">
        <f t="shared" si="274"/>
        <v>0.69450042659737599</v>
      </c>
      <c r="AW281" s="66">
        <f>+AV281*0.99</f>
        <v>0.68755542233140221</v>
      </c>
      <c r="AX281" s="66">
        <f t="shared" ref="AX281:AZ281" si="275">+AW281*0.99</f>
        <v>0.68067986810808823</v>
      </c>
      <c r="AY281" s="66">
        <f t="shared" si="275"/>
        <v>0.67387306942700731</v>
      </c>
      <c r="AZ281" s="66">
        <f t="shared" si="275"/>
        <v>0.6671343387327372</v>
      </c>
    </row>
    <row r="282" spans="2:53">
      <c r="B282" s="52" t="s">
        <v>564</v>
      </c>
      <c r="I282" s="4">
        <f t="shared" ref="I282:N282" si="276">I245/I278</f>
        <v>0.40094728552172409</v>
      </c>
      <c r="J282" s="4">
        <f t="shared" si="276"/>
        <v>0.35590615336785653</v>
      </c>
      <c r="K282" s="4">
        <f t="shared" si="276"/>
        <v>0.36504505471462034</v>
      </c>
      <c r="L282" s="4">
        <f t="shared" ca="1" si="276"/>
        <v>0.26485457217587255</v>
      </c>
      <c r="M282" s="4">
        <f t="shared" ca="1" si="276"/>
        <v>0.25969968125025666</v>
      </c>
      <c r="N282" s="4">
        <f t="shared" ca="1" si="276"/>
        <v>0.25454794681929677</v>
      </c>
      <c r="AN282" s="184"/>
      <c r="AO282" s="66">
        <v>0.26700000000000002</v>
      </c>
      <c r="AP282" s="66">
        <f>+AO282*0.995</f>
        <v>0.26566500000000004</v>
      </c>
      <c r="AQ282" s="66">
        <f t="shared" ref="AQ282:AZ282" si="277">+AP282*0.995</f>
        <v>0.26433667500000002</v>
      </c>
      <c r="AR282" s="66">
        <f t="shared" si="277"/>
        <v>0.26301499162500003</v>
      </c>
      <c r="AS282" s="66">
        <f t="shared" si="277"/>
        <v>0.26169991666687503</v>
      </c>
      <c r="AT282" s="66">
        <f t="shared" si="277"/>
        <v>0.26039141708354063</v>
      </c>
      <c r="AU282" s="66">
        <f t="shared" si="277"/>
        <v>0.25908945999812294</v>
      </c>
      <c r="AV282" s="66">
        <f t="shared" si="277"/>
        <v>0.25779401269813235</v>
      </c>
      <c r="AW282" s="66">
        <f t="shared" si="277"/>
        <v>0.25650504263464169</v>
      </c>
      <c r="AX282" s="66">
        <f t="shared" si="277"/>
        <v>0.25522251742146845</v>
      </c>
      <c r="AY282" s="66">
        <f t="shared" si="277"/>
        <v>0.25394640483436109</v>
      </c>
      <c r="AZ282" s="66">
        <f t="shared" si="277"/>
        <v>0.2526766728101893</v>
      </c>
      <c r="BA282" s="4"/>
    </row>
    <row r="283" spans="2:53">
      <c r="B283" s="52" t="s">
        <v>576</v>
      </c>
      <c r="I283" s="4">
        <f>I270/I278</f>
        <v>0.11792043820504258</v>
      </c>
      <c r="J283" s="4">
        <f t="shared" ref="J283:K283" si="278">J270/J278</f>
        <v>0.14148725702441234</v>
      </c>
      <c r="K283" s="4">
        <f t="shared" si="278"/>
        <v>0.17728086302385584</v>
      </c>
      <c r="L283" s="4">
        <f t="shared" ref="L283:N283" ca="1" si="279">L270/L278</f>
        <v>0.22545343517994676</v>
      </c>
      <c r="M283" s="4">
        <f t="shared" ca="1" si="279"/>
        <v>0.28444134661609649</v>
      </c>
      <c r="N283" s="4">
        <f t="shared" ca="1" si="279"/>
        <v>0.32290166523314778</v>
      </c>
      <c r="AO283" s="4">
        <f>1-AO281</f>
        <v>0.19999999999999996</v>
      </c>
      <c r="AP283" s="4">
        <f t="shared" ref="AP283:AZ283" si="280">1-AP281</f>
        <v>0.21599999999999997</v>
      </c>
      <c r="AQ283" s="4">
        <f t="shared" si="280"/>
        <v>0.23168</v>
      </c>
      <c r="AR283" s="4">
        <f t="shared" si="280"/>
        <v>0.2470464</v>
      </c>
      <c r="AS283" s="4">
        <f t="shared" si="280"/>
        <v>0.26210547200000001</v>
      </c>
      <c r="AT283" s="4">
        <f t="shared" si="280"/>
        <v>0.27686336255999999</v>
      </c>
      <c r="AU283" s="4">
        <f t="shared" si="280"/>
        <v>0.29132609530880005</v>
      </c>
      <c r="AV283" s="4">
        <f t="shared" si="280"/>
        <v>0.30549957340262401</v>
      </c>
      <c r="AW283" s="4">
        <f t="shared" si="280"/>
        <v>0.31244457766859779</v>
      </c>
      <c r="AX283" s="4">
        <f t="shared" si="280"/>
        <v>0.31932013189191177</v>
      </c>
      <c r="AY283" s="4">
        <f t="shared" si="280"/>
        <v>0.32612693057299269</v>
      </c>
      <c r="AZ283" s="4">
        <f t="shared" si="280"/>
        <v>0.3328656612672628</v>
      </c>
    </row>
    <row r="284" spans="2:53">
      <c r="B284" s="52" t="s">
        <v>577</v>
      </c>
      <c r="I284" s="4">
        <f t="shared" ref="I284:N284" si="281">I247/I278</f>
        <v>-2.029329282909606E-2</v>
      </c>
      <c r="J284" s="4">
        <f t="shared" si="281"/>
        <v>4.6058264028349426E-4</v>
      </c>
      <c r="K284" s="4">
        <f t="shared" si="281"/>
        <v>1.6959946716928575E-3</v>
      </c>
      <c r="L284" s="4">
        <f t="shared" ca="1" si="281"/>
        <v>0</v>
      </c>
      <c r="M284" s="4">
        <f t="shared" ca="1" si="281"/>
        <v>0</v>
      </c>
      <c r="N284" s="4">
        <f t="shared" ca="1" si="281"/>
        <v>0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</row>
    <row r="285" spans="2:53">
      <c r="B285" s="68"/>
      <c r="I285" s="58"/>
      <c r="J285" s="58"/>
      <c r="K285" s="58"/>
    </row>
    <row r="286" spans="2:53">
      <c r="B286" s="68" t="s">
        <v>574</v>
      </c>
      <c r="I286" s="58">
        <f>IQ_IS!I95</f>
        <v>3694.4</v>
      </c>
      <c r="J286" s="58">
        <f>IQ_IS!J95</f>
        <v>7541</v>
      </c>
      <c r="K286" s="58">
        <f>IQ_IS!K95</f>
        <v>12616.9</v>
      </c>
      <c r="L286" s="58">
        <f ca="1">SUM(L287:L288)</f>
        <v>21454.363793391116</v>
      </c>
      <c r="M286" s="58">
        <f t="shared" ref="M286:N286" ca="1" si="282">SUM(M287:M288)</f>
        <v>25542.969888122345</v>
      </c>
      <c r="N286" s="58">
        <f t="shared" ca="1" si="282"/>
        <v>28837.936670780255</v>
      </c>
      <c r="AO286" s="58">
        <f ca="1">AO287/AO291</f>
        <v>3935.0117924656797</v>
      </c>
      <c r="AP286" s="58">
        <f t="shared" ref="AP286:AR286" ca="1" si="283">AP287/AP291</f>
        <v>5527.2276345502696</v>
      </c>
      <c r="AQ286" s="58">
        <f t="shared" ca="1" si="283"/>
        <v>5837.3310375298015</v>
      </c>
      <c r="AR286" s="58">
        <f t="shared" ca="1" si="283"/>
        <v>6154.793328845366</v>
      </c>
      <c r="AS286" s="58">
        <f ca="1">SUM(AS287:AS288)</f>
        <v>5784.2463731409698</v>
      </c>
      <c r="AT286" s="58">
        <f t="shared" ref="AT286:AZ286" ca="1" si="284">SUM(AT287:AT288)</f>
        <v>6542.1769582261604</v>
      </c>
      <c r="AU286" s="58">
        <f t="shared" ca="1" si="284"/>
        <v>6568.7184154290935</v>
      </c>
      <c r="AV286" s="58">
        <f t="shared" ca="1" si="284"/>
        <v>6647.8281413261202</v>
      </c>
      <c r="AW286" s="58">
        <f t="shared" ca="1" si="284"/>
        <v>6708.6423053798526</v>
      </c>
      <c r="AX286" s="58">
        <f t="shared" ca="1" si="284"/>
        <v>7613.6740382846274</v>
      </c>
      <c r="AY286" s="58">
        <f t="shared" ca="1" si="284"/>
        <v>7293.6523739667009</v>
      </c>
      <c r="AZ286" s="58">
        <f t="shared" ca="1" si="284"/>
        <v>7221.9679531490729</v>
      </c>
    </row>
    <row r="287" spans="2:53">
      <c r="B287" s="3" t="s">
        <v>572</v>
      </c>
      <c r="I287" s="58">
        <f>I260+I273</f>
        <v>2525.3320000000003</v>
      </c>
      <c r="J287" s="58">
        <f>J260+J273</f>
        <v>4610.6509999999998</v>
      </c>
      <c r="K287" s="58">
        <f>K260+K273</f>
        <v>8266.4850000000006</v>
      </c>
      <c r="L287" s="58">
        <f t="shared" ref="L287:N288" ca="1" si="285">SUM(OFFSET($P287,0,L$1,1,4))</f>
        <v>15315.040308936568</v>
      </c>
      <c r="M287" s="58">
        <f t="shared" ca="1" si="285"/>
        <v>18129.016027564932</v>
      </c>
      <c r="N287" s="58">
        <f t="shared" ca="1" si="285"/>
        <v>20378.703385798159</v>
      </c>
      <c r="AO287" s="58">
        <f t="shared" ref="AO287:AZ287" ca="1" si="286">AO260+AO273</f>
        <v>2636.4579009520053</v>
      </c>
      <c r="AP287" s="58">
        <f t="shared" ca="1" si="286"/>
        <v>3924.331620530691</v>
      </c>
      <c r="AQ287" s="58">
        <f t="shared" ca="1" si="286"/>
        <v>4261.251657396755</v>
      </c>
      <c r="AR287" s="58">
        <f t="shared" ca="1" si="286"/>
        <v>4492.9991300571173</v>
      </c>
      <c r="AS287" s="58">
        <f t="shared" ca="1" si="286"/>
        <v>4096.1263141731934</v>
      </c>
      <c r="AT287" s="58">
        <f t="shared" ca="1" si="286"/>
        <v>4618.7017414026659</v>
      </c>
      <c r="AU287" s="58">
        <f t="shared" ca="1" si="286"/>
        <v>4677.4231592694377</v>
      </c>
      <c r="AV287" s="58">
        <f t="shared" ca="1" si="286"/>
        <v>4736.7648127196344</v>
      </c>
      <c r="AW287" s="58">
        <f t="shared" ca="1" si="286"/>
        <v>4767.3042375669093</v>
      </c>
      <c r="AX287" s="58">
        <f t="shared" ca="1" si="286"/>
        <v>5420.9122911058439</v>
      </c>
      <c r="AY287" s="58">
        <f t="shared" ca="1" si="286"/>
        <v>5137.5757819446935</v>
      </c>
      <c r="AZ287" s="58">
        <f t="shared" ca="1" si="286"/>
        <v>5052.9110751807111</v>
      </c>
    </row>
    <row r="288" spans="2:53">
      <c r="B288" s="3" t="s">
        <v>573</v>
      </c>
      <c r="I288" s="58">
        <f>I286-I287</f>
        <v>1169.0679999999998</v>
      </c>
      <c r="J288" s="58">
        <f>J286-J287</f>
        <v>2930.3490000000002</v>
      </c>
      <c r="K288" s="58">
        <f>K286-K287</f>
        <v>4350.4149999999991</v>
      </c>
      <c r="L288" s="58">
        <f t="shared" ca="1" si="285"/>
        <v>6139.3234844545486</v>
      </c>
      <c r="M288" s="58">
        <f t="shared" ca="1" si="285"/>
        <v>7413.9538605574126</v>
      </c>
      <c r="N288" s="58">
        <f t="shared" ca="1" si="285"/>
        <v>8459.2332849820959</v>
      </c>
      <c r="AO288" s="58">
        <f ca="1">AO286-AO287</f>
        <v>1298.5538915136744</v>
      </c>
      <c r="AP288" s="58">
        <f t="shared" ref="AP288:AR288" ca="1" si="287">AP286-AP287</f>
        <v>1602.8960140195786</v>
      </c>
      <c r="AQ288" s="58">
        <f t="shared" ca="1" si="287"/>
        <v>1576.0793801330465</v>
      </c>
      <c r="AR288" s="58">
        <f t="shared" ca="1" si="287"/>
        <v>1661.7941987882487</v>
      </c>
      <c r="AS288" s="58">
        <f ca="1">AO288*(1+AS289)</f>
        <v>1688.1200589677769</v>
      </c>
      <c r="AT288" s="58">
        <f t="shared" ref="AT288:AZ288" ca="1" si="288">AP288*(1+AT289)</f>
        <v>1923.4752168234943</v>
      </c>
      <c r="AU288" s="58">
        <f t="shared" ca="1" si="288"/>
        <v>1891.2952561596558</v>
      </c>
      <c r="AV288" s="58">
        <f t="shared" ca="1" si="288"/>
        <v>1911.0633286064858</v>
      </c>
      <c r="AW288" s="58">
        <f t="shared" ca="1" si="288"/>
        <v>1941.3380678129433</v>
      </c>
      <c r="AX288" s="58">
        <f t="shared" ca="1" si="288"/>
        <v>2192.7617471787835</v>
      </c>
      <c r="AY288" s="58">
        <f t="shared" ca="1" si="288"/>
        <v>2156.0765920220074</v>
      </c>
      <c r="AZ288" s="58">
        <f t="shared" ca="1" si="288"/>
        <v>2169.0568779683613</v>
      </c>
    </row>
    <row r="289" spans="2:52">
      <c r="B289" s="52" t="s">
        <v>128</v>
      </c>
      <c r="I289" s="58"/>
      <c r="J289" s="4">
        <f>J288/I288-1</f>
        <v>1.506568480191059</v>
      </c>
      <c r="K289" s="4">
        <f>K288/J288-1</f>
        <v>0.48460644107578954</v>
      </c>
      <c r="L289" s="4">
        <f t="shared" ref="L289:N289" ca="1" si="289">L288/K288-1</f>
        <v>0.41120409994323537</v>
      </c>
      <c r="M289" s="4">
        <f t="shared" ca="1" si="289"/>
        <v>0.20761739943014401</v>
      </c>
      <c r="N289" s="4">
        <f t="shared" ca="1" si="289"/>
        <v>0.14098812105988667</v>
      </c>
      <c r="AS289" s="66">
        <v>0.3</v>
      </c>
      <c r="AT289" s="66">
        <v>0.2</v>
      </c>
      <c r="AU289" s="66">
        <v>0.2</v>
      </c>
      <c r="AV289" s="66">
        <v>0.15</v>
      </c>
      <c r="AW289" s="66">
        <f>AS289*0.5</f>
        <v>0.15</v>
      </c>
      <c r="AX289" s="66">
        <f>AT289*0.7</f>
        <v>0.13999999999999999</v>
      </c>
      <c r="AY289" s="66">
        <f>AU289*0.7</f>
        <v>0.13999999999999999</v>
      </c>
      <c r="AZ289" s="66">
        <f>AV289*0.9</f>
        <v>0.13500000000000001</v>
      </c>
    </row>
    <row r="290" spans="2:52">
      <c r="B290" s="3" t="s">
        <v>560</v>
      </c>
      <c r="I290" s="58"/>
      <c r="J290" s="58"/>
      <c r="K290" s="58"/>
    </row>
    <row r="291" spans="2:52">
      <c r="B291" s="52" t="s">
        <v>572</v>
      </c>
      <c r="I291" s="4">
        <f>I287/I286</f>
        <v>0.68355673451710708</v>
      </c>
      <c r="J291" s="4">
        <f>J287/J286</f>
        <v>0.61141108606285632</v>
      </c>
      <c r="K291" s="4">
        <f>K287/K286</f>
        <v>0.65519144956368047</v>
      </c>
      <c r="L291" s="4">
        <f t="shared" ref="L291:N291" ca="1" si="290">L287/L286</f>
        <v>0.71384266885855041</v>
      </c>
      <c r="M291" s="4">
        <f t="shared" ca="1" si="290"/>
        <v>0.70974581683217064</v>
      </c>
      <c r="N291" s="4">
        <f t="shared" ca="1" si="290"/>
        <v>0.70666301887148086</v>
      </c>
      <c r="AO291" s="4">
        <f>1-AO292</f>
        <v>0.66999999999999993</v>
      </c>
      <c r="AP291" s="4">
        <f t="shared" ref="AP291:AR291" si="291">1-AP292</f>
        <v>0.71</v>
      </c>
      <c r="AQ291" s="4">
        <f t="shared" si="291"/>
        <v>0.73</v>
      </c>
      <c r="AR291" s="4">
        <f t="shared" si="291"/>
        <v>0.73</v>
      </c>
      <c r="AS291" s="4">
        <f ca="1">AS287/AS286</f>
        <v>0.70815211696263014</v>
      </c>
      <c r="AT291" s="4">
        <f t="shared" ref="AT291:AZ291" ca="1" si="292">AT287/AT286</f>
        <v>0.70598850671489266</v>
      </c>
      <c r="AU291" s="4">
        <f t="shared" ca="1" si="292"/>
        <v>0.71207545573619946</v>
      </c>
      <c r="AV291" s="4">
        <f t="shared" ca="1" si="292"/>
        <v>0.71252816890280446</v>
      </c>
      <c r="AW291" s="4">
        <f t="shared" ca="1" si="292"/>
        <v>0.71062131807860307</v>
      </c>
      <c r="AX291" s="4">
        <f t="shared" ca="1" si="292"/>
        <v>0.7119968971415519</v>
      </c>
      <c r="AY291" s="4">
        <f t="shared" ca="1" si="292"/>
        <v>0.70438999811429026</v>
      </c>
      <c r="AZ291" s="4">
        <f t="shared" ca="1" si="292"/>
        <v>0.69965847369586232</v>
      </c>
    </row>
    <row r="292" spans="2:52">
      <c r="B292" s="52" t="s">
        <v>573</v>
      </c>
      <c r="I292" s="4">
        <f>I288/I286</f>
        <v>0.31644326548289298</v>
      </c>
      <c r="J292" s="4">
        <f>J288/J286</f>
        <v>0.38858891393714362</v>
      </c>
      <c r="K292" s="4">
        <f>K288/K286</f>
        <v>0.34480855043631947</v>
      </c>
      <c r="L292" s="4">
        <f t="shared" ref="L292:N292" ca="1" si="293">L288/L286</f>
        <v>0.28615733114144959</v>
      </c>
      <c r="M292" s="4">
        <f t="shared" ca="1" si="293"/>
        <v>0.29025418316782936</v>
      </c>
      <c r="N292" s="4">
        <f t="shared" ca="1" si="293"/>
        <v>0.29333698112851908</v>
      </c>
      <c r="AO292" s="66">
        <v>0.33</v>
      </c>
      <c r="AP292" s="66">
        <f>AO292-0.04</f>
        <v>0.29000000000000004</v>
      </c>
      <c r="AQ292" s="66">
        <f t="shared" ref="AQ292" si="294">AP292-0.02</f>
        <v>0.27</v>
      </c>
      <c r="AR292" s="66">
        <f>AQ292</f>
        <v>0.27</v>
      </c>
      <c r="AS292" s="4">
        <f ca="1">AS288/AS286</f>
        <v>0.29184788303736992</v>
      </c>
      <c r="AT292" s="4">
        <f t="shared" ref="AT292:AZ292" ca="1" si="295">AT288/AT286</f>
        <v>0.29401149328510728</v>
      </c>
      <c r="AU292" s="4">
        <f t="shared" ca="1" si="295"/>
        <v>0.28792454426380054</v>
      </c>
      <c r="AV292" s="4">
        <f t="shared" ca="1" si="295"/>
        <v>0.28747183109719554</v>
      </c>
      <c r="AW292" s="4">
        <f t="shared" ca="1" si="295"/>
        <v>0.28937868192139693</v>
      </c>
      <c r="AX292" s="4">
        <f t="shared" ca="1" si="295"/>
        <v>0.2880031028584481</v>
      </c>
      <c r="AY292" s="4">
        <f t="shared" ca="1" si="295"/>
        <v>0.29561000188570968</v>
      </c>
      <c r="AZ292" s="4">
        <f t="shared" ca="1" si="295"/>
        <v>0.30034152630413763</v>
      </c>
    </row>
    <row r="293" spans="2:52">
      <c r="K293" s="166"/>
    </row>
    <row r="294" spans="2:52">
      <c r="B294" s="6" t="s">
        <v>154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</row>
    <row r="295" spans="2:52">
      <c r="B295" s="11"/>
      <c r="E295" s="2"/>
      <c r="F295" s="109"/>
      <c r="G295" s="109"/>
      <c r="H295" s="109"/>
      <c r="I295" s="109"/>
      <c r="J295" s="109"/>
      <c r="K295" s="109"/>
      <c r="L295" s="109"/>
      <c r="M295" s="109"/>
      <c r="N295" s="109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M295" s="70"/>
      <c r="AN295" s="70"/>
      <c r="AO295" s="70"/>
      <c r="AP295" s="70"/>
    </row>
    <row r="296" spans="2:52">
      <c r="B296" s="108" t="s">
        <v>153</v>
      </c>
      <c r="E296" s="2"/>
      <c r="F296" s="109"/>
      <c r="G296" s="109"/>
      <c r="H296" s="109"/>
      <c r="I296" s="109"/>
      <c r="J296" s="109"/>
      <c r="K296" s="109"/>
      <c r="L296" s="109"/>
      <c r="M296" s="109"/>
      <c r="N296" s="109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M296" s="70"/>
      <c r="AN296" s="70"/>
      <c r="AO296" s="70"/>
      <c r="AP296" s="70"/>
    </row>
    <row r="297" spans="2:52">
      <c r="B297" s="3" t="str">
        <f>B10</f>
        <v>Accounts receivable, net</v>
      </c>
      <c r="E297" s="59"/>
      <c r="F297" s="109"/>
      <c r="G297" s="109"/>
      <c r="H297" s="109"/>
      <c r="I297" s="109"/>
      <c r="J297" s="109">
        <f ca="1">J10</f>
        <v>1779.6590000000001</v>
      </c>
      <c r="K297" s="109">
        <f t="shared" ref="K297:N297" ca="1" si="296">K10</f>
        <v>2235.384</v>
      </c>
      <c r="L297" s="109">
        <f t="shared" ca="1" si="296"/>
        <v>3079.7512124775731</v>
      </c>
      <c r="M297" s="109">
        <f t="shared" ca="1" si="296"/>
        <v>4612.2571968969769</v>
      </c>
      <c r="N297" s="109">
        <f t="shared" ca="1" si="296"/>
        <v>6530.4397690942842</v>
      </c>
      <c r="O297" s="2"/>
      <c r="P297" s="2"/>
      <c r="Q297" s="2"/>
      <c r="R297" s="2"/>
      <c r="S297" s="2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>
        <f>AJ10</f>
        <v>1779.6590000000001</v>
      </c>
      <c r="AK297" s="109"/>
      <c r="AL297" s="109"/>
      <c r="AM297" s="109"/>
      <c r="AN297" s="109">
        <f>AN10</f>
        <v>2235.384</v>
      </c>
      <c r="AO297" s="109">
        <f>AO314*IQ_IS!AO82*2-AN297</f>
        <v>2510.0667643505349</v>
      </c>
      <c r="AP297" s="109">
        <f>AP314*IQ_IS!AP82*2-AO297</f>
        <v>2645.2509932060448</v>
      </c>
      <c r="AQ297" s="109">
        <f>AQ314*IQ_IS!AQ82*2-AP297</f>
        <v>2305.8548264998426</v>
      </c>
      <c r="AR297" s="109">
        <f>AR314*IQ_IS!AR82*2-AQ297</f>
        <v>3079.7512124775731</v>
      </c>
      <c r="AS297" s="109">
        <f>AS314*IQ_IS!AS82*2-AR297</f>
        <v>2667.0588050661972</v>
      </c>
      <c r="AT297" s="109">
        <f>AT314*IQ_IS!AT82*2-AS297</f>
        <v>3577.5713983637761</v>
      </c>
      <c r="AU297" s="109">
        <f>AU314*IQ_IS!AU82*2-AT297</f>
        <v>2024.2235958518359</v>
      </c>
      <c r="AV297" s="109">
        <f>AV314*IQ_IS!AV82*2-AU297</f>
        <v>4612.2571968969769</v>
      </c>
      <c r="AW297" s="109">
        <f>AW314*IQ_IS!AW82*2-AV297</f>
        <v>2389.330424643701</v>
      </c>
      <c r="AX297" s="109">
        <f>AX314*IQ_IS!AX82*2-AW297</f>
        <v>5330.0344280695481</v>
      </c>
      <c r="AY297" s="109">
        <f>AY314*IQ_IS!AY82*2-AX297</f>
        <v>1368.792924719879</v>
      </c>
      <c r="AZ297" s="109">
        <f>AZ314*IQ_IS!AZ82*2-AY297</f>
        <v>6530.4397690942842</v>
      </c>
    </row>
    <row r="298" spans="2:52">
      <c r="B298" s="3" t="str">
        <f>B11</f>
        <v>Due from related parties, current</v>
      </c>
      <c r="E298" s="59"/>
      <c r="F298" s="109"/>
      <c r="G298" s="109"/>
      <c r="H298" s="109"/>
      <c r="I298" s="109"/>
      <c r="J298" s="109">
        <f ca="1">J11</f>
        <v>273.02300000000002</v>
      </c>
      <c r="K298" s="109">
        <f t="shared" ref="K298:N298" ca="1" si="297">K11</f>
        <v>9.9789999999999992</v>
      </c>
      <c r="L298" s="109">
        <f t="shared" ca="1" si="297"/>
        <v>9.9789999999999992</v>
      </c>
      <c r="M298" s="109">
        <f t="shared" ca="1" si="297"/>
        <v>9.9789999999999992</v>
      </c>
      <c r="N298" s="109">
        <f t="shared" ca="1" si="297"/>
        <v>9.9789999999999992</v>
      </c>
      <c r="O298" s="2"/>
      <c r="P298" s="2"/>
      <c r="Q298" s="2"/>
      <c r="R298" s="2"/>
      <c r="S298" s="2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>
        <f>AJ11</f>
        <v>273.02300000000002</v>
      </c>
      <c r="AK298" s="109"/>
      <c r="AL298" s="109"/>
      <c r="AM298" s="109"/>
      <c r="AN298" s="109">
        <f>AN11</f>
        <v>9.9789999999999992</v>
      </c>
      <c r="AO298" s="109">
        <f t="shared" ref="AO298:AZ298" si="298">AO11</f>
        <v>9.9789999999999992</v>
      </c>
      <c r="AP298" s="109">
        <f t="shared" si="298"/>
        <v>9.9789999999999992</v>
      </c>
      <c r="AQ298" s="109">
        <f t="shared" si="298"/>
        <v>9.9789999999999992</v>
      </c>
      <c r="AR298" s="109">
        <f t="shared" si="298"/>
        <v>9.9789999999999992</v>
      </c>
      <c r="AS298" s="109">
        <f t="shared" si="298"/>
        <v>9.9789999999999992</v>
      </c>
      <c r="AT298" s="109">
        <f t="shared" si="298"/>
        <v>9.9789999999999992</v>
      </c>
      <c r="AU298" s="109">
        <f t="shared" si="298"/>
        <v>9.9789999999999992</v>
      </c>
      <c r="AV298" s="109">
        <f t="shared" si="298"/>
        <v>9.9789999999999992</v>
      </c>
      <c r="AW298" s="109">
        <f t="shared" si="298"/>
        <v>9.9789999999999992</v>
      </c>
      <c r="AX298" s="109">
        <f t="shared" si="298"/>
        <v>9.9789999999999992</v>
      </c>
      <c r="AY298" s="109">
        <f t="shared" si="298"/>
        <v>9.9789999999999992</v>
      </c>
      <c r="AZ298" s="109">
        <f t="shared" si="298"/>
        <v>9.9789999999999992</v>
      </c>
    </row>
    <row r="299" spans="2:52">
      <c r="B299" s="3" t="s">
        <v>587</v>
      </c>
      <c r="E299" s="59"/>
      <c r="F299" s="109"/>
      <c r="G299" s="109"/>
      <c r="H299" s="109"/>
      <c r="I299" s="109"/>
      <c r="J299" s="109">
        <f ca="1">J12</f>
        <v>737.995</v>
      </c>
      <c r="K299" s="109">
        <f t="shared" ref="K299:N299" ca="1" si="299">K12</f>
        <v>1123.3720000000001</v>
      </c>
      <c r="L299" s="109">
        <f t="shared" ca="1" si="299"/>
        <v>1739.5868690514569</v>
      </c>
      <c r="M299" s="109">
        <f t="shared" ca="1" si="299"/>
        <v>2024.6365701672169</v>
      </c>
      <c r="N299" s="109">
        <f t="shared" ca="1" si="299"/>
        <v>2533.9616545881076</v>
      </c>
      <c r="O299" s="2"/>
      <c r="P299" s="2"/>
      <c r="Q299" s="2"/>
      <c r="R299" s="2"/>
      <c r="S299" s="2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>
        <f>AJ12</f>
        <v>737.995</v>
      </c>
      <c r="AK299" s="109"/>
      <c r="AL299" s="109"/>
      <c r="AM299" s="109"/>
      <c r="AN299" s="109">
        <f>AN12</f>
        <v>1123.3720000000001</v>
      </c>
      <c r="AO299" s="109">
        <f>AO315*AO243*2-AN299</f>
        <v>1134.7030553047027</v>
      </c>
      <c r="AP299" s="109">
        <f t="shared" ref="AP299:AZ299" si="300">AP315*AP243*2-AO299</f>
        <v>1523.1011690560756</v>
      </c>
      <c r="AQ299" s="109">
        <f t="shared" si="300"/>
        <v>1405.0937834477729</v>
      </c>
      <c r="AR299" s="109">
        <f t="shared" si="300"/>
        <v>1739.5868690514569</v>
      </c>
      <c r="AS299" s="109">
        <f t="shared" si="300"/>
        <v>1117.7347480756464</v>
      </c>
      <c r="AT299" s="109">
        <f t="shared" si="300"/>
        <v>1908.7356148386882</v>
      </c>
      <c r="AU299" s="109">
        <f t="shared" si="300"/>
        <v>871.61315312047623</v>
      </c>
      <c r="AV299" s="109">
        <f t="shared" si="300"/>
        <v>2024.6365701672169</v>
      </c>
      <c r="AW299" s="109">
        <f t="shared" si="300"/>
        <v>741.56860907553596</v>
      </c>
      <c r="AX299" s="109">
        <f t="shared" si="300"/>
        <v>2216.3906741747596</v>
      </c>
      <c r="AY299" s="109">
        <f t="shared" si="300"/>
        <v>350.77823251704376</v>
      </c>
      <c r="AZ299" s="109">
        <f t="shared" si="300"/>
        <v>2533.9616545881076</v>
      </c>
    </row>
    <row r="300" spans="2:52">
      <c r="B300" s="3" t="str">
        <f>B9</f>
        <v>Restricted cash</v>
      </c>
      <c r="E300" s="59"/>
      <c r="F300" s="109"/>
      <c r="G300" s="109"/>
      <c r="H300" s="109"/>
      <c r="I300" s="109"/>
      <c r="J300" s="109">
        <f ca="1">J9</f>
        <v>0</v>
      </c>
      <c r="K300" s="109">
        <f t="shared" ref="K300:N300" ca="1" si="301">K9</f>
        <v>0</v>
      </c>
      <c r="L300" s="109">
        <f t="shared" ca="1" si="301"/>
        <v>0</v>
      </c>
      <c r="M300" s="109">
        <f t="shared" ca="1" si="301"/>
        <v>0</v>
      </c>
      <c r="N300" s="109">
        <f t="shared" ca="1" si="301"/>
        <v>0</v>
      </c>
      <c r="O300" s="2"/>
      <c r="P300" s="2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>
        <f>AJ9</f>
        <v>0</v>
      </c>
      <c r="AK300" s="109"/>
      <c r="AL300" s="109"/>
      <c r="AM300" s="109"/>
      <c r="AN300" s="109">
        <f>AN9</f>
        <v>0</v>
      </c>
      <c r="AO300" s="109">
        <f t="shared" ref="AO300:AZ300" si="302">AO9</f>
        <v>0</v>
      </c>
      <c r="AP300" s="109">
        <f t="shared" si="302"/>
        <v>0</v>
      </c>
      <c r="AQ300" s="109">
        <f t="shared" si="302"/>
        <v>0</v>
      </c>
      <c r="AR300" s="109">
        <f t="shared" si="302"/>
        <v>0</v>
      </c>
      <c r="AS300" s="109">
        <f t="shared" si="302"/>
        <v>0</v>
      </c>
      <c r="AT300" s="109">
        <f t="shared" si="302"/>
        <v>0</v>
      </c>
      <c r="AU300" s="109">
        <f t="shared" si="302"/>
        <v>0</v>
      </c>
      <c r="AV300" s="109">
        <f t="shared" si="302"/>
        <v>0</v>
      </c>
      <c r="AW300" s="109">
        <f t="shared" si="302"/>
        <v>0</v>
      </c>
      <c r="AX300" s="109">
        <f t="shared" si="302"/>
        <v>0</v>
      </c>
      <c r="AY300" s="109">
        <f t="shared" si="302"/>
        <v>0</v>
      </c>
      <c r="AZ300" s="109">
        <f t="shared" si="302"/>
        <v>0</v>
      </c>
    </row>
    <row r="301" spans="2:52">
      <c r="B301" s="3" t="str">
        <f>B23</f>
        <v>Produced Content, net</v>
      </c>
      <c r="E301" s="59"/>
      <c r="F301" s="109"/>
      <c r="G301" s="109"/>
      <c r="H301" s="109"/>
      <c r="I301" s="109"/>
      <c r="J301" s="109">
        <f ca="1">J23</f>
        <v>413.50599999999997</v>
      </c>
      <c r="K301" s="109">
        <f t="shared" ref="K301:N301" ca="1" si="303">K23</f>
        <v>1564.279</v>
      </c>
      <c r="L301" s="109">
        <f t="shared" ca="1" si="303"/>
        <v>3917.4274677372259</v>
      </c>
      <c r="M301" s="109">
        <f t="shared" ca="1" si="303"/>
        <v>5738.1136604315243</v>
      </c>
      <c r="N301" s="109">
        <f t="shared" ca="1" si="303"/>
        <v>6670.125369973397</v>
      </c>
      <c r="O301" s="2"/>
      <c r="P301" s="2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>
        <f>AJ23</f>
        <v>413.50599999999997</v>
      </c>
      <c r="AK301" s="109"/>
      <c r="AL301" s="109"/>
      <c r="AM301" s="109"/>
      <c r="AN301" s="109">
        <f>AN23</f>
        <v>1564.279</v>
      </c>
      <c r="AO301" s="109">
        <f>AO268</f>
        <v>2042.9347093044476</v>
      </c>
      <c r="AP301" s="109">
        <f t="shared" ref="AP301:AZ301" si="304">AP268</f>
        <v>2639.7256711216719</v>
      </c>
      <c r="AQ301" s="109">
        <f t="shared" si="304"/>
        <v>3314.5436720043131</v>
      </c>
      <c r="AR301" s="109">
        <f t="shared" si="304"/>
        <v>3917.4274677372259</v>
      </c>
      <c r="AS301" s="109">
        <f t="shared" si="304"/>
        <v>4388.8309768081444</v>
      </c>
      <c r="AT301" s="109">
        <f t="shared" si="304"/>
        <v>4891.2500577832061</v>
      </c>
      <c r="AU301" s="109">
        <f t="shared" si="304"/>
        <v>5392.0269728807725</v>
      </c>
      <c r="AV301" s="109">
        <f t="shared" si="304"/>
        <v>5738.1136604315243</v>
      </c>
      <c r="AW301" s="109">
        <f t="shared" si="304"/>
        <v>5925.6712346749318</v>
      </c>
      <c r="AX301" s="109">
        <f t="shared" si="304"/>
        <v>6104.1519407728301</v>
      </c>
      <c r="AY301" s="109">
        <f t="shared" si="304"/>
        <v>6439.0759733325449</v>
      </c>
      <c r="AZ301" s="109">
        <f t="shared" si="304"/>
        <v>6670.125369973397</v>
      </c>
    </row>
    <row r="302" spans="2:52">
      <c r="B302" s="3" t="s">
        <v>588</v>
      </c>
      <c r="E302" s="59"/>
      <c r="F302" s="109"/>
      <c r="G302" s="109"/>
      <c r="H302" s="109"/>
      <c r="I302" s="109"/>
      <c r="J302" s="109">
        <f ca="1">J21</f>
        <v>1231.19</v>
      </c>
      <c r="K302" s="109">
        <f t="shared" ref="K302:N302" ca="1" si="305">K21</f>
        <v>2845.6619999999998</v>
      </c>
      <c r="L302" s="109">
        <f t="shared" ca="1" si="305"/>
        <v>4078.0917381029135</v>
      </c>
      <c r="M302" s="109">
        <f t="shared" ca="1" si="305"/>
        <v>4648.1911403344329</v>
      </c>
      <c r="N302" s="109">
        <f t="shared" ca="1" si="305"/>
        <v>5666.8413091762141</v>
      </c>
      <c r="O302" s="2"/>
      <c r="P302" s="2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>
        <f t="shared" ref="AJ302" si="306">AJ21</f>
        <v>1231.19</v>
      </c>
      <c r="AK302" s="109"/>
      <c r="AL302" s="109"/>
      <c r="AM302" s="109"/>
      <c r="AN302" s="109">
        <f t="shared" ref="AN302" si="307">AN21</f>
        <v>2845.6619999999998</v>
      </c>
      <c r="AO302" s="109">
        <f>AO316*AO243*2-AN302</f>
        <v>1670.4881106094058</v>
      </c>
      <c r="AP302" s="109">
        <f t="shared" ref="AP302:AZ302" si="308">AP316*AP243*2-AO302</f>
        <v>3645.1203381121509</v>
      </c>
      <c r="AQ302" s="109">
        <f t="shared" si="308"/>
        <v>2211.2695668955462</v>
      </c>
      <c r="AR302" s="109">
        <f t="shared" si="308"/>
        <v>4078.0917381029135</v>
      </c>
      <c r="AS302" s="109">
        <f t="shared" si="308"/>
        <v>1636.5514961512931</v>
      </c>
      <c r="AT302" s="109">
        <f t="shared" si="308"/>
        <v>4416.3892296773756</v>
      </c>
      <c r="AU302" s="109">
        <f t="shared" si="308"/>
        <v>1144.3083062409532</v>
      </c>
      <c r="AV302" s="109">
        <f t="shared" si="308"/>
        <v>4648.1911403344329</v>
      </c>
      <c r="AW302" s="109">
        <f t="shared" si="308"/>
        <v>884.21921815107271</v>
      </c>
      <c r="AX302" s="109">
        <f t="shared" si="308"/>
        <v>5031.699348349518</v>
      </c>
      <c r="AY302" s="109">
        <f t="shared" si="308"/>
        <v>102.63846503408877</v>
      </c>
      <c r="AZ302" s="109">
        <f t="shared" si="308"/>
        <v>5666.8413091762141</v>
      </c>
    </row>
    <row r="303" spans="2:52">
      <c r="B303" s="108" t="s">
        <v>150</v>
      </c>
      <c r="E303" s="59"/>
      <c r="F303" s="58"/>
      <c r="G303" s="58"/>
      <c r="H303" s="58"/>
      <c r="I303" s="58"/>
      <c r="J303" s="58"/>
      <c r="K303" s="58"/>
      <c r="L303" s="58"/>
      <c r="M303" s="58"/>
      <c r="N303" s="58"/>
      <c r="O303" s="2"/>
      <c r="P303" s="2"/>
      <c r="Q303" s="2"/>
      <c r="R303" s="2"/>
      <c r="S303" s="2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58"/>
      <c r="AN303" s="58"/>
      <c r="AO303" s="70"/>
      <c r="AP303" s="70"/>
    </row>
    <row r="304" spans="2:52">
      <c r="B304" s="3" t="str">
        <f>B32</f>
        <v>Accounts payable on licensed copyrights</v>
      </c>
      <c r="E304" s="59"/>
      <c r="F304" s="58"/>
      <c r="G304" s="58"/>
      <c r="H304" s="58"/>
      <c r="I304" s="58"/>
      <c r="J304" s="58">
        <f>J32</f>
        <v>2194.5540000000001</v>
      </c>
      <c r="K304" s="58">
        <f t="shared" ref="K304:N304" si="309">K32</f>
        <v>4040.4760000000001</v>
      </c>
      <c r="L304" s="58">
        <f t="shared" ca="1" si="309"/>
        <v>5085.7541954012577</v>
      </c>
      <c r="M304" s="58">
        <f t="shared" ca="1" si="309"/>
        <v>5645.5917733405549</v>
      </c>
      <c r="N304" s="58">
        <f t="shared" ca="1" si="309"/>
        <v>5920.5442286584303</v>
      </c>
      <c r="O304" s="2"/>
      <c r="P304" s="2"/>
      <c r="Q304" s="2"/>
      <c r="R304" s="2"/>
      <c r="S304" s="2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>
        <f>AJ32</f>
        <v>2194.5540000000001</v>
      </c>
      <c r="AK304" s="58"/>
      <c r="AL304" s="58"/>
      <c r="AM304" s="58"/>
      <c r="AN304" s="58">
        <f>AN32</f>
        <v>4040.4760000000001</v>
      </c>
      <c r="AO304" s="58">
        <f>AO239</f>
        <v>4174.4214871349313</v>
      </c>
      <c r="AP304" s="58">
        <f t="shared" ref="AP304:AZ304" si="310">AP239</f>
        <v>4465.3113594541283</v>
      </c>
      <c r="AQ304" s="58">
        <f t="shared" si="310"/>
        <v>4831.5377262435559</v>
      </c>
      <c r="AR304" s="58">
        <f t="shared" si="310"/>
        <v>5085.7541954012577</v>
      </c>
      <c r="AS304" s="58">
        <f t="shared" si="310"/>
        <v>5194.5710036355968</v>
      </c>
      <c r="AT304" s="58">
        <f t="shared" si="310"/>
        <v>5366.5343201620517</v>
      </c>
      <c r="AU304" s="58">
        <f t="shared" si="310"/>
        <v>5563.8384101390147</v>
      </c>
      <c r="AV304" s="58">
        <f t="shared" si="310"/>
        <v>5645.5917733405549</v>
      </c>
      <c r="AW304" s="58">
        <f t="shared" si="310"/>
        <v>5663.1213096273623</v>
      </c>
      <c r="AX304" s="58">
        <f t="shared" si="310"/>
        <v>5762.8234810428021</v>
      </c>
      <c r="AY304" s="58">
        <f t="shared" si="310"/>
        <v>5883.1896582124346</v>
      </c>
      <c r="AZ304" s="58">
        <f t="shared" si="310"/>
        <v>5920.5442286584303</v>
      </c>
    </row>
    <row r="305" spans="2:52">
      <c r="B305" s="3" t="str">
        <f>B33</f>
        <v xml:space="preserve">Other accounts payable </v>
      </c>
      <c r="E305" s="59"/>
      <c r="F305" s="58"/>
      <c r="G305" s="58"/>
      <c r="H305" s="58"/>
      <c r="I305" s="58"/>
      <c r="J305" s="58">
        <f ca="1">J33</f>
        <v>1990.0039999999999</v>
      </c>
      <c r="K305" s="58">
        <f t="shared" ref="K305:N305" ca="1" si="311">K33</f>
        <v>3000.828</v>
      </c>
      <c r="L305" s="58">
        <f t="shared" ca="1" si="311"/>
        <v>4211.9099284417498</v>
      </c>
      <c r="M305" s="58">
        <f t="shared" ca="1" si="311"/>
        <v>6778.5855001282507</v>
      </c>
      <c r="N305" s="58">
        <f t="shared" ca="1" si="311"/>
        <v>9741.1495031956256</v>
      </c>
      <c r="O305" s="2"/>
      <c r="P305" s="2"/>
      <c r="Q305" s="2"/>
      <c r="R305" s="2"/>
      <c r="S305" s="2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>
        <f>AJ33</f>
        <v>1990.0039999999999</v>
      </c>
      <c r="AK305" s="58"/>
      <c r="AL305" s="58"/>
      <c r="AM305" s="58"/>
      <c r="AN305" s="58">
        <f>AN33</f>
        <v>3000.828</v>
      </c>
      <c r="AO305" s="58">
        <f ca="1">AO317*SUM(IQ_IS!AO98,-IQ_IS!AO95,IQ_IS!AO105:AO107)*2-AN305</f>
        <v>2714.365992258015</v>
      </c>
      <c r="AP305" s="58">
        <f ca="1">AP317*SUM(IQ_IS!AP98,-IQ_IS!AP95,IQ_IS!AP105:AP107)*2-AO305</f>
        <v>4233.3570430188702</v>
      </c>
      <c r="AQ305" s="58">
        <f ca="1">AQ317*SUM(IQ_IS!AQ98,-IQ_IS!AQ95,IQ_IS!AQ105:AQ107)*2-AP305</f>
        <v>2304.3902460086874</v>
      </c>
      <c r="AR305" s="58">
        <f ca="1">AR317*SUM(IQ_IS!AR98,-IQ_IS!AR95,IQ_IS!AR105:AR107)*2-AQ305</f>
        <v>4211.9099284417498</v>
      </c>
      <c r="AS305" s="58">
        <f ca="1">AS317*SUM(IQ_IS!AS98,-IQ_IS!AS95,IQ_IS!AS105:AS107)*2-AR305</f>
        <v>2503.6609491481613</v>
      </c>
      <c r="AT305" s="58">
        <f ca="1">AT317*SUM(IQ_IS!AT98,-IQ_IS!AT95,IQ_IS!AT105:AT107)*2-AS305</f>
        <v>5747.2761875906926</v>
      </c>
      <c r="AU305" s="58">
        <f ca="1">AU317*SUM(IQ_IS!AU98,-IQ_IS!AU95,IQ_IS!AU105:AU107)*2-AT305</f>
        <v>776.90909660586294</v>
      </c>
      <c r="AV305" s="58">
        <f ca="1">AV317*SUM(IQ_IS!AV98,-IQ_IS!AV95,IQ_IS!AV105:AV107)*2-AU305</f>
        <v>6778.5855001282507</v>
      </c>
      <c r="AW305" s="58">
        <f ca="1">AW317*SUM(IQ_IS!AW98,-IQ_IS!AW95,IQ_IS!AW105:AW107)*2-AV305</f>
        <v>1221.7550967587267</v>
      </c>
      <c r="AX305" s="58">
        <f ca="1">AX317*SUM(IQ_IS!AX98,-IQ_IS!AX95,IQ_IS!AX105:AX107)*2-AW305</f>
        <v>8419.7903710066184</v>
      </c>
      <c r="AY305" s="58">
        <f ca="1">AY317*SUM(IQ_IS!AY98,-IQ_IS!AY95,IQ_IS!AY105:AY107)*2-AX305</f>
        <v>-1477.690605697052</v>
      </c>
      <c r="AZ305" s="58">
        <f ca="1">AZ317*SUM(IQ_IS!AZ98,-IQ_IS!AZ95,IQ_IS!AZ105:AZ107)*2-AY305</f>
        <v>9741.1495031956256</v>
      </c>
    </row>
    <row r="306" spans="2:52">
      <c r="B306" s="3" t="str">
        <f>B34</f>
        <v>Due to related parties</v>
      </c>
      <c r="E306" s="59"/>
      <c r="F306" s="58"/>
      <c r="G306" s="58"/>
      <c r="H306" s="58"/>
      <c r="I306" s="58"/>
      <c r="J306" s="58">
        <f ca="1">J34</f>
        <v>4946.87</v>
      </c>
      <c r="K306" s="58">
        <f t="shared" ref="K306:N306" ca="1" si="312">K34</f>
        <v>130.09899999999999</v>
      </c>
      <c r="L306" s="58">
        <f t="shared" ca="1" si="312"/>
        <v>130.09899999999999</v>
      </c>
      <c r="M306" s="58">
        <f t="shared" ca="1" si="312"/>
        <v>130.09899999999999</v>
      </c>
      <c r="N306" s="58">
        <f t="shared" ca="1" si="312"/>
        <v>130.09899999999999</v>
      </c>
      <c r="O306" s="2"/>
      <c r="P306" s="2"/>
      <c r="Q306" s="2"/>
      <c r="R306" s="2"/>
      <c r="S306" s="2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>
        <f>AJ34</f>
        <v>4946.87</v>
      </c>
      <c r="AK306" s="58"/>
      <c r="AL306" s="58"/>
      <c r="AM306" s="58"/>
      <c r="AN306" s="58">
        <f>AN34</f>
        <v>130.09899999999999</v>
      </c>
      <c r="AO306" s="58">
        <f t="shared" ref="AO306:AZ306" si="313">AO34</f>
        <v>130.09899999999999</v>
      </c>
      <c r="AP306" s="58">
        <f t="shared" si="313"/>
        <v>130.09899999999999</v>
      </c>
      <c r="AQ306" s="58">
        <f t="shared" si="313"/>
        <v>130.09899999999999</v>
      </c>
      <c r="AR306" s="58">
        <f t="shared" si="313"/>
        <v>130.09899999999999</v>
      </c>
      <c r="AS306" s="58">
        <f t="shared" si="313"/>
        <v>130.09899999999999</v>
      </c>
      <c r="AT306" s="58">
        <f t="shared" si="313"/>
        <v>130.09899999999999</v>
      </c>
      <c r="AU306" s="58">
        <f t="shared" si="313"/>
        <v>130.09899999999999</v>
      </c>
      <c r="AV306" s="58">
        <f t="shared" si="313"/>
        <v>130.09899999999999</v>
      </c>
      <c r="AW306" s="58">
        <f t="shared" si="313"/>
        <v>130.09899999999999</v>
      </c>
      <c r="AX306" s="58">
        <f t="shared" si="313"/>
        <v>130.09899999999999</v>
      </c>
      <c r="AY306" s="58">
        <f t="shared" si="313"/>
        <v>130.09899999999999</v>
      </c>
      <c r="AZ306" s="58">
        <f t="shared" si="313"/>
        <v>130.09899999999999</v>
      </c>
    </row>
    <row r="307" spans="2:52">
      <c r="B307" s="3" t="str">
        <f>B35</f>
        <v>Customer advances and deferred revenue</v>
      </c>
      <c r="E307" s="59"/>
      <c r="F307" s="58"/>
      <c r="G307" s="58"/>
      <c r="H307" s="58"/>
      <c r="I307" s="58"/>
      <c r="J307" s="58">
        <f ca="1">J35</f>
        <v>796.70299999999997</v>
      </c>
      <c r="K307" s="58">
        <f t="shared" ref="K307:N307" ca="1" si="314">K35</f>
        <v>1633.6489999999999</v>
      </c>
      <c r="L307" s="58">
        <f t="shared" ca="1" si="314"/>
        <v>2559.700697512365</v>
      </c>
      <c r="M307" s="58">
        <f t="shared" ca="1" si="314"/>
        <v>3402.1824315755748</v>
      </c>
      <c r="N307" s="58">
        <f t="shared" ca="1" si="314"/>
        <v>3953.3669320280769</v>
      </c>
      <c r="O307" s="2"/>
      <c r="P307" s="2"/>
      <c r="Q307" s="2"/>
      <c r="R307" s="2"/>
      <c r="S307" s="2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>
        <f>AJ35</f>
        <v>796.70299999999997</v>
      </c>
      <c r="AK307" s="58"/>
      <c r="AL307" s="58"/>
      <c r="AM307" s="58"/>
      <c r="AN307" s="58">
        <f>AN35</f>
        <v>1633.6489999999999</v>
      </c>
      <c r="AO307" s="58">
        <f>AO318*IQ_IS!AO79*2-AN307</f>
        <v>1723.9467375764666</v>
      </c>
      <c r="AP307" s="58">
        <f>AP318*IQ_IS!AP79*2-AO307</f>
        <v>2235.3284507978651</v>
      </c>
      <c r="AQ307" s="58">
        <f>AQ318*IQ_IS!AQ79*2-AP307</f>
        <v>2098.6483275200999</v>
      </c>
      <c r="AR307" s="58">
        <f>AR318*IQ_IS!AR79*2-AQ307</f>
        <v>2559.700697512365</v>
      </c>
      <c r="AS307" s="58">
        <f>AS318*IQ_IS!AS79*2-AR307</f>
        <v>2228.1614672559263</v>
      </c>
      <c r="AT307" s="58">
        <f>AT318*IQ_IS!AT79*2-AS307</f>
        <v>3164.9421868642094</v>
      </c>
      <c r="AU307" s="58">
        <f>AU318*IQ_IS!AU79*2-AT307</f>
        <v>2847.2554952194587</v>
      </c>
      <c r="AV307" s="58">
        <f>AV318*IQ_IS!AV79*2-AU307</f>
        <v>3402.1824315755748</v>
      </c>
      <c r="AW307" s="58">
        <f>AW318*IQ_IS!AW79*2-AV307</f>
        <v>3258.2879893381414</v>
      </c>
      <c r="AX307" s="58">
        <f>AX318*IQ_IS!AX79*2-AW307</f>
        <v>3909.7850009717949</v>
      </c>
      <c r="AY307" s="58">
        <f>AY318*IQ_IS!AY79*2-AX307</f>
        <v>4228.767234769115</v>
      </c>
      <c r="AZ307" s="58">
        <f>AZ318*IQ_IS!AZ79*2-AY307</f>
        <v>3953.3669320280769</v>
      </c>
    </row>
    <row r="308" spans="2:52">
      <c r="B308" s="3" t="str">
        <f>B36</f>
        <v>Accured expenses and other liabilities</v>
      </c>
      <c r="E308" s="59"/>
      <c r="F308" s="58"/>
      <c r="G308" s="58"/>
      <c r="H308" s="58"/>
      <c r="I308" s="58"/>
      <c r="J308" s="58">
        <f ca="1">J36</f>
        <v>1861.722</v>
      </c>
      <c r="K308" s="58">
        <f t="shared" ref="K308:N308" ca="1" si="315">K36</f>
        <v>2511.1860000000001</v>
      </c>
      <c r="L308" s="58">
        <f t="shared" ca="1" si="315"/>
        <v>3844.3308788686386</v>
      </c>
      <c r="M308" s="58">
        <f t="shared" ca="1" si="315"/>
        <v>5264.041173528637</v>
      </c>
      <c r="N308" s="58">
        <f t="shared" ca="1" si="315"/>
        <v>7282.2886600708116</v>
      </c>
      <c r="O308" s="2"/>
      <c r="P308" s="2"/>
      <c r="Q308" s="2"/>
      <c r="R308" s="2"/>
      <c r="S308" s="2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  <c r="AG308" s="58"/>
      <c r="AH308" s="58"/>
      <c r="AI308" s="58"/>
      <c r="AJ308" s="58">
        <f>AJ36</f>
        <v>1861.722</v>
      </c>
      <c r="AK308" s="58"/>
      <c r="AL308" s="58"/>
      <c r="AM308" s="58"/>
      <c r="AN308" s="58">
        <f>AN36</f>
        <v>2511.1860000000001</v>
      </c>
      <c r="AO308" s="58">
        <f>AO319*IQ_IS!AO82*2-AN308</f>
        <v>2819.7591633931193</v>
      </c>
      <c r="AP308" s="58">
        <f>AP319*IQ_IS!AP82*2-AO308</f>
        <v>2971.62244188252</v>
      </c>
      <c r="AQ308" s="58">
        <f>AQ319*IQ_IS!AQ82*2-AP308</f>
        <v>2917.5264665864001</v>
      </c>
      <c r="AR308" s="58">
        <f>AR319*IQ_IS!AR82*2-AQ308</f>
        <v>3844.3308788686386</v>
      </c>
      <c r="AS308" s="58">
        <f>AS319*IQ_IS!AS82*2-AR308</f>
        <v>2611.521386655169</v>
      </c>
      <c r="AT308" s="58">
        <f>AT319*IQ_IS!AT82*2-AS308</f>
        <v>4140.9751052215179</v>
      </c>
      <c r="AU308" s="58">
        <f>AU319*IQ_IS!AU82*2-AT308</f>
        <v>2605.4323950288781</v>
      </c>
      <c r="AV308" s="58">
        <f>AV319*IQ_IS!AV82*2-AU308</f>
        <v>5264.041173528637</v>
      </c>
      <c r="AW308" s="58">
        <f>AW319*IQ_IS!AW82*2-AV308</f>
        <v>2306.9749334062908</v>
      </c>
      <c r="AX308" s="58">
        <f>AX319*IQ_IS!AX82*2-AW308</f>
        <v>6085.8427174137032</v>
      </c>
      <c r="AY308" s="58">
        <f>AY319*IQ_IS!AY82*2-AX308</f>
        <v>1533.5535398070442</v>
      </c>
      <c r="AZ308" s="58">
        <f>AZ319*IQ_IS!AZ82*2-AY308</f>
        <v>7282.2886600708116</v>
      </c>
    </row>
    <row r="309" spans="2:52">
      <c r="B309" s="3" t="str">
        <f>B40</f>
        <v>Deferred tax liability, non-current</v>
      </c>
      <c r="E309" s="59"/>
      <c r="F309" s="58"/>
      <c r="G309" s="58"/>
      <c r="H309" s="58"/>
      <c r="I309" s="58"/>
      <c r="J309" s="58">
        <f ca="1">J40</f>
        <v>6.9420000000000002</v>
      </c>
      <c r="K309" s="58">
        <f t="shared" ref="K309:N309" ca="1" si="316">K40</f>
        <v>2.2549999999999999</v>
      </c>
      <c r="L309" s="58">
        <f t="shared" ca="1" si="316"/>
        <v>2.2549999999999999</v>
      </c>
      <c r="M309" s="58">
        <f t="shared" ca="1" si="316"/>
        <v>2.2549999999999999</v>
      </c>
      <c r="N309" s="58">
        <f t="shared" ca="1" si="316"/>
        <v>2.2549999999999999</v>
      </c>
      <c r="O309" s="2"/>
      <c r="P309" s="2"/>
      <c r="Q309" s="2"/>
      <c r="R309" s="2"/>
      <c r="S309" s="2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>
        <f>AJ39</f>
        <v>0</v>
      </c>
      <c r="AK309" s="58"/>
      <c r="AL309" s="58"/>
      <c r="AM309" s="58"/>
      <c r="AN309" s="58">
        <f>AN40</f>
        <v>2.2549999999999999</v>
      </c>
      <c r="AO309" s="58">
        <f t="shared" ref="AO309:AZ309" si="317">AO40</f>
        <v>2.2549999999999999</v>
      </c>
      <c r="AP309" s="58">
        <f t="shared" si="317"/>
        <v>2.2549999999999999</v>
      </c>
      <c r="AQ309" s="58">
        <f t="shared" si="317"/>
        <v>2.2549999999999999</v>
      </c>
      <c r="AR309" s="58">
        <f t="shared" si="317"/>
        <v>2.2549999999999999</v>
      </c>
      <c r="AS309" s="58">
        <f t="shared" si="317"/>
        <v>2.2549999999999999</v>
      </c>
      <c r="AT309" s="58">
        <f t="shared" si="317"/>
        <v>2.2549999999999999</v>
      </c>
      <c r="AU309" s="58">
        <f t="shared" si="317"/>
        <v>2.2549999999999999</v>
      </c>
      <c r="AV309" s="58">
        <f t="shared" si="317"/>
        <v>2.2549999999999999</v>
      </c>
      <c r="AW309" s="58">
        <f t="shared" si="317"/>
        <v>2.2549999999999999</v>
      </c>
      <c r="AX309" s="58">
        <f t="shared" si="317"/>
        <v>2.2549999999999999</v>
      </c>
      <c r="AY309" s="58">
        <f t="shared" si="317"/>
        <v>2.2549999999999999</v>
      </c>
      <c r="AZ309" s="58">
        <f t="shared" si="317"/>
        <v>2.2549999999999999</v>
      </c>
    </row>
    <row r="310" spans="2:52">
      <c r="B310" s="3" t="str">
        <f>B41</f>
        <v>Other non-current liabilities</v>
      </c>
      <c r="E310" s="59"/>
      <c r="F310" s="58"/>
      <c r="G310" s="58"/>
      <c r="H310" s="58"/>
      <c r="I310" s="58"/>
      <c r="J310" s="58">
        <f ca="1">J41</f>
        <v>0.34699999999999998</v>
      </c>
      <c r="K310" s="58">
        <f t="shared" ref="K310:N310" ca="1" si="318">K41</f>
        <v>6.4320000000000004</v>
      </c>
      <c r="L310" s="58">
        <f t="shared" ca="1" si="318"/>
        <v>6.4320000000000004</v>
      </c>
      <c r="M310" s="58">
        <f t="shared" ca="1" si="318"/>
        <v>6.4320000000000004</v>
      </c>
      <c r="N310" s="58">
        <f t="shared" ca="1" si="318"/>
        <v>6.4320000000000004</v>
      </c>
      <c r="O310" s="2"/>
      <c r="P310" s="2"/>
      <c r="Q310" s="2"/>
      <c r="R310" s="2"/>
      <c r="S310" s="2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>
        <f>AJ41</f>
        <v>0.34699999999999998</v>
      </c>
      <c r="AK310" s="58"/>
      <c r="AL310" s="58"/>
      <c r="AM310" s="58"/>
      <c r="AN310" s="58">
        <f>AN41</f>
        <v>6.4320000000000004</v>
      </c>
      <c r="AO310" s="58">
        <f t="shared" ref="AO310:AZ310" si="319">AO41</f>
        <v>6.4320000000000004</v>
      </c>
      <c r="AP310" s="58">
        <f t="shared" si="319"/>
        <v>6.4320000000000004</v>
      </c>
      <c r="AQ310" s="58">
        <f t="shared" si="319"/>
        <v>6.4320000000000004</v>
      </c>
      <c r="AR310" s="58">
        <f t="shared" si="319"/>
        <v>6.4320000000000004</v>
      </c>
      <c r="AS310" s="58">
        <f t="shared" si="319"/>
        <v>6.4320000000000004</v>
      </c>
      <c r="AT310" s="58">
        <f t="shared" si="319"/>
        <v>6.4320000000000004</v>
      </c>
      <c r="AU310" s="58">
        <f t="shared" si="319"/>
        <v>6.4320000000000004</v>
      </c>
      <c r="AV310" s="58">
        <f t="shared" si="319"/>
        <v>6.4320000000000004</v>
      </c>
      <c r="AW310" s="58">
        <f t="shared" si="319"/>
        <v>6.4320000000000004</v>
      </c>
      <c r="AX310" s="58">
        <f t="shared" si="319"/>
        <v>6.4320000000000004</v>
      </c>
      <c r="AY310" s="58">
        <f t="shared" si="319"/>
        <v>6.4320000000000004</v>
      </c>
      <c r="AZ310" s="58">
        <f t="shared" si="319"/>
        <v>6.4320000000000004</v>
      </c>
    </row>
    <row r="311" spans="2:52">
      <c r="B311" s="9" t="s">
        <v>87</v>
      </c>
      <c r="E311" s="82">
        <f>SUM(E297:E301)-SUM(E304:E310)</f>
        <v>0</v>
      </c>
      <c r="F311" s="82"/>
      <c r="G311" s="82"/>
      <c r="H311" s="82"/>
      <c r="I311" s="82"/>
      <c r="J311" s="82">
        <f ca="1">SUM(J297:J302)-SUM(J304:J310)</f>
        <v>-7361.7689999999984</v>
      </c>
      <c r="K311" s="82">
        <f t="shared" ref="K311:N311" ca="1" si="320">SUM(K297:K302)-SUM(K304:K310)</f>
        <v>-3546.2489999999998</v>
      </c>
      <c r="L311" s="82">
        <f t="shared" ca="1" si="320"/>
        <v>-3015.645412854843</v>
      </c>
      <c r="M311" s="82">
        <f t="shared" ca="1" si="320"/>
        <v>-4196.0093107428693</v>
      </c>
      <c r="N311" s="82">
        <f t="shared" ca="1" si="320"/>
        <v>-5624.7882211209399</v>
      </c>
      <c r="O311" s="107"/>
      <c r="P311" s="107"/>
      <c r="Q311" s="107"/>
      <c r="R311" s="107"/>
      <c r="S311" s="107"/>
      <c r="T311" s="82"/>
      <c r="U311" s="82"/>
      <c r="V311" s="82"/>
      <c r="W311" s="82"/>
      <c r="X311" s="82"/>
      <c r="Y311" s="82"/>
      <c r="Z311" s="82"/>
      <c r="AA311" s="82"/>
      <c r="AB311" s="82"/>
      <c r="AC311" s="82"/>
      <c r="AD311" s="82"/>
      <c r="AE311" s="82"/>
      <c r="AF311" s="82"/>
      <c r="AG311" s="82"/>
      <c r="AH311" s="82"/>
      <c r="AI311" s="82"/>
      <c r="AJ311" s="82">
        <f>SUM(AJ297:AJ302)-SUM(AJ304:AJ310)</f>
        <v>-7354.8269999999993</v>
      </c>
      <c r="AK311" s="82"/>
      <c r="AL311" s="82"/>
      <c r="AM311" s="82"/>
      <c r="AN311" s="82">
        <f>SUM(AN297:AN302)-SUM(AN304:AN310)</f>
        <v>-3546.2489999999998</v>
      </c>
      <c r="AO311" s="82">
        <f t="shared" ref="AO311:AZ311" ca="1" si="321">SUM(AO297:AO302)-SUM(AO304:AO310)</f>
        <v>-4203.1077407934408</v>
      </c>
      <c r="AP311" s="82">
        <f t="shared" ca="1" si="321"/>
        <v>-3581.2281236574418</v>
      </c>
      <c r="AQ311" s="82">
        <f t="shared" ca="1" si="321"/>
        <v>-3044.147917511269</v>
      </c>
      <c r="AR311" s="82">
        <f t="shared" ca="1" si="321"/>
        <v>-3015.645412854843</v>
      </c>
      <c r="AS311" s="82">
        <f t="shared" ca="1" si="321"/>
        <v>-2856.545780593573</v>
      </c>
      <c r="AT311" s="82">
        <f t="shared" ca="1" si="321"/>
        <v>-3754.5884991754247</v>
      </c>
      <c r="AU311" s="82">
        <f t="shared" ca="1" si="321"/>
        <v>-2490.0703688991762</v>
      </c>
      <c r="AV311" s="82">
        <f t="shared" ca="1" si="321"/>
        <v>-4196.0093107428693</v>
      </c>
      <c r="AW311" s="82">
        <f t="shared" ca="1" si="321"/>
        <v>-2638.1568425852802</v>
      </c>
      <c r="AX311" s="82">
        <f t="shared" ca="1" si="321"/>
        <v>-5624.7721790682663</v>
      </c>
      <c r="AY311" s="82">
        <f t="shared" ca="1" si="321"/>
        <v>-2035.3412314879861</v>
      </c>
      <c r="AZ311" s="82">
        <f t="shared" ca="1" si="321"/>
        <v>-5624.7882211209399</v>
      </c>
    </row>
    <row r="312" spans="2:52">
      <c r="B312" s="52" t="s">
        <v>149</v>
      </c>
      <c r="E312" s="58"/>
      <c r="F312" s="58"/>
      <c r="G312" s="58"/>
      <c r="H312" s="58"/>
      <c r="I312" s="58"/>
      <c r="J312" s="58"/>
      <c r="K312" s="58">
        <f t="shared" ref="K312:N312" ca="1" si="322">K311-J311</f>
        <v>3815.5199999999986</v>
      </c>
      <c r="L312" s="58">
        <f t="shared" ca="1" si="322"/>
        <v>530.60358714515678</v>
      </c>
      <c r="M312" s="58">
        <f t="shared" ca="1" si="322"/>
        <v>-1180.3638978880263</v>
      </c>
      <c r="N312" s="58">
        <f t="shared" ca="1" si="322"/>
        <v>-1428.7789103780706</v>
      </c>
      <c r="O312" s="2"/>
      <c r="P312" s="2"/>
      <c r="Q312" s="12"/>
      <c r="R312" s="12"/>
      <c r="S312" s="12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>
        <f t="shared" ref="AJ312:AZ312" si="323">AJ311-AI311</f>
        <v>-7354.8269999999993</v>
      </c>
      <c r="AK312" s="58"/>
      <c r="AL312" s="58"/>
      <c r="AM312" s="58"/>
      <c r="AN312" s="58">
        <f t="shared" si="323"/>
        <v>-3546.2489999999998</v>
      </c>
      <c r="AO312" s="58">
        <f t="shared" ca="1" si="323"/>
        <v>-656.85874079344103</v>
      </c>
      <c r="AP312" s="58">
        <f t="shared" ca="1" si="323"/>
        <v>621.87961713599907</v>
      </c>
      <c r="AQ312" s="58">
        <f t="shared" ca="1" si="323"/>
        <v>537.08020614617271</v>
      </c>
      <c r="AR312" s="58">
        <f t="shared" ca="1" si="323"/>
        <v>28.502504656426026</v>
      </c>
      <c r="AS312" s="58">
        <f t="shared" ca="1" si="323"/>
        <v>159.09963226127002</v>
      </c>
      <c r="AT312" s="58">
        <f t="shared" ca="1" si="323"/>
        <v>-898.04271858185166</v>
      </c>
      <c r="AU312" s="58">
        <f t="shared" ca="1" si="323"/>
        <v>1264.5181302762485</v>
      </c>
      <c r="AV312" s="58">
        <f t="shared" ca="1" si="323"/>
        <v>-1705.9389418436931</v>
      </c>
      <c r="AW312" s="58">
        <f t="shared" ca="1" si="323"/>
        <v>1557.8524681575891</v>
      </c>
      <c r="AX312" s="58">
        <f t="shared" ca="1" si="323"/>
        <v>-2986.6153364829861</v>
      </c>
      <c r="AY312" s="58">
        <f t="shared" ca="1" si="323"/>
        <v>3589.4309475802802</v>
      </c>
      <c r="AZ312" s="58">
        <f t="shared" ca="1" si="323"/>
        <v>-3589.4469896329538</v>
      </c>
    </row>
    <row r="313" spans="2:52">
      <c r="B313" s="11"/>
      <c r="F313" s="10"/>
      <c r="G313" s="10"/>
      <c r="H313" s="10"/>
      <c r="I313" s="10"/>
      <c r="J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70"/>
      <c r="AO313" s="70"/>
      <c r="AP313" s="70"/>
    </row>
    <row r="314" spans="2:52">
      <c r="B314" s="3" t="s">
        <v>148</v>
      </c>
      <c r="F314" s="4"/>
      <c r="G314" s="4"/>
      <c r="H314" s="4"/>
      <c r="I314" s="4"/>
      <c r="J314" s="4"/>
      <c r="K314" s="4">
        <f ca="1">AVERAGE(J297:K297)/IQ_IS!K82</f>
        <v>0.11551853311735578</v>
      </c>
      <c r="L314" s="4">
        <f ca="1">AVERAGE(K297:L297)/IQ_IS!L82</f>
        <v>0.10593494425371158</v>
      </c>
      <c r="M314" s="4">
        <f ca="1">AVERAGE(L297:M297)/IQ_IS!M82</f>
        <v>0.11804156507740898</v>
      </c>
      <c r="N314" s="4">
        <f ca="1">AVERAGE(M297:N297)/IQ_IS!N82</f>
        <v>0.13412965161001131</v>
      </c>
      <c r="Q314" s="10"/>
      <c r="R314" s="10"/>
      <c r="S314" s="10"/>
      <c r="T314" s="40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>
        <f>AVERAGE(AI297:AJ297)/IQ_IS!AJ75</f>
        <v>0.56405501414211079</v>
      </c>
      <c r="AK314" s="4"/>
      <c r="AL314" s="4"/>
      <c r="AM314" s="4"/>
      <c r="AN314" s="4">
        <f>AVERAGE(AM297:AN297)/IQ_IS!AN75</f>
        <v>0.46402156841824266</v>
      </c>
      <c r="AO314" s="66">
        <f>AN314</f>
        <v>0.46402156841824266</v>
      </c>
      <c r="AP314" s="66">
        <f>AO314*0.9</f>
        <v>0.41761941157641841</v>
      </c>
      <c r="AQ314" s="66">
        <f>AP314*0.85</f>
        <v>0.35497649983995566</v>
      </c>
      <c r="AR314" s="66">
        <f>AO314*0.85</f>
        <v>0.39441833315550623</v>
      </c>
      <c r="AS314" s="66">
        <f>AP314</f>
        <v>0.41761941157641841</v>
      </c>
      <c r="AT314" s="66">
        <f>AQ314*1.1</f>
        <v>0.39047414982395123</v>
      </c>
      <c r="AU314" s="66">
        <f>AR314*0.8</f>
        <v>0.31553466652440498</v>
      </c>
      <c r="AV314" s="66">
        <f>AS314*0.9</f>
        <v>0.3758574704187766</v>
      </c>
      <c r="AW314" s="66">
        <f>AT314</f>
        <v>0.39047414982395123</v>
      </c>
      <c r="AX314" s="66">
        <f>AU314*1.2</f>
        <v>0.37864159982928597</v>
      </c>
      <c r="AY314" s="66">
        <f>AV314*0.8</f>
        <v>0.30068597633502131</v>
      </c>
      <c r="AZ314" s="66">
        <f>AW314*0.9</f>
        <v>0.35142673484155612</v>
      </c>
    </row>
    <row r="315" spans="2:52">
      <c r="B315" s="3" t="s">
        <v>589</v>
      </c>
      <c r="F315" s="4"/>
      <c r="G315" s="4"/>
      <c r="H315" s="4"/>
      <c r="I315" s="4"/>
      <c r="J315" s="4"/>
      <c r="K315" s="4">
        <f ca="1">AVERAGE(J299:K299)/K243</f>
        <v>0.10241428882375869</v>
      </c>
      <c r="L315" s="4">
        <f t="shared" ref="L315:N315" ca="1" si="324">AVERAGE(K299:L299)/L243</f>
        <v>0.10763664945932699</v>
      </c>
      <c r="M315" s="4">
        <f t="shared" ca="1" si="324"/>
        <v>0.14224974190127243</v>
      </c>
      <c r="N315" s="4">
        <f t="shared" ca="1" si="324"/>
        <v>0.17609872027477511</v>
      </c>
      <c r="Q315" s="10"/>
      <c r="R315" s="10"/>
      <c r="S315" s="10"/>
      <c r="T315" s="40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66">
        <v>0.4</v>
      </c>
      <c r="AP315" s="66">
        <v>0.4</v>
      </c>
      <c r="AQ315" s="66">
        <v>0.4</v>
      </c>
      <c r="AR315" s="66">
        <v>0.45</v>
      </c>
      <c r="AS315" s="66">
        <v>0.45</v>
      </c>
      <c r="AT315" s="66">
        <v>0.45</v>
      </c>
      <c r="AU315" s="66">
        <v>0.4</v>
      </c>
      <c r="AV315" s="66">
        <v>0.45</v>
      </c>
      <c r="AW315" s="66">
        <v>0.45</v>
      </c>
      <c r="AX315" s="66">
        <v>0.45</v>
      </c>
      <c r="AY315" s="66">
        <v>0.38</v>
      </c>
      <c r="AZ315" s="66">
        <v>0.45</v>
      </c>
    </row>
    <row r="316" spans="2:52">
      <c r="B316" s="3" t="s">
        <v>590</v>
      </c>
      <c r="F316" s="4"/>
      <c r="G316" s="4"/>
      <c r="H316" s="4"/>
      <c r="I316" s="4"/>
      <c r="J316" s="4"/>
      <c r="K316" s="4">
        <f ca="1">AVERAGE(J302:K302)/K243</f>
        <v>0.22431250700142327</v>
      </c>
      <c r="L316" s="4">
        <f t="shared" ref="L316:N316" ca="1" si="325">AVERAGE(K302:L302)/L243</f>
        <v>0.26030749589420438</v>
      </c>
      <c r="M316" s="4">
        <f t="shared" ca="1" si="325"/>
        <v>0.32976562291234757</v>
      </c>
      <c r="N316" s="4">
        <f t="shared" ca="1" si="325"/>
        <v>0.39846986384703809</v>
      </c>
      <c r="Q316" s="10"/>
      <c r="R316" s="10"/>
      <c r="S316" s="10"/>
      <c r="T316" s="40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>
        <f>AJ300/(BIDU_IS!AJ$81-BIDU_IS!AJ$354)</f>
        <v>0</v>
      </c>
      <c r="AK316" s="4"/>
      <c r="AL316" s="4"/>
      <c r="AM316" s="4"/>
      <c r="AN316" s="4"/>
      <c r="AO316" s="66">
        <f>AO315*2</f>
        <v>0.8</v>
      </c>
      <c r="AP316" s="66">
        <f t="shared" ref="AP316:AZ316" si="326">AP315*2</f>
        <v>0.8</v>
      </c>
      <c r="AQ316" s="66">
        <f t="shared" si="326"/>
        <v>0.8</v>
      </c>
      <c r="AR316" s="66">
        <f t="shared" si="326"/>
        <v>0.9</v>
      </c>
      <c r="AS316" s="66">
        <f t="shared" si="326"/>
        <v>0.9</v>
      </c>
      <c r="AT316" s="66">
        <f t="shared" si="326"/>
        <v>0.9</v>
      </c>
      <c r="AU316" s="66">
        <f t="shared" si="326"/>
        <v>0.8</v>
      </c>
      <c r="AV316" s="66">
        <f t="shared" si="326"/>
        <v>0.9</v>
      </c>
      <c r="AW316" s="66">
        <f t="shared" si="326"/>
        <v>0.9</v>
      </c>
      <c r="AX316" s="66">
        <f t="shared" si="326"/>
        <v>0.9</v>
      </c>
      <c r="AY316" s="66">
        <f t="shared" si="326"/>
        <v>0.76</v>
      </c>
      <c r="AZ316" s="66">
        <f t="shared" si="326"/>
        <v>0.9</v>
      </c>
    </row>
    <row r="317" spans="2:52">
      <c r="B317" s="3" t="s">
        <v>143</v>
      </c>
      <c r="E317" s="10"/>
      <c r="F317" s="4"/>
      <c r="G317" s="4"/>
      <c r="H317" s="4"/>
      <c r="I317" s="4"/>
      <c r="J317" s="4"/>
      <c r="K317" s="4">
        <f ca="1">AVERAGE(J305:K305)/(IQ_IS!K98-IQ_IS!K95+SUM(IQ_IS!K105:K107))</f>
        <v>0.29302918178049853</v>
      </c>
      <c r="L317" s="4">
        <f ca="1">AVERAGE(K305:L305)/(IQ_IS!L98-IQ_IS!L95+SUM(IQ_IS!L105:L107))</f>
        <v>0.37737838554008096</v>
      </c>
      <c r="M317" s="4">
        <f ca="1">AVERAGE(L305:M305)/(IQ_IS!M98-IQ_IS!M95+SUM(IQ_IS!M105:M107))</f>
        <v>0.4790772881547522</v>
      </c>
      <c r="N317" s="4">
        <f ca="1">AVERAGE(M305:N305)/(IQ_IS!N98-IQ_IS!N95+SUM(IQ_IS!N105:N107))</f>
        <v>0.61097056548974193</v>
      </c>
      <c r="Q317" s="38"/>
      <c r="R317" s="38"/>
      <c r="S317" s="38"/>
      <c r="T317" s="40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>
        <f ca="1">AVERAGE(AI305:AJ305)/(IQ_IS!AJ98-IQ_IS!AJ95+SUM(IQ_IS!AJ105:AJ107))</f>
        <v>1.1136517660815339</v>
      </c>
      <c r="AK317" s="4"/>
      <c r="AL317" s="4"/>
      <c r="AM317" s="4"/>
      <c r="AN317" s="4">
        <f ca="1">AVERAGE(AM305:AN305)/(IQ_IS!AN98-IQ_IS!AN95+SUM(IQ_IS!AN105:AN107))</f>
        <v>1.3455398819275728</v>
      </c>
      <c r="AO317" s="66">
        <f ca="1">AN317</f>
        <v>1.3455398819275728</v>
      </c>
      <c r="AP317" s="66">
        <f t="shared" ref="AP317:AR317" ca="1" si="327">AO317</f>
        <v>1.3455398819275728</v>
      </c>
      <c r="AQ317" s="66">
        <f t="shared" ca="1" si="327"/>
        <v>1.3455398819275728</v>
      </c>
      <c r="AR317" s="66">
        <f t="shared" ca="1" si="327"/>
        <v>1.3455398819275728</v>
      </c>
      <c r="AS317" s="66">
        <f ca="1">AO317*0.95</f>
        <v>1.2782628878311941</v>
      </c>
      <c r="AT317" s="66">
        <f t="shared" ref="AT317:AX317" ca="1" si="328">AP317*0.99</f>
        <v>1.332084483108297</v>
      </c>
      <c r="AU317" s="66">
        <f ca="1">AQ317*0.85</f>
        <v>1.1437088996384368</v>
      </c>
      <c r="AV317" s="66">
        <f ca="1">AR317*0.97</f>
        <v>1.3051736854697455</v>
      </c>
      <c r="AW317" s="66">
        <f t="shared" ca="1" si="328"/>
        <v>1.2654802589528822</v>
      </c>
      <c r="AX317" s="66">
        <f t="shared" ca="1" si="328"/>
        <v>1.3187636382772139</v>
      </c>
      <c r="AY317" s="66">
        <f ca="1">AU317*0.92</f>
        <v>1.0522121876673618</v>
      </c>
      <c r="AZ317" s="66">
        <f ca="1">AV317*0.93</f>
        <v>1.2138115274868635</v>
      </c>
    </row>
    <row r="318" spans="2:52">
      <c r="B318" s="3" t="s">
        <v>598</v>
      </c>
      <c r="F318" s="4"/>
      <c r="G318" s="4"/>
      <c r="H318" s="4"/>
      <c r="I318" s="4"/>
      <c r="J318" s="4"/>
      <c r="K318" s="4">
        <f ca="1">AVERAGE(J307:K307)/IQ_IS!K79</f>
        <v>0.14893826685969866</v>
      </c>
      <c r="L318" s="4">
        <f ca="1">AVERAGE(K307:L307)/BIDU_IS!L82</f>
        <v>1.991316095748407E-2</v>
      </c>
      <c r="M318" s="4">
        <f ca="1">AVERAGE(L307:M307)/BIDU_IS!M82</f>
        <v>2.3180145181508523E-2</v>
      </c>
      <c r="N318" s="4">
        <f ca="1">AVERAGE(M307:N307)/BIDU_IS!N82</f>
        <v>2.3768627605403568E-2</v>
      </c>
      <c r="T318" s="40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>
        <f>AVERAGE(AI307:AJ307)/IQ_IS!AJ79</f>
        <v>0.59443869514967607</v>
      </c>
      <c r="AK318" s="4"/>
      <c r="AL318" s="4"/>
      <c r="AM318" s="4"/>
      <c r="AN318" s="4">
        <f>AVERAGE(AM307:AN307)/IQ_IS!AN79</f>
        <v>0.76237598811669938</v>
      </c>
      <c r="AO318" s="66">
        <f>AN318</f>
        <v>0.76237598811669938</v>
      </c>
      <c r="AP318" s="66">
        <f t="shared" ref="AP318:AR318" si="329">AO318</f>
        <v>0.76237598811669938</v>
      </c>
      <c r="AQ318" s="66">
        <f t="shared" si="329"/>
        <v>0.76237598811669938</v>
      </c>
      <c r="AR318" s="66">
        <f t="shared" si="329"/>
        <v>0.76237598811669938</v>
      </c>
      <c r="AS318" s="66">
        <f>AO318*0.99</f>
        <v>0.75475222823553234</v>
      </c>
      <c r="AT318" s="66">
        <f>AP318*0.95</f>
        <v>0.72425718871086442</v>
      </c>
      <c r="AU318" s="66">
        <f>AQ318*0.98</f>
        <v>0.74712846835436542</v>
      </c>
      <c r="AV318" s="66">
        <f>AR318*0.95</f>
        <v>0.72425718871086442</v>
      </c>
      <c r="AW318" s="66">
        <f>AS318*0.99</f>
        <v>0.74720470595317701</v>
      </c>
      <c r="AX318" s="66">
        <f>AT318*0.95</f>
        <v>0.68804432927532122</v>
      </c>
      <c r="AY318" s="66">
        <f>AU318*0.98</f>
        <v>0.73218589898727815</v>
      </c>
      <c r="AZ318" s="66">
        <f>AV318*0.95</f>
        <v>0.68804432927532122</v>
      </c>
    </row>
    <row r="319" spans="2:52">
      <c r="B319" s="3" t="s">
        <v>599</v>
      </c>
      <c r="F319" s="4"/>
      <c r="G319" s="4"/>
      <c r="H319" s="4"/>
      <c r="I319" s="4"/>
      <c r="J319" s="4"/>
      <c r="K319" s="4">
        <f ca="1">AVERAGE(J308:K308)/IQ_IS!K82</f>
        <v>0.12581482131502703</v>
      </c>
      <c r="L319" s="4">
        <f ca="1">AVERAGE(K308:L308)/IQ_IS!L82</f>
        <v>0.12667059244060822</v>
      </c>
      <c r="M319" s="4">
        <f ca="1">AVERAGE(L308:M308)/IQ_IS!M82</f>
        <v>0.1397770822847722</v>
      </c>
      <c r="N319" s="4">
        <f ca="1">AVERAGE(M308:N308)/IQ_IS!N82</f>
        <v>0.15102581131849699</v>
      </c>
      <c r="T319" s="40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>
        <f>AVERAGE(AI308:AJ308)/IQ_IS!AJ82</f>
        <v>0.59006451743771071</v>
      </c>
      <c r="AK319" s="4"/>
      <c r="AL319" s="4"/>
      <c r="AM319" s="4"/>
      <c r="AN319" s="4">
        <f>AVERAGE(AM308:AN308)/IQ_IS!AN82</f>
        <v>0.52127261638713229</v>
      </c>
      <c r="AO319" s="66">
        <f>AN319</f>
        <v>0.52127261638713229</v>
      </c>
      <c r="AP319" s="66">
        <f>AO319*0.9</f>
        <v>0.46914535474841906</v>
      </c>
      <c r="AQ319" s="66">
        <f>AP319*0.9</f>
        <v>0.42223081927357714</v>
      </c>
      <c r="AR319" s="66">
        <f>AN319*0.95</f>
        <v>0.49520898556777565</v>
      </c>
      <c r="AS319" s="66">
        <f>AO319*0.9</f>
        <v>0.46914535474841906</v>
      </c>
      <c r="AT319" s="66">
        <f>AP319*0.9</f>
        <v>0.42223081927357714</v>
      </c>
      <c r="AU319" s="66">
        <f>AQ319*0.9</f>
        <v>0.38000773734621945</v>
      </c>
      <c r="AV319" s="66">
        <f>AR319*0.9</f>
        <v>0.4456880870109981</v>
      </c>
      <c r="AW319" s="66">
        <f t="shared" ref="AW319:AY319" si="330">AS319*0.9</f>
        <v>0.42223081927357714</v>
      </c>
      <c r="AX319" s="66">
        <f>AT319*0.975</f>
        <v>0.41167504879173772</v>
      </c>
      <c r="AY319" s="66">
        <f t="shared" si="330"/>
        <v>0.34200696361159749</v>
      </c>
      <c r="AZ319" s="66">
        <f>AV319*0.88</f>
        <v>0.39220551656967834</v>
      </c>
    </row>
    <row r="320" spans="2:52">
      <c r="B320" s="3"/>
      <c r="G320" s="10"/>
      <c r="H320" s="10"/>
      <c r="I320" s="10"/>
      <c r="J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M320" s="70"/>
      <c r="AN320" s="70"/>
      <c r="AO320" s="70"/>
      <c r="AP320" s="70"/>
    </row>
  </sheetData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G349"/>
  <sheetViews>
    <sheetView zoomScaleNormal="100" workbookViewId="0">
      <pane xSplit="2" ySplit="4" topLeftCell="AK48" activePane="bottomRight" state="frozen"/>
      <selection activeCell="BB6" sqref="BB6"/>
      <selection pane="topRight" activeCell="BB6" sqref="BB6"/>
      <selection pane="bottomLeft" activeCell="BB6" sqref="BB6"/>
      <selection pane="bottomRight" activeCell="AO76" sqref="AO76"/>
    </sheetView>
  </sheetViews>
  <sheetFormatPr defaultColWidth="12.6640625" defaultRowHeight="11.25" outlineLevelRow="2"/>
  <cols>
    <col min="1" max="1" width="12.6640625" style="1"/>
    <col min="2" max="2" width="50.6640625" style="1" customWidth="1"/>
    <col min="3" max="4" width="12.6640625" style="1" customWidth="1"/>
    <col min="5" max="6" width="12.6640625" style="1"/>
    <col min="7" max="7" width="12.6640625" style="1" customWidth="1"/>
    <col min="8" max="27" width="12.6640625" style="1"/>
    <col min="28" max="28" width="12.6640625" style="209"/>
    <col min="29" max="29" width="12.6640625" style="1" customWidth="1"/>
    <col min="30" max="31" width="12.6640625" style="1"/>
    <col min="32" max="32" width="12.6640625" style="209"/>
    <col min="33" max="33" width="12.6640625" style="1" customWidth="1"/>
    <col min="34" max="35" width="12.6640625" style="1"/>
    <col min="36" max="36" width="12.6640625" style="209"/>
    <col min="37" max="38" width="12.6640625" style="1" customWidth="1"/>
    <col min="39" max="39" width="13" style="1" customWidth="1"/>
    <col min="40" max="40" width="12.6640625" style="209"/>
    <col min="41" max="41" width="13" style="1" bestFit="1" customWidth="1"/>
    <col min="42" max="42" width="12.6640625" style="1" customWidth="1"/>
    <col min="43" max="43" width="12.6640625" style="1"/>
    <col min="44" max="44" width="12.6640625" style="209"/>
    <col min="45" max="45" width="12.6640625" style="1"/>
    <col min="46" max="46" width="12.6640625" style="1" customWidth="1"/>
    <col min="47" max="47" width="12.6640625" style="1"/>
    <col min="48" max="48" width="12.6640625" style="209"/>
    <col min="49" max="55" width="12.6640625" style="1"/>
    <col min="56" max="57" width="12.6640625" style="1" customWidth="1"/>
    <col min="58" max="16384" width="12.6640625" style="1"/>
  </cols>
  <sheetData>
    <row r="1" spans="1:59">
      <c r="D1" s="48" t="s">
        <v>140</v>
      </c>
      <c r="E1" s="48"/>
      <c r="F1" s="48">
        <v>1</v>
      </c>
      <c r="G1" s="49">
        <f t="shared" ref="G1:N1" si="0">F1+4</f>
        <v>5</v>
      </c>
      <c r="H1" s="49">
        <f t="shared" si="0"/>
        <v>9</v>
      </c>
      <c r="I1" s="49">
        <f t="shared" si="0"/>
        <v>13</v>
      </c>
      <c r="J1" s="49">
        <f t="shared" si="0"/>
        <v>17</v>
      </c>
      <c r="K1" s="49">
        <f t="shared" si="0"/>
        <v>21</v>
      </c>
      <c r="L1" s="49">
        <f t="shared" si="0"/>
        <v>25</v>
      </c>
      <c r="M1" s="49">
        <f t="shared" si="0"/>
        <v>29</v>
      </c>
      <c r="N1" s="49">
        <f t="shared" si="0"/>
        <v>33</v>
      </c>
    </row>
    <row r="2" spans="1:59">
      <c r="B2" s="19" t="s">
        <v>366</v>
      </c>
      <c r="D2" s="48" t="s">
        <v>138</v>
      </c>
      <c r="F2" s="48">
        <f t="shared" ref="F2:M2" si="1">F1+3</f>
        <v>4</v>
      </c>
      <c r="G2" s="48">
        <f t="shared" si="1"/>
        <v>8</v>
      </c>
      <c r="H2" s="48">
        <f t="shared" si="1"/>
        <v>12</v>
      </c>
      <c r="I2" s="48">
        <f t="shared" si="1"/>
        <v>16</v>
      </c>
      <c r="J2" s="48">
        <f t="shared" si="1"/>
        <v>20</v>
      </c>
      <c r="K2" s="48">
        <f t="shared" si="1"/>
        <v>24</v>
      </c>
      <c r="L2" s="48">
        <f t="shared" si="1"/>
        <v>28</v>
      </c>
      <c r="M2" s="48">
        <f t="shared" si="1"/>
        <v>32</v>
      </c>
      <c r="N2" s="48">
        <f t="shared" ref="N2" si="2">N1+3</f>
        <v>36</v>
      </c>
    </row>
    <row r="3" spans="1:59">
      <c r="A3" s="47"/>
      <c r="B3" s="18" t="s">
        <v>88</v>
      </c>
    </row>
    <row r="4" spans="1:59">
      <c r="C4" s="1" t="s">
        <v>5</v>
      </c>
      <c r="D4" s="1" t="s">
        <v>4</v>
      </c>
      <c r="E4" s="46">
        <v>2011</v>
      </c>
      <c r="F4" s="46">
        <f t="shared" ref="F4:N4" si="3">+E4+1</f>
        <v>2012</v>
      </c>
      <c r="G4" s="46">
        <f t="shared" si="3"/>
        <v>2013</v>
      </c>
      <c r="H4" s="46">
        <f t="shared" si="3"/>
        <v>2014</v>
      </c>
      <c r="I4" s="46">
        <f t="shared" si="3"/>
        <v>2015</v>
      </c>
      <c r="J4" s="46">
        <f t="shared" si="3"/>
        <v>2016</v>
      </c>
      <c r="K4" s="46">
        <f t="shared" si="3"/>
        <v>2017</v>
      </c>
      <c r="L4" s="45">
        <f t="shared" si="3"/>
        <v>2018</v>
      </c>
      <c r="M4" s="45">
        <f t="shared" si="3"/>
        <v>2019</v>
      </c>
      <c r="N4" s="45">
        <f t="shared" si="3"/>
        <v>2020</v>
      </c>
      <c r="Q4" s="16">
        <v>12</v>
      </c>
      <c r="R4" s="15">
        <f>Q4</f>
        <v>12</v>
      </c>
      <c r="S4" s="14">
        <f>R4</f>
        <v>12</v>
      </c>
      <c r="T4" s="17">
        <f>S4</f>
        <v>12</v>
      </c>
      <c r="U4" s="16">
        <f t="shared" ref="U4:AV4" si="4">Q4+1</f>
        <v>13</v>
      </c>
      <c r="V4" s="15">
        <f t="shared" si="4"/>
        <v>13</v>
      </c>
      <c r="W4" s="14">
        <f t="shared" si="4"/>
        <v>13</v>
      </c>
      <c r="X4" s="17">
        <f t="shared" si="4"/>
        <v>13</v>
      </c>
      <c r="Y4" s="16">
        <f t="shared" si="4"/>
        <v>14</v>
      </c>
      <c r="Z4" s="15">
        <f t="shared" si="4"/>
        <v>14</v>
      </c>
      <c r="AA4" s="14">
        <f t="shared" si="4"/>
        <v>14</v>
      </c>
      <c r="AB4" s="210">
        <f t="shared" si="4"/>
        <v>14</v>
      </c>
      <c r="AC4" s="16">
        <f t="shared" si="4"/>
        <v>15</v>
      </c>
      <c r="AD4" s="15">
        <f t="shared" si="4"/>
        <v>15</v>
      </c>
      <c r="AE4" s="14">
        <f t="shared" si="4"/>
        <v>15</v>
      </c>
      <c r="AF4" s="210">
        <f t="shared" si="4"/>
        <v>15</v>
      </c>
      <c r="AG4" s="16">
        <f t="shared" si="4"/>
        <v>16</v>
      </c>
      <c r="AH4" s="15">
        <f t="shared" si="4"/>
        <v>16</v>
      </c>
      <c r="AI4" s="14">
        <f t="shared" si="4"/>
        <v>16</v>
      </c>
      <c r="AJ4" s="210">
        <f t="shared" si="4"/>
        <v>16</v>
      </c>
      <c r="AK4" s="16">
        <f t="shared" si="4"/>
        <v>17</v>
      </c>
      <c r="AL4" s="15">
        <f t="shared" si="4"/>
        <v>17</v>
      </c>
      <c r="AM4" s="14">
        <f t="shared" si="4"/>
        <v>17</v>
      </c>
      <c r="AN4" s="210">
        <f t="shared" si="4"/>
        <v>17</v>
      </c>
      <c r="AO4" s="44">
        <f t="shared" si="4"/>
        <v>18</v>
      </c>
      <c r="AP4" s="43">
        <f t="shared" si="4"/>
        <v>18</v>
      </c>
      <c r="AQ4" s="42">
        <f t="shared" si="4"/>
        <v>18</v>
      </c>
      <c r="AR4" s="243">
        <f t="shared" si="4"/>
        <v>18</v>
      </c>
      <c r="AS4" s="44">
        <f t="shared" si="4"/>
        <v>19</v>
      </c>
      <c r="AT4" s="43">
        <f t="shared" si="4"/>
        <v>19</v>
      </c>
      <c r="AU4" s="42">
        <f t="shared" si="4"/>
        <v>19</v>
      </c>
      <c r="AV4" s="243">
        <f t="shared" si="4"/>
        <v>19</v>
      </c>
      <c r="AW4" s="44">
        <f t="shared" ref="AW4" si="5">AS4+1</f>
        <v>20</v>
      </c>
      <c r="AX4" s="43">
        <f t="shared" ref="AX4" si="6">AT4+1</f>
        <v>20</v>
      </c>
      <c r="AY4" s="42">
        <f t="shared" ref="AY4" si="7">AU4+1</f>
        <v>20</v>
      </c>
      <c r="AZ4" s="41">
        <f t="shared" ref="AZ4" si="8">AV4+1</f>
        <v>20</v>
      </c>
    </row>
    <row r="5" spans="1:59" outlineLevel="2">
      <c r="B5" s="6" t="s">
        <v>365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247"/>
      <c r="AC5" s="5"/>
      <c r="AD5" s="5"/>
      <c r="AE5" s="5"/>
      <c r="AF5" s="247"/>
      <c r="AG5" s="5"/>
      <c r="AH5" s="5"/>
      <c r="AI5" s="5"/>
      <c r="AJ5" s="247"/>
      <c r="AK5" s="5"/>
      <c r="AL5" s="5"/>
      <c r="AM5" s="5"/>
      <c r="AN5" s="247"/>
      <c r="AO5" s="5"/>
      <c r="AP5" s="5"/>
      <c r="AQ5" s="5"/>
      <c r="AR5" s="247"/>
      <c r="AS5" s="5"/>
      <c r="AT5" s="5"/>
      <c r="AU5" s="5"/>
      <c r="AV5" s="247"/>
      <c r="AW5" s="5"/>
      <c r="AX5" s="5"/>
      <c r="AY5" s="5"/>
      <c r="AZ5" s="5"/>
    </row>
    <row r="6" spans="1:59" outlineLevel="2">
      <c r="B6" s="57" t="s">
        <v>316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225"/>
      <c r="AC6" s="57"/>
      <c r="AD6" s="57"/>
      <c r="AE6" s="57"/>
      <c r="AF6" s="225"/>
      <c r="AG6" s="57"/>
      <c r="AH6" s="57"/>
      <c r="AI6" s="57"/>
      <c r="AJ6" s="225"/>
      <c r="AK6" s="57"/>
      <c r="AL6" s="57"/>
      <c r="AM6" s="57"/>
      <c r="AN6" s="225"/>
      <c r="AO6" s="57"/>
      <c r="AP6" s="57"/>
      <c r="AQ6" s="57"/>
      <c r="AR6" s="225"/>
      <c r="AS6" s="57"/>
      <c r="AT6" s="57"/>
      <c r="AU6" s="57"/>
      <c r="AV6" s="225"/>
      <c r="AW6" s="57"/>
      <c r="AX6" s="57"/>
      <c r="AY6" s="57"/>
      <c r="AZ6" s="57"/>
      <c r="BB6" s="110" t="s">
        <v>364</v>
      </c>
      <c r="BC6" s="110" t="s">
        <v>363</v>
      </c>
      <c r="BD6" s="110" t="s">
        <v>348</v>
      </c>
      <c r="BE6" s="1" t="s">
        <v>362</v>
      </c>
    </row>
    <row r="7" spans="1:59" outlineLevel="2">
      <c r="B7" s="8" t="s">
        <v>361</v>
      </c>
      <c r="BA7" s="133">
        <v>14</v>
      </c>
      <c r="BB7" s="109">
        <f t="array" ref="BB7:BB16">TRANSPOSE(Y8:AH8)</f>
        <v>446</v>
      </c>
      <c r="BC7" s="109">
        <f t="array" ref="BC7:BC22" ca="1">TRANSPOSE(Y57:AN57)</f>
        <v>2323.8050911356868</v>
      </c>
      <c r="BD7" s="154">
        <f t="array" ref="BD7:BD22" ca="1">TRANSPOSE(Y21:AN21)</f>
        <v>1.3771347570480328</v>
      </c>
      <c r="BE7" s="110" t="s">
        <v>360</v>
      </c>
      <c r="BF7" s="110" t="s">
        <v>359</v>
      </c>
      <c r="BG7" s="110" t="s">
        <v>358</v>
      </c>
    </row>
    <row r="8" spans="1:59" outlineLevel="2">
      <c r="B8" s="1" t="s">
        <v>357</v>
      </c>
      <c r="C8" s="159" t="s">
        <v>356</v>
      </c>
      <c r="D8" s="1" t="s">
        <v>319</v>
      </c>
      <c r="E8" s="151">
        <v>488</v>
      </c>
      <c r="F8" s="151">
        <v>596</v>
      </c>
      <c r="G8" s="151">
        <v>753</v>
      </c>
      <c r="H8" s="151">
        <v>813</v>
      </c>
      <c r="I8" s="151">
        <v>1049</v>
      </c>
      <c r="J8" s="151">
        <v>982</v>
      </c>
      <c r="K8" s="151">
        <v>775</v>
      </c>
      <c r="L8" s="109">
        <f>+AVERAGE(AO8:AR8)/L11</f>
        <v>780.64126941617565</v>
      </c>
      <c r="M8" s="109">
        <f>+AVERAGE(AS8:AV8)/M11</f>
        <v>815.54001339046602</v>
      </c>
      <c r="N8" s="109">
        <f>+AVERAGE(AT8:AW8)/N11</f>
        <v>829.69324852704869</v>
      </c>
      <c r="O8" s="2"/>
      <c r="P8" s="2"/>
      <c r="Q8" s="120">
        <v>321</v>
      </c>
      <c r="R8" s="120">
        <v>352</v>
      </c>
      <c r="S8" s="120">
        <v>390</v>
      </c>
      <c r="T8" s="120">
        <v>406</v>
      </c>
      <c r="U8" s="120">
        <v>410</v>
      </c>
      <c r="V8" s="120">
        <v>468</v>
      </c>
      <c r="W8" s="120">
        <v>464</v>
      </c>
      <c r="X8" s="120">
        <v>451</v>
      </c>
      <c r="Y8" s="120">
        <v>446</v>
      </c>
      <c r="Z8" s="120">
        <v>488</v>
      </c>
      <c r="AA8" s="120">
        <v>516</v>
      </c>
      <c r="AB8" s="248">
        <v>523</v>
      </c>
      <c r="AC8" s="120">
        <v>524</v>
      </c>
      <c r="AD8" s="120">
        <v>590</v>
      </c>
      <c r="AE8" s="120">
        <v>623</v>
      </c>
      <c r="AF8" s="248">
        <v>555</v>
      </c>
      <c r="AG8" s="120">
        <v>587</v>
      </c>
      <c r="AH8" s="120">
        <v>594</v>
      </c>
      <c r="AI8" s="120">
        <v>524</v>
      </c>
      <c r="AJ8" s="248">
        <v>452</v>
      </c>
      <c r="AK8" s="120">
        <v>451</v>
      </c>
      <c r="AL8" s="120">
        <v>470</v>
      </c>
      <c r="AM8" s="120">
        <v>486</v>
      </c>
      <c r="AN8" s="248">
        <v>460</v>
      </c>
      <c r="AO8" s="109">
        <f t="shared" ref="AO8:AV8" si="9">+AK8*(1+AO9)</f>
        <v>405.90000000000003</v>
      </c>
      <c r="AP8" s="109">
        <f t="shared" si="9"/>
        <v>477.04999999999995</v>
      </c>
      <c r="AQ8" s="109">
        <f t="shared" si="9"/>
        <v>505.44</v>
      </c>
      <c r="AR8" s="249">
        <f t="shared" si="9"/>
        <v>492.20000000000005</v>
      </c>
      <c r="AS8" s="109">
        <f t="shared" si="9"/>
        <v>426.19500000000005</v>
      </c>
      <c r="AT8" s="109">
        <f t="shared" si="9"/>
        <v>496.13199999999995</v>
      </c>
      <c r="AU8" s="109">
        <f t="shared" si="9"/>
        <v>520.60320000000002</v>
      </c>
      <c r="AV8" s="249">
        <f t="shared" si="9"/>
        <v>521.73200000000008</v>
      </c>
      <c r="AW8" s="109">
        <f t="shared" ref="AW8" si="10">+AS8*(1+AW9)</f>
        <v>460.2906000000001</v>
      </c>
      <c r="AX8" s="109">
        <f t="shared" ref="AX8" si="11">+AT8*(1+AX9)</f>
        <v>515.97727999999995</v>
      </c>
      <c r="AY8" s="109">
        <f t="shared" ref="AY8" si="12">+AU8*(1+AY9)</f>
        <v>536.22129600000005</v>
      </c>
      <c r="AZ8" s="109">
        <f t="shared" ref="AZ8" si="13">+AV8*(1+AZ9)</f>
        <v>537.38396000000012</v>
      </c>
      <c r="BA8" s="132">
        <f>+BA7</f>
        <v>14</v>
      </c>
      <c r="BB8" s="109">
        <v>488</v>
      </c>
      <c r="BC8" s="109">
        <v>2249.553238920786</v>
      </c>
      <c r="BD8" s="154">
        <v>1.44862645138136</v>
      </c>
      <c r="BE8" s="1">
        <f t="array" aca="1" ref="BE8:BG10" ca="1">LINEST(BD7:BD22,BB7:BC22,TRUE,TRUE)</f>
        <v>3.1900209464987526E-5</v>
      </c>
      <c r="BF8" s="154">
        <f ca="1"/>
        <v>2.7435956656641656E-4</v>
      </c>
      <c r="BG8" s="1">
        <f ca="1"/>
        <v>1.2714662048100012</v>
      </c>
    </row>
    <row r="9" spans="1:59" outlineLevel="2">
      <c r="B9" s="3" t="s">
        <v>270</v>
      </c>
      <c r="C9" s="159"/>
      <c r="E9" s="10"/>
      <c r="F9" s="4">
        <f t="shared" ref="F9:N9" si="14">+F8/E8-1</f>
        <v>0.22131147540983598</v>
      </c>
      <c r="G9" s="4">
        <f t="shared" si="14"/>
        <v>0.26342281879194629</v>
      </c>
      <c r="H9" s="4">
        <f t="shared" si="14"/>
        <v>7.9681274900398336E-2</v>
      </c>
      <c r="I9" s="4">
        <f t="shared" si="14"/>
        <v>0.29028290282902836</v>
      </c>
      <c r="J9" s="4">
        <f t="shared" si="14"/>
        <v>-6.3870352716873247E-2</v>
      </c>
      <c r="K9" s="4">
        <f t="shared" si="14"/>
        <v>-0.21079429735234212</v>
      </c>
      <c r="L9" s="4">
        <f t="shared" si="14"/>
        <v>7.2790573111944923E-3</v>
      </c>
      <c r="M9" s="4">
        <f t="shared" si="14"/>
        <v>4.4705225487746025E-2</v>
      </c>
      <c r="N9" s="4">
        <f t="shared" si="14"/>
        <v>1.7354433754565912E-2</v>
      </c>
      <c r="O9" s="71"/>
      <c r="P9" s="71"/>
      <c r="Q9" s="71"/>
      <c r="R9" s="71"/>
      <c r="S9" s="71"/>
      <c r="T9" s="71"/>
      <c r="U9" s="4">
        <f t="shared" ref="U9:AN9" si="15">+U8/Q8-1</f>
        <v>0.27725856697819307</v>
      </c>
      <c r="V9" s="4">
        <f t="shared" si="15"/>
        <v>0.32954545454545459</v>
      </c>
      <c r="W9" s="4">
        <f t="shared" si="15"/>
        <v>0.18974358974358974</v>
      </c>
      <c r="X9" s="4">
        <f t="shared" si="15"/>
        <v>0.11083743842364524</v>
      </c>
      <c r="Y9" s="4">
        <f t="shared" si="15"/>
        <v>8.7804878048780566E-2</v>
      </c>
      <c r="Z9" s="4">
        <f t="shared" si="15"/>
        <v>4.2735042735042805E-2</v>
      </c>
      <c r="AA9" s="4">
        <f t="shared" si="15"/>
        <v>0.11206896551724133</v>
      </c>
      <c r="AB9" s="215">
        <f t="shared" si="15"/>
        <v>0.15964523281596454</v>
      </c>
      <c r="AC9" s="4">
        <f t="shared" si="15"/>
        <v>0.17488789237668168</v>
      </c>
      <c r="AD9" s="4">
        <f t="shared" si="15"/>
        <v>0.20901639344262302</v>
      </c>
      <c r="AE9" s="4">
        <f t="shared" si="15"/>
        <v>0.20736434108527124</v>
      </c>
      <c r="AF9" s="215">
        <f t="shared" si="15"/>
        <v>6.118546845124273E-2</v>
      </c>
      <c r="AG9" s="4">
        <f t="shared" si="15"/>
        <v>0.12022900763358768</v>
      </c>
      <c r="AH9" s="4">
        <f t="shared" si="15"/>
        <v>6.7796610169490457E-3</v>
      </c>
      <c r="AI9" s="4">
        <f t="shared" si="15"/>
        <v>-0.158908507223114</v>
      </c>
      <c r="AJ9" s="215">
        <f t="shared" si="15"/>
        <v>-0.18558558558558558</v>
      </c>
      <c r="AK9" s="4">
        <f t="shared" si="15"/>
        <v>-0.23168654173764902</v>
      </c>
      <c r="AL9" s="4">
        <f t="shared" si="15"/>
        <v>-0.2087542087542088</v>
      </c>
      <c r="AM9" s="4">
        <f t="shared" si="15"/>
        <v>-7.2519083969465603E-2</v>
      </c>
      <c r="AN9" s="215">
        <f t="shared" si="15"/>
        <v>1.7699115044247815E-2</v>
      </c>
      <c r="AO9" s="234">
        <v>-0.1</v>
      </c>
      <c r="AP9" s="66">
        <v>1.4999999999999999E-2</v>
      </c>
      <c r="AQ9" s="66">
        <v>0.04</v>
      </c>
      <c r="AR9" s="246">
        <v>7.0000000000000007E-2</v>
      </c>
      <c r="AS9" s="234">
        <v>0.05</v>
      </c>
      <c r="AT9" s="66">
        <v>0.04</v>
      </c>
      <c r="AU9" s="66">
        <v>0.03</v>
      </c>
      <c r="AV9" s="246">
        <v>0.06</v>
      </c>
      <c r="AW9" s="234">
        <v>0.08</v>
      </c>
      <c r="AX9" s="66">
        <v>0.04</v>
      </c>
      <c r="AY9" s="66">
        <v>0.03</v>
      </c>
      <c r="AZ9" s="66">
        <v>0.03</v>
      </c>
      <c r="BA9" s="131">
        <f>+BA8</f>
        <v>14</v>
      </c>
      <c r="BB9" s="109">
        <v>516</v>
      </c>
      <c r="BC9" s="109">
        <v>2879.4702072595455</v>
      </c>
      <c r="BD9" s="154">
        <v>1.5377049004465122</v>
      </c>
      <c r="BE9" s="1">
        <f ca="1"/>
        <v>1.7546188410776467E-5</v>
      </c>
      <c r="BF9" s="154">
        <f ca="1"/>
        <v>5.2037966502918565E-4</v>
      </c>
      <c r="BG9" s="1">
        <f ca="1"/>
        <v>0.28839466163665212</v>
      </c>
    </row>
    <row r="10" spans="1:59" outlineLevel="2">
      <c r="B10" s="3" t="s">
        <v>355</v>
      </c>
      <c r="C10" s="159"/>
      <c r="E10" s="10"/>
      <c r="F10" s="4"/>
      <c r="G10" s="4"/>
      <c r="H10" s="4"/>
      <c r="I10" s="4"/>
      <c r="J10" s="4"/>
      <c r="K10" s="4"/>
      <c r="L10" s="4"/>
      <c r="M10" s="4"/>
      <c r="N10" s="4"/>
      <c r="O10" s="71"/>
      <c r="P10" s="71"/>
      <c r="Q10" s="71"/>
      <c r="R10" s="71">
        <f t="shared" ref="R10:AV10" si="16">R8/Q8-1</f>
        <v>9.6573208722741333E-2</v>
      </c>
      <c r="S10" s="71">
        <f t="shared" si="16"/>
        <v>0.10795454545454541</v>
      </c>
      <c r="T10" s="71">
        <f t="shared" si="16"/>
        <v>4.1025641025641102E-2</v>
      </c>
      <c r="U10" s="71">
        <f t="shared" si="16"/>
        <v>9.8522167487684609E-3</v>
      </c>
      <c r="V10" s="71">
        <f t="shared" si="16"/>
        <v>0.14146341463414625</v>
      </c>
      <c r="W10" s="71">
        <f t="shared" si="16"/>
        <v>-8.5470085470085166E-3</v>
      </c>
      <c r="X10" s="71">
        <f t="shared" si="16"/>
        <v>-2.8017241379310387E-2</v>
      </c>
      <c r="Y10" s="71">
        <f t="shared" si="16"/>
        <v>-1.1086474501108667E-2</v>
      </c>
      <c r="Z10" s="71">
        <f t="shared" si="16"/>
        <v>9.4170403587443996E-2</v>
      </c>
      <c r="AA10" s="71">
        <f t="shared" si="16"/>
        <v>5.7377049180327822E-2</v>
      </c>
      <c r="AB10" s="241">
        <f t="shared" si="16"/>
        <v>1.3565891472868241E-2</v>
      </c>
      <c r="AC10" s="71">
        <f t="shared" si="16"/>
        <v>1.9120458891013214E-3</v>
      </c>
      <c r="AD10" s="71">
        <f t="shared" si="16"/>
        <v>0.12595419847328237</v>
      </c>
      <c r="AE10" s="71">
        <f t="shared" si="16"/>
        <v>5.5932203389830404E-2</v>
      </c>
      <c r="AF10" s="241">
        <f t="shared" si="16"/>
        <v>-0.1091492776886035</v>
      </c>
      <c r="AG10" s="71">
        <f t="shared" si="16"/>
        <v>5.7657657657657735E-2</v>
      </c>
      <c r="AH10" s="71">
        <f t="shared" si="16"/>
        <v>1.1925042589437718E-2</v>
      </c>
      <c r="AI10" s="71">
        <f t="shared" si="16"/>
        <v>-0.11784511784511786</v>
      </c>
      <c r="AJ10" s="241">
        <f t="shared" si="16"/>
        <v>-0.13740458015267176</v>
      </c>
      <c r="AK10" s="71">
        <f t="shared" si="16"/>
        <v>-2.2123893805309214E-3</v>
      </c>
      <c r="AL10" s="71">
        <f t="shared" si="16"/>
        <v>4.2128603104212958E-2</v>
      </c>
      <c r="AM10" s="71">
        <f t="shared" si="16"/>
        <v>3.4042553191489411E-2</v>
      </c>
      <c r="AN10" s="241">
        <f t="shared" si="16"/>
        <v>-5.3497942386831254E-2</v>
      </c>
      <c r="AO10" s="71">
        <f t="shared" si="16"/>
        <v>-0.1176086956521738</v>
      </c>
      <c r="AP10" s="71">
        <f t="shared" si="16"/>
        <v>0.17528948016752866</v>
      </c>
      <c r="AQ10" s="71">
        <f t="shared" si="16"/>
        <v>5.9511581595220742E-2</v>
      </c>
      <c r="AR10" s="241">
        <f t="shared" si="16"/>
        <v>-2.6194998417220505E-2</v>
      </c>
      <c r="AS10" s="71">
        <f t="shared" si="16"/>
        <v>-0.13410199106054443</v>
      </c>
      <c r="AT10" s="71">
        <f t="shared" si="16"/>
        <v>0.16409624702307601</v>
      </c>
      <c r="AU10" s="71">
        <f t="shared" si="16"/>
        <v>4.9323970233728254E-2</v>
      </c>
      <c r="AV10" s="241">
        <f t="shared" si="16"/>
        <v>2.168254056064356E-3</v>
      </c>
      <c r="AW10" s="71">
        <f t="shared" ref="AW10" si="17">AW8/AV8-1</f>
        <v>-0.11776429277866796</v>
      </c>
      <c r="AX10" s="71">
        <f t="shared" ref="AX10" si="18">AX8/AW8-1</f>
        <v>0.12098157120740649</v>
      </c>
      <c r="AY10" s="71">
        <f t="shared" ref="AY10" si="19">AY8/AX8-1</f>
        <v>3.9234316673788738E-2</v>
      </c>
      <c r="AZ10" s="71">
        <f t="shared" ref="AZ10" si="20">AZ8/AY8-1</f>
        <v>2.168254056064356E-3</v>
      </c>
      <c r="BA10" s="130">
        <f>+BA9</f>
        <v>14</v>
      </c>
      <c r="BB10" s="109">
        <v>523</v>
      </c>
      <c r="BC10" s="109">
        <v>3275.8110055414099</v>
      </c>
      <c r="BD10" s="154">
        <v>1.5488659122046335</v>
      </c>
      <c r="BE10" s="40">
        <f ca="1"/>
        <v>0.21234908104320144</v>
      </c>
      <c r="BF10" s="40">
        <f ca="1"/>
        <v>0.11605478154942381</v>
      </c>
      <c r="BG10" s="40" t="e">
        <f ca="1"/>
        <v>#N/A</v>
      </c>
    </row>
    <row r="11" spans="1:59" outlineLevel="2">
      <c r="B11" s="3" t="s">
        <v>354</v>
      </c>
      <c r="C11" s="159"/>
      <c r="E11" s="10"/>
      <c r="F11" s="4">
        <f>AVERAGE(Q8:T8)/F8</f>
        <v>0.61619127516778527</v>
      </c>
      <c r="G11" s="4">
        <f>AVERAGE(U8:X8)/G8</f>
        <v>0.59528552456839312</v>
      </c>
      <c r="H11" s="4">
        <f>AVERAGE(Y8:AB8)/H8</f>
        <v>0.60670356703567041</v>
      </c>
      <c r="I11" s="4">
        <f>AVERAGE(AC8:AF8)/I8</f>
        <v>0.54623450905624404</v>
      </c>
      <c r="J11" s="4">
        <f>AVERAGE(AG8:AJ8)/J8</f>
        <v>0.54913441955193487</v>
      </c>
      <c r="K11" s="4">
        <f>AVERAGE(AK8:AN8)/K8</f>
        <v>0.60225806451612907</v>
      </c>
      <c r="L11" s="158">
        <f>+K11</f>
        <v>0.60225806451612907</v>
      </c>
      <c r="M11" s="158">
        <f>+L11</f>
        <v>0.60225806451612907</v>
      </c>
      <c r="N11" s="158">
        <f>+M11</f>
        <v>0.60225806451612907</v>
      </c>
      <c r="O11" s="71"/>
      <c r="P11" s="71"/>
      <c r="Q11" s="71"/>
      <c r="R11" s="71"/>
      <c r="S11" s="71"/>
      <c r="T11" s="71"/>
      <c r="U11" s="4"/>
      <c r="V11" s="4"/>
      <c r="W11" s="4"/>
      <c r="X11" s="4"/>
      <c r="Y11" s="4"/>
      <c r="Z11" s="4"/>
      <c r="AA11" s="4"/>
      <c r="AB11" s="215"/>
      <c r="AC11" s="4"/>
      <c r="AD11" s="4"/>
      <c r="AE11" s="4"/>
      <c r="AF11" s="215"/>
      <c r="AG11" s="4"/>
      <c r="AH11" s="4"/>
      <c r="AI11" s="4"/>
      <c r="AJ11" s="215"/>
      <c r="AK11" s="71"/>
      <c r="AL11" s="71"/>
      <c r="AM11" s="71"/>
      <c r="AN11" s="241"/>
      <c r="AO11" s="71"/>
      <c r="AP11" s="71"/>
      <c r="AQ11" s="71"/>
      <c r="AR11" s="241"/>
      <c r="AS11" s="71"/>
      <c r="AT11" s="71"/>
      <c r="AU11" s="71"/>
      <c r="AV11" s="241"/>
      <c r="AW11" s="71"/>
      <c r="AX11" s="71"/>
      <c r="AY11" s="71"/>
      <c r="AZ11" s="71"/>
      <c r="BA11" s="133">
        <f>+BA7+1</f>
        <v>15</v>
      </c>
      <c r="BB11" s="109">
        <v>524</v>
      </c>
      <c r="BC11" s="109">
        <f ca="1"/>
        <v>3693.2343806957188</v>
      </c>
      <c r="BD11" s="154">
        <f ca="1"/>
        <v>1.5257022906845583</v>
      </c>
    </row>
    <row r="12" spans="1:59" outlineLevel="2">
      <c r="B12" s="3" t="s">
        <v>353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09">
        <f t="shared" ref="Q12:AB12" si="21">+Q8-Q14</f>
        <v>316.09163220214941</v>
      </c>
      <c r="R12" s="109">
        <f t="shared" si="21"/>
        <v>345.72001464146268</v>
      </c>
      <c r="S12" s="109">
        <f t="shared" si="21"/>
        <v>381.88171157669643</v>
      </c>
      <c r="T12" s="109">
        <f t="shared" si="21"/>
        <v>396.13925324829535</v>
      </c>
      <c r="U12" s="109">
        <f t="shared" si="21"/>
        <v>398.3814607283955</v>
      </c>
      <c r="V12" s="109">
        <f t="shared" si="21"/>
        <v>452.52618399129233</v>
      </c>
      <c r="W12" s="109">
        <f t="shared" si="21"/>
        <v>446.099982399721</v>
      </c>
      <c r="X12" s="109">
        <f t="shared" si="21"/>
        <v>430.70000545220103</v>
      </c>
      <c r="Y12" s="109">
        <f t="shared" si="21"/>
        <v>422.5772361386999</v>
      </c>
      <c r="Z12" s="109">
        <f t="shared" si="21"/>
        <v>458.09753399759228</v>
      </c>
      <c r="AA12" s="109">
        <f t="shared" si="21"/>
        <v>479.1089694966422</v>
      </c>
      <c r="AB12" s="249">
        <f t="shared" si="21"/>
        <v>479.37286677880337</v>
      </c>
      <c r="AC12" s="120">
        <v>473</v>
      </c>
      <c r="AD12" s="120">
        <v>523</v>
      </c>
      <c r="AE12" s="120">
        <v>529</v>
      </c>
      <c r="AF12" s="248">
        <v>555</v>
      </c>
      <c r="AG12" s="109">
        <f t="shared" ref="AG12:AV12" si="22">+AG8</f>
        <v>587</v>
      </c>
      <c r="AH12" s="109">
        <f t="shared" si="22"/>
        <v>594</v>
      </c>
      <c r="AI12" s="109">
        <f t="shared" si="22"/>
        <v>524</v>
      </c>
      <c r="AJ12" s="249">
        <f t="shared" si="22"/>
        <v>452</v>
      </c>
      <c r="AK12" s="109">
        <f t="shared" si="22"/>
        <v>451</v>
      </c>
      <c r="AL12" s="109">
        <f t="shared" si="22"/>
        <v>470</v>
      </c>
      <c r="AM12" s="109">
        <f t="shared" si="22"/>
        <v>486</v>
      </c>
      <c r="AN12" s="249">
        <f t="shared" ref="AN12" si="23">+AN8</f>
        <v>460</v>
      </c>
      <c r="AO12" s="109">
        <f t="shared" si="22"/>
        <v>405.90000000000003</v>
      </c>
      <c r="AP12" s="109">
        <f t="shared" si="22"/>
        <v>477.04999999999995</v>
      </c>
      <c r="AQ12" s="109">
        <f t="shared" si="22"/>
        <v>505.44</v>
      </c>
      <c r="AR12" s="249">
        <f t="shared" si="22"/>
        <v>492.20000000000005</v>
      </c>
      <c r="AS12" s="109">
        <f t="shared" si="22"/>
        <v>426.19500000000005</v>
      </c>
      <c r="AT12" s="109">
        <f t="shared" si="22"/>
        <v>496.13199999999995</v>
      </c>
      <c r="AU12" s="109">
        <f t="shared" si="22"/>
        <v>520.60320000000002</v>
      </c>
      <c r="AV12" s="249">
        <f t="shared" si="22"/>
        <v>521.73200000000008</v>
      </c>
      <c r="AW12" s="109">
        <f t="shared" ref="AW12:AZ12" si="24">+AW8</f>
        <v>460.2906000000001</v>
      </c>
      <c r="AX12" s="109">
        <f t="shared" si="24"/>
        <v>515.97727999999995</v>
      </c>
      <c r="AY12" s="109">
        <f t="shared" si="24"/>
        <v>536.22129600000005</v>
      </c>
      <c r="AZ12" s="109">
        <f t="shared" si="24"/>
        <v>537.38396000000012</v>
      </c>
      <c r="BA12" s="132">
        <f>+BA11</f>
        <v>15</v>
      </c>
      <c r="BB12" s="109">
        <v>590</v>
      </c>
      <c r="BC12" s="109">
        <v>4295.8859678521103</v>
      </c>
      <c r="BD12" s="154">
        <v>1.7084771392935165</v>
      </c>
    </row>
    <row r="13" spans="1:59" outlineLevel="2">
      <c r="B13" s="52" t="s">
        <v>128</v>
      </c>
      <c r="H13" s="10"/>
      <c r="I13" s="10"/>
      <c r="Q13" s="71"/>
      <c r="R13" s="71"/>
      <c r="S13" s="71"/>
      <c r="T13" s="71"/>
      <c r="U13" s="4">
        <f t="shared" ref="U13:AV13" si="25">+U12/Q12-1</f>
        <v>0.26033535893673854</v>
      </c>
      <c r="V13" s="4">
        <f t="shared" si="25"/>
        <v>0.30893834555860344</v>
      </c>
      <c r="W13" s="4">
        <f t="shared" si="25"/>
        <v>0.16816272912856434</v>
      </c>
      <c r="X13" s="4">
        <f t="shared" si="25"/>
        <v>8.724394747683184E-2</v>
      </c>
      <c r="Y13" s="4">
        <f t="shared" si="25"/>
        <v>6.0735194268491277E-2</v>
      </c>
      <c r="Z13" s="4">
        <f t="shared" si="25"/>
        <v>1.2311663287990271E-2</v>
      </c>
      <c r="AA13" s="4">
        <f t="shared" si="25"/>
        <v>7.3994594035522665E-2</v>
      </c>
      <c r="AB13" s="215">
        <f t="shared" si="25"/>
        <v>0.11300873162399827</v>
      </c>
      <c r="AC13" s="4">
        <f t="shared" si="25"/>
        <v>0.11932200684078054</v>
      </c>
      <c r="AD13" s="4">
        <f t="shared" si="25"/>
        <v>0.1416782697693999</v>
      </c>
      <c r="AE13" s="4">
        <f t="shared" si="25"/>
        <v>0.10413295028847802</v>
      </c>
      <c r="AF13" s="215">
        <f t="shared" si="25"/>
        <v>0.15776264879024371</v>
      </c>
      <c r="AG13" s="4">
        <f t="shared" si="25"/>
        <v>0.2410147991543341</v>
      </c>
      <c r="AH13" s="4">
        <f t="shared" si="25"/>
        <v>0.13575525812619493</v>
      </c>
      <c r="AI13" s="4">
        <f t="shared" si="25"/>
        <v>-9.4517958412098091E-3</v>
      </c>
      <c r="AJ13" s="215">
        <f t="shared" si="25"/>
        <v>-0.18558558558558558</v>
      </c>
      <c r="AK13" s="4">
        <f t="shared" si="25"/>
        <v>-0.23168654173764902</v>
      </c>
      <c r="AL13" s="4">
        <f t="shared" si="25"/>
        <v>-0.2087542087542088</v>
      </c>
      <c r="AM13" s="4">
        <f t="shared" si="25"/>
        <v>-7.2519083969465603E-2</v>
      </c>
      <c r="AN13" s="215">
        <f t="shared" si="25"/>
        <v>1.7699115044247815E-2</v>
      </c>
      <c r="AO13" s="4">
        <f t="shared" si="25"/>
        <v>-9.9999999999999978E-2</v>
      </c>
      <c r="AP13" s="4">
        <f t="shared" si="25"/>
        <v>1.4999999999999902E-2</v>
      </c>
      <c r="AQ13" s="4">
        <f t="shared" si="25"/>
        <v>4.0000000000000036E-2</v>
      </c>
      <c r="AR13" s="215">
        <f t="shared" si="25"/>
        <v>7.0000000000000062E-2</v>
      </c>
      <c r="AS13" s="4">
        <f t="shared" si="25"/>
        <v>5.0000000000000044E-2</v>
      </c>
      <c r="AT13" s="4">
        <f t="shared" si="25"/>
        <v>4.0000000000000036E-2</v>
      </c>
      <c r="AU13" s="4">
        <f t="shared" si="25"/>
        <v>3.0000000000000027E-2</v>
      </c>
      <c r="AV13" s="215">
        <f t="shared" si="25"/>
        <v>6.0000000000000053E-2</v>
      </c>
      <c r="AW13" s="4">
        <f t="shared" ref="AW13" si="26">+AW12/AS12-1</f>
        <v>8.0000000000000071E-2</v>
      </c>
      <c r="AX13" s="4">
        <f t="shared" ref="AX13" si="27">+AX12/AT12-1</f>
        <v>4.0000000000000036E-2</v>
      </c>
      <c r="AY13" s="4">
        <f t="shared" ref="AY13" si="28">+AY12/AU12-1</f>
        <v>3.0000000000000027E-2</v>
      </c>
      <c r="AZ13" s="4">
        <f t="shared" ref="AZ13" si="29">+AZ12/AV12-1</f>
        <v>3.0000000000000027E-2</v>
      </c>
      <c r="BA13" s="131">
        <f>+BA12</f>
        <v>15</v>
      </c>
      <c r="BB13" s="109">
        <v>623</v>
      </c>
      <c r="BC13" s="109">
        <v>5016.6642064685602</v>
      </c>
      <c r="BD13" s="154">
        <v>1.6715995345729537</v>
      </c>
      <c r="BE13" s="110"/>
      <c r="BF13" s="110"/>
    </row>
    <row r="14" spans="1:59" outlineLevel="2">
      <c r="B14" s="3" t="s">
        <v>291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109">
        <f t="shared" ref="Q14:AB14" si="30">+Q8*Q15</f>
        <v>4.9083677978506115</v>
      </c>
      <c r="R14" s="109">
        <f t="shared" si="30"/>
        <v>6.2799853585373304</v>
      </c>
      <c r="S14" s="109">
        <f t="shared" si="30"/>
        <v>8.118288423303591</v>
      </c>
      <c r="T14" s="109">
        <f t="shared" si="30"/>
        <v>9.8607467517046334</v>
      </c>
      <c r="U14" s="109">
        <f t="shared" si="30"/>
        <v>11.61853927160448</v>
      </c>
      <c r="V14" s="109">
        <f t="shared" si="30"/>
        <v>15.473816008707647</v>
      </c>
      <c r="W14" s="109">
        <f t="shared" si="30"/>
        <v>17.900017600278979</v>
      </c>
      <c r="X14" s="109">
        <f t="shared" si="30"/>
        <v>20.299994547798992</v>
      </c>
      <c r="Y14" s="109">
        <f t="shared" si="30"/>
        <v>23.422763861300112</v>
      </c>
      <c r="Z14" s="109">
        <f t="shared" si="30"/>
        <v>29.902466002407717</v>
      </c>
      <c r="AA14" s="109">
        <f t="shared" si="30"/>
        <v>36.89103050335779</v>
      </c>
      <c r="AB14" s="249">
        <f t="shared" si="30"/>
        <v>43.627133221196623</v>
      </c>
      <c r="AC14" s="109">
        <f t="shared" ref="AC14:AJ14" si="31">+AC8-AC12</f>
        <v>51</v>
      </c>
      <c r="AD14" s="109">
        <f t="shared" si="31"/>
        <v>67</v>
      </c>
      <c r="AE14" s="109">
        <f t="shared" si="31"/>
        <v>94</v>
      </c>
      <c r="AF14" s="249">
        <f t="shared" si="31"/>
        <v>0</v>
      </c>
      <c r="AG14" s="109">
        <f t="shared" si="31"/>
        <v>0</v>
      </c>
      <c r="AH14" s="109">
        <f t="shared" si="31"/>
        <v>0</v>
      </c>
      <c r="AI14" s="109">
        <f t="shared" si="31"/>
        <v>0</v>
      </c>
      <c r="AJ14" s="249">
        <f t="shared" si="31"/>
        <v>0</v>
      </c>
      <c r="AK14" s="109">
        <f t="shared" ref="AK14:AV14" si="32">+AJ14</f>
        <v>0</v>
      </c>
      <c r="AL14" s="109">
        <f t="shared" si="32"/>
        <v>0</v>
      </c>
      <c r="AM14" s="109">
        <f t="shared" si="32"/>
        <v>0</v>
      </c>
      <c r="AN14" s="249">
        <f t="shared" si="32"/>
        <v>0</v>
      </c>
      <c r="AO14" s="109">
        <f t="shared" si="32"/>
        <v>0</v>
      </c>
      <c r="AP14" s="109">
        <f t="shared" si="32"/>
        <v>0</v>
      </c>
      <c r="AQ14" s="109">
        <f t="shared" si="32"/>
        <v>0</v>
      </c>
      <c r="AR14" s="249">
        <f t="shared" si="32"/>
        <v>0</v>
      </c>
      <c r="AS14" s="109">
        <f t="shared" si="32"/>
        <v>0</v>
      </c>
      <c r="AT14" s="109">
        <f t="shared" si="32"/>
        <v>0</v>
      </c>
      <c r="AU14" s="109">
        <f t="shared" si="32"/>
        <v>0</v>
      </c>
      <c r="AV14" s="249">
        <f t="shared" si="32"/>
        <v>0</v>
      </c>
      <c r="AW14" s="109">
        <f t="shared" ref="AW14" si="33">+AV14</f>
        <v>0</v>
      </c>
      <c r="AX14" s="109">
        <f t="shared" ref="AX14" si="34">+AW14</f>
        <v>0</v>
      </c>
      <c r="AY14" s="109">
        <f t="shared" ref="AY14" si="35">+AX14</f>
        <v>0</v>
      </c>
      <c r="AZ14" s="109">
        <f t="shared" ref="AZ14" si="36">+AY14</f>
        <v>0</v>
      </c>
      <c r="BA14" s="130">
        <f>+BA13</f>
        <v>15</v>
      </c>
      <c r="BB14" s="109">
        <v>555</v>
      </c>
      <c r="BC14" s="109">
        <v>5285.5072170792173</v>
      </c>
      <c r="BD14" s="154">
        <v>1.5672907914761152</v>
      </c>
      <c r="BE14" s="1">
        <f t="array" aca="1" ref="BE14:BG16" ca="1">LINEST(BD25:BD36,BB25:BC36,TRUE,TRUE)</f>
        <v>3.7234717492669501E-5</v>
      </c>
      <c r="BF14" s="154">
        <f ca="1"/>
        <v>6.3515052660907223E-4</v>
      </c>
      <c r="BG14" s="1">
        <f ca="1"/>
        <v>1.0662418903058344</v>
      </c>
    </row>
    <row r="15" spans="1:59" outlineLevel="2">
      <c r="B15" s="52" t="s">
        <v>352</v>
      </c>
      <c r="H15" s="10"/>
      <c r="I15" s="10"/>
      <c r="Q15" s="4">
        <f t="shared" ref="Q15:AB15" si="37">+R15*R15/S15</f>
        <v>1.5290865413864834E-2</v>
      </c>
      <c r="R15" s="4">
        <f t="shared" si="37"/>
        <v>1.7840867495844688E-2</v>
      </c>
      <c r="S15" s="4">
        <f t="shared" si="37"/>
        <v>2.0816124162316898E-2</v>
      </c>
      <c r="T15" s="4">
        <f t="shared" si="37"/>
        <v>2.4287553575627178E-2</v>
      </c>
      <c r="U15" s="4">
        <f t="shared" si="37"/>
        <v>2.8337900662449952E-2</v>
      </c>
      <c r="V15" s="4">
        <f t="shared" si="37"/>
        <v>3.3063709420315487E-2</v>
      </c>
      <c r="W15" s="4">
        <f t="shared" si="37"/>
        <v>3.8577624138532281E-2</v>
      </c>
      <c r="X15" s="4">
        <f t="shared" si="37"/>
        <v>4.5011074385363621E-2</v>
      </c>
      <c r="Y15" s="4">
        <f t="shared" si="37"/>
        <v>5.251740776076258E-2</v>
      </c>
      <c r="Z15" s="4">
        <f t="shared" si="37"/>
        <v>6.1275545086901057E-2</v>
      </c>
      <c r="AA15" s="4">
        <f t="shared" si="37"/>
        <v>7.1494245161546108E-2</v>
      </c>
      <c r="AB15" s="215">
        <f t="shared" si="37"/>
        <v>8.3417080728865431E-2</v>
      </c>
      <c r="AC15" s="4">
        <f t="shared" ref="AC15:AV15" si="38">+AC14/AC8</f>
        <v>9.7328244274809156E-2</v>
      </c>
      <c r="AD15" s="4">
        <f t="shared" si="38"/>
        <v>0.11355932203389831</v>
      </c>
      <c r="AE15" s="4">
        <f t="shared" si="38"/>
        <v>0.1508828250401284</v>
      </c>
      <c r="AF15" s="215">
        <f t="shared" si="38"/>
        <v>0</v>
      </c>
      <c r="AG15" s="4">
        <f t="shared" si="38"/>
        <v>0</v>
      </c>
      <c r="AH15" s="4">
        <f t="shared" si="38"/>
        <v>0</v>
      </c>
      <c r="AI15" s="4">
        <f t="shared" si="38"/>
        <v>0</v>
      </c>
      <c r="AJ15" s="215">
        <f t="shared" si="38"/>
        <v>0</v>
      </c>
      <c r="AK15" s="4">
        <f t="shared" si="38"/>
        <v>0</v>
      </c>
      <c r="AL15" s="4">
        <f t="shared" si="38"/>
        <v>0</v>
      </c>
      <c r="AM15" s="4">
        <f t="shared" si="38"/>
        <v>0</v>
      </c>
      <c r="AN15" s="215">
        <f t="shared" ref="AN15" si="39">+AN14/AN8</f>
        <v>0</v>
      </c>
      <c r="AO15" s="4">
        <f t="shared" si="38"/>
        <v>0</v>
      </c>
      <c r="AP15" s="4">
        <f t="shared" si="38"/>
        <v>0</v>
      </c>
      <c r="AQ15" s="4">
        <f t="shared" si="38"/>
        <v>0</v>
      </c>
      <c r="AR15" s="215">
        <f t="shared" si="38"/>
        <v>0</v>
      </c>
      <c r="AS15" s="4">
        <f t="shared" si="38"/>
        <v>0</v>
      </c>
      <c r="AT15" s="4">
        <f t="shared" si="38"/>
        <v>0</v>
      </c>
      <c r="AU15" s="4">
        <f t="shared" si="38"/>
        <v>0</v>
      </c>
      <c r="AV15" s="215">
        <f t="shared" si="38"/>
        <v>0</v>
      </c>
      <c r="AW15" s="4">
        <f t="shared" ref="AW15:AZ15" si="40">+AW14/AW8</f>
        <v>0</v>
      </c>
      <c r="AX15" s="4">
        <f t="shared" si="40"/>
        <v>0</v>
      </c>
      <c r="AY15" s="4">
        <f t="shared" si="40"/>
        <v>0</v>
      </c>
      <c r="AZ15" s="4">
        <f t="shared" si="40"/>
        <v>0</v>
      </c>
      <c r="BA15" s="133">
        <f>BA14+1</f>
        <v>16</v>
      </c>
      <c r="BB15" s="109">
        <v>587</v>
      </c>
      <c r="BC15" s="109">
        <f ca="1"/>
        <v>5464.2668039379951</v>
      </c>
      <c r="BD15" s="154">
        <f ca="1"/>
        <v>1.4938169470603742</v>
      </c>
      <c r="BE15" s="1">
        <f ca="1"/>
        <v>1.9305840401824295E-5</v>
      </c>
      <c r="BF15" s="154">
        <f ca="1"/>
        <v>6.5880792309986019E-4</v>
      </c>
      <c r="BG15" s="1">
        <f ca="1"/>
        <v>0.36229178734314693</v>
      </c>
    </row>
    <row r="16" spans="1:59" outlineLevel="2">
      <c r="B16" s="3" t="s">
        <v>351</v>
      </c>
      <c r="E16" s="109">
        <f t="shared" ref="E16:M16" si="41">+E73/E8*1000</f>
        <v>29692.145491803276</v>
      </c>
      <c r="F16" s="109">
        <f t="shared" si="41"/>
        <v>37324.904362416106</v>
      </c>
      <c r="G16" s="109">
        <f t="shared" ca="1" si="41"/>
        <v>39296.515272244353</v>
      </c>
      <c r="H16" s="109">
        <f t="shared" ca="1" si="41"/>
        <v>53785.312423124233</v>
      </c>
      <c r="I16" s="109">
        <f t="shared" ca="1" si="41"/>
        <v>53681.90714966636</v>
      </c>
      <c r="J16" s="109">
        <f t="shared" ca="1" si="41"/>
        <v>56390.051934826886</v>
      </c>
      <c r="K16" s="109">
        <f t="shared" ca="1" si="41"/>
        <v>80209.731721519245</v>
      </c>
      <c r="L16" s="109">
        <f t="shared" ca="1" si="41"/>
        <v>95652.043381352749</v>
      </c>
      <c r="M16" s="109">
        <f t="shared" ca="1" si="41"/>
        <v>110030.64537283308</v>
      </c>
      <c r="N16" s="109">
        <f t="shared" ref="N16" ca="1" si="42">+N73/N8*1000</f>
        <v>125265.14282390747</v>
      </c>
      <c r="O16" s="2"/>
      <c r="P16" s="2"/>
      <c r="Q16" s="12"/>
      <c r="R16" s="12"/>
      <c r="S16" s="12"/>
      <c r="T16" s="12"/>
      <c r="U16" s="12"/>
      <c r="V16" s="12"/>
      <c r="W16" s="12"/>
      <c r="X16" s="12"/>
      <c r="Y16" s="109">
        <f t="shared" ref="Y16:AV16" si="43">+Y73/Y8*1000</f>
        <v>19402.621365379313</v>
      </c>
      <c r="Z16" s="109">
        <f t="shared" si="43"/>
        <v>22259.305503355619</v>
      </c>
      <c r="AA16" s="109">
        <f t="shared" si="43"/>
        <v>23509.479921380153</v>
      </c>
      <c r="AB16" s="249">
        <f t="shared" si="43"/>
        <v>23098.388424418983</v>
      </c>
      <c r="AC16" s="109">
        <f t="shared" si="43"/>
        <v>21586.621795786567</v>
      </c>
      <c r="AD16" s="109">
        <f t="shared" si="43"/>
        <v>24879.399895210619</v>
      </c>
      <c r="AE16" s="109">
        <f t="shared" si="43"/>
        <v>24926.739054282269</v>
      </c>
      <c r="AF16" s="249">
        <f t="shared" si="43"/>
        <v>26653.56109912743</v>
      </c>
      <c r="AG16" s="109">
        <f t="shared" si="43"/>
        <v>22566.778534923342</v>
      </c>
      <c r="AH16" s="109">
        <f t="shared" ca="1" si="43"/>
        <v>24433.660554554845</v>
      </c>
      <c r="AI16" s="109">
        <f t="shared" ca="1" si="43"/>
        <v>26545.509082146782</v>
      </c>
      <c r="AJ16" s="249">
        <f t="shared" ca="1" si="43"/>
        <v>30320.555025552017</v>
      </c>
      <c r="AK16" s="109">
        <f t="shared" si="43"/>
        <v>27540.0110864745</v>
      </c>
      <c r="AL16" s="109">
        <f t="shared" si="43"/>
        <v>32249.490035102368</v>
      </c>
      <c r="AM16" s="109">
        <f t="shared" si="43"/>
        <v>34984.06173193024</v>
      </c>
      <c r="AN16" s="249">
        <f t="shared" ref="AN16" si="44">+AN73/AN8*1000</f>
        <v>38222.788621654792</v>
      </c>
      <c r="AO16" s="109">
        <f t="shared" ca="1" si="43"/>
        <v>38013.229287612441</v>
      </c>
      <c r="AP16" s="109">
        <f t="shared" ca="1" si="43"/>
        <v>39092.808698351153</v>
      </c>
      <c r="AQ16" s="109">
        <f t="shared" ca="1" si="43"/>
        <v>39955.596023857674</v>
      </c>
      <c r="AR16" s="249">
        <f t="shared" ca="1" si="43"/>
        <v>41438.402998336824</v>
      </c>
      <c r="AS16" s="109">
        <f t="shared" ca="1" si="43"/>
        <v>45359.167153436058</v>
      </c>
      <c r="AT16" s="109">
        <f t="shared" ca="1" si="43"/>
        <v>45204.245747616696</v>
      </c>
      <c r="AU16" s="109">
        <f t="shared" ca="1" si="43"/>
        <v>47116.585946066771</v>
      </c>
      <c r="AV16" s="249">
        <f t="shared" ca="1" si="43"/>
        <v>44939.213021070696</v>
      </c>
      <c r="AW16" s="109">
        <f t="shared" ref="AW16:AZ16" ca="1" si="45">+AW73/AW8*1000</f>
        <v>49388.33453837577</v>
      </c>
      <c r="AX16" s="109">
        <f t="shared" ca="1" si="45"/>
        <v>50070.608259794746</v>
      </c>
      <c r="AY16" s="109">
        <f t="shared" ca="1" si="45"/>
        <v>52324.416842321152</v>
      </c>
      <c r="AZ16" s="109">
        <f t="shared" ca="1" si="45"/>
        <v>50812.633614212617</v>
      </c>
      <c r="BA16" s="132">
        <f>BA15</f>
        <v>16</v>
      </c>
      <c r="BB16" s="109">
        <v>594</v>
      </c>
      <c r="BC16" s="109">
        <f ca="1"/>
        <v>6152.1827030233417</v>
      </c>
      <c r="BD16" s="154">
        <f ca="1"/>
        <v>1.4626400000457394</v>
      </c>
      <c r="BE16" s="40">
        <f ca="1"/>
        <v>0.33163945968460573</v>
      </c>
      <c r="BF16" s="1">
        <f ca="1"/>
        <v>0.12300087548640401</v>
      </c>
      <c r="BG16" s="1" t="e">
        <f ca="1"/>
        <v>#N/A</v>
      </c>
    </row>
    <row r="17" spans="2:58" outlineLevel="2">
      <c r="B17" s="52" t="s">
        <v>128</v>
      </c>
      <c r="F17" s="4">
        <f t="shared" ref="F17:N17" si="46">+F16/E16-1</f>
        <v>0.25706323151083521</v>
      </c>
      <c r="G17" s="4">
        <f t="shared" ca="1" si="46"/>
        <v>5.2822932664056355E-2</v>
      </c>
      <c r="H17" s="4">
        <f t="shared" ca="1" si="46"/>
        <v>0.36870437621509677</v>
      </c>
      <c r="I17" s="4">
        <f t="shared" ca="1" si="46"/>
        <v>-1.9225559692652716E-3</v>
      </c>
      <c r="J17" s="4">
        <f t="shared" ca="1" si="46"/>
        <v>5.0447998757014334E-2</v>
      </c>
      <c r="K17" s="4">
        <f t="shared" ca="1" si="46"/>
        <v>0.42240925428162557</v>
      </c>
      <c r="L17" s="4">
        <f t="shared" ca="1" si="46"/>
        <v>0.19252416543977202</v>
      </c>
      <c r="M17" s="4">
        <f t="shared" ca="1" si="46"/>
        <v>0.15032195322952635</v>
      </c>
      <c r="N17" s="4">
        <f t="shared" ca="1" si="46"/>
        <v>0.13845685808215613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218"/>
      <c r="AC17" s="4">
        <f t="shared" ref="AC17:AV17" si="47">+AC16/Y16-1</f>
        <v>0.11256213216139099</v>
      </c>
      <c r="AD17" s="4">
        <f t="shared" si="47"/>
        <v>0.11770782298037186</v>
      </c>
      <c r="AE17" s="4">
        <f t="shared" si="47"/>
        <v>6.0284580417843348E-2</v>
      </c>
      <c r="AF17" s="215">
        <f t="shared" si="47"/>
        <v>0.15391431685121448</v>
      </c>
      <c r="AG17" s="4">
        <f t="shared" si="47"/>
        <v>4.540574937612929E-2</v>
      </c>
      <c r="AH17" s="4">
        <f t="shared" ca="1" si="47"/>
        <v>-1.7916000487679828E-2</v>
      </c>
      <c r="AI17" s="4">
        <f t="shared" ca="1" si="47"/>
        <v>6.4941106991145636E-2</v>
      </c>
      <c r="AJ17" s="215">
        <f t="shared" ca="1" si="47"/>
        <v>0.13757988708475555</v>
      </c>
      <c r="AK17" s="4">
        <f t="shared" si="47"/>
        <v>0.2203784888416751</v>
      </c>
      <c r="AL17" s="4">
        <f t="shared" ca="1" si="47"/>
        <v>0.31987959655478315</v>
      </c>
      <c r="AM17" s="4">
        <f t="shared" ca="1" si="47"/>
        <v>0.31789002891863238</v>
      </c>
      <c r="AN17" s="215">
        <f t="shared" ca="1" si="47"/>
        <v>0.26062298626932567</v>
      </c>
      <c r="AO17" s="4">
        <f t="shared" ca="1" si="47"/>
        <v>0.38029099437369385</v>
      </c>
      <c r="AP17" s="4">
        <f t="shared" ca="1" si="47"/>
        <v>0.21219928302122248</v>
      </c>
      <c r="AQ17" s="4">
        <f t="shared" ca="1" si="47"/>
        <v>0.14210855017414614</v>
      </c>
      <c r="AR17" s="215">
        <f t="shared" ca="1" si="47"/>
        <v>8.4128199240289137E-2</v>
      </c>
      <c r="AS17" s="4">
        <f t="shared" ca="1" si="47"/>
        <v>0.19324687756053049</v>
      </c>
      <c r="AT17" s="4">
        <f t="shared" ca="1" si="47"/>
        <v>0.15633149043914329</v>
      </c>
      <c r="AU17" s="4">
        <f t="shared" ca="1" si="47"/>
        <v>0.17922370418234368</v>
      </c>
      <c r="AV17" s="215">
        <f t="shared" ca="1" si="47"/>
        <v>8.448226209090115E-2</v>
      </c>
      <c r="AW17" s="4">
        <f t="shared" ref="AW17" ca="1" si="48">+AW16/AS16-1</f>
        <v>8.8828072422720616E-2</v>
      </c>
      <c r="AX17" s="4">
        <f t="shared" ref="AX17" ca="1" si="49">+AX16/AT16-1</f>
        <v>0.10765277534654194</v>
      </c>
      <c r="AY17" s="4">
        <f t="shared" ref="AY17" ca="1" si="50">+AY16/AU16-1</f>
        <v>0.11053073544453462</v>
      </c>
      <c r="AZ17" s="4">
        <f t="shared" ref="AZ17" ca="1" si="51">+AZ16/AV16-1</f>
        <v>0.13069700598424006</v>
      </c>
      <c r="BA17" s="131">
        <v>16</v>
      </c>
      <c r="BB17" s="109">
        <v>524</v>
      </c>
      <c r="BC17" s="109">
        <f ca="1"/>
        <v>5395.4182294798347</v>
      </c>
      <c r="BD17" s="154">
        <f ca="1"/>
        <v>1.64997439441261</v>
      </c>
    </row>
    <row r="18" spans="2:58" outlineLevel="2">
      <c r="Y18" s="157">
        <f t="shared" ref="Y18:AF18" si="52">+Y19*100</f>
        <v>184.12744672420328</v>
      </c>
      <c r="Z18" s="157">
        <f t="shared" si="52"/>
        <v>196.42392561103185</v>
      </c>
      <c r="AA18" s="157">
        <f t="shared" si="52"/>
        <v>197.71197691372706</v>
      </c>
      <c r="AB18" s="260">
        <f t="shared" si="52"/>
        <v>190.86456096175399</v>
      </c>
      <c r="AC18" s="157">
        <f t="shared" si="52"/>
        <v>179.61162196583587</v>
      </c>
      <c r="AD18" s="157">
        <f t="shared" si="52"/>
        <v>198.08430600504539</v>
      </c>
      <c r="AE18" s="157">
        <f t="shared" si="52"/>
        <v>188.88130334157665</v>
      </c>
      <c r="AF18" s="260">
        <f t="shared" si="52"/>
        <v>173.95014333808157</v>
      </c>
      <c r="BA18" s="130">
        <f>+BA17</f>
        <v>16</v>
      </c>
      <c r="BB18" s="109">
        <v>452</v>
      </c>
      <c r="BC18" s="109">
        <f ca="1"/>
        <v>5597.4676157605672</v>
      </c>
      <c r="BD18" s="154">
        <f ca="1"/>
        <v>1.5914659410310437</v>
      </c>
    </row>
    <row r="19" spans="2:58" outlineLevel="2">
      <c r="B19" s="1" t="s">
        <v>350</v>
      </c>
      <c r="C19" s="1" t="s">
        <v>349</v>
      </c>
      <c r="E19" s="150">
        <f t="shared" ref="E19:M19" si="53">+E73/E55</f>
        <v>1.5073488006039042</v>
      </c>
      <c r="F19" s="150">
        <f t="shared" si="53"/>
        <v>1.8236256791256031</v>
      </c>
      <c r="G19" s="150">
        <f t="shared" ca="1" si="53"/>
        <v>1.827969010295476</v>
      </c>
      <c r="H19" s="150">
        <f t="shared" ca="1" si="53"/>
        <v>1.9267529848019227</v>
      </c>
      <c r="I19" s="150">
        <f t="shared" ca="1" si="53"/>
        <v>1.8503183084467514</v>
      </c>
      <c r="J19" s="150">
        <f t="shared" ca="1" si="53"/>
        <v>1.6451362679140467</v>
      </c>
      <c r="K19" s="150">
        <f t="shared" ca="1" si="53"/>
        <v>1.6682803703587235</v>
      </c>
      <c r="L19" s="299">
        <f t="shared" ca="1" si="53"/>
        <v>1.700094385332813</v>
      </c>
      <c r="M19" s="299">
        <f t="shared" ca="1" si="53"/>
        <v>1.7950274076287787</v>
      </c>
      <c r="N19" s="299">
        <f t="shared" ref="N19" ca="1" si="54">+N73/N55</f>
        <v>1.871766610601999</v>
      </c>
      <c r="O19" s="150"/>
      <c r="P19" s="150"/>
      <c r="Q19" s="150"/>
      <c r="R19" s="150"/>
      <c r="S19" s="150"/>
      <c r="T19" s="150"/>
      <c r="U19" s="150">
        <f t="shared" ref="U19:AN19" si="55">(U73/U55)</f>
        <v>1.5790167208001977</v>
      </c>
      <c r="V19" s="150">
        <f t="shared" si="55"/>
        <v>1.7814314229798838</v>
      </c>
      <c r="W19" s="150">
        <f t="shared" si="55"/>
        <v>2.0210866867481698</v>
      </c>
      <c r="X19" s="150">
        <f t="shared" si="55"/>
        <v>1.8904827787766023</v>
      </c>
      <c r="Y19" s="150">
        <f t="shared" si="55"/>
        <v>1.8412744672420329</v>
      </c>
      <c r="Z19" s="150">
        <f t="shared" si="55"/>
        <v>1.9642392561103186</v>
      </c>
      <c r="AA19" s="150">
        <f t="shared" si="55"/>
        <v>1.9771197691372706</v>
      </c>
      <c r="AB19" s="250">
        <f t="shared" si="55"/>
        <v>1.9086456096175399</v>
      </c>
      <c r="AC19" s="150">
        <f t="shared" si="55"/>
        <v>1.7961162196583587</v>
      </c>
      <c r="AD19" s="150">
        <f t="shared" si="55"/>
        <v>1.9808430600504539</v>
      </c>
      <c r="AE19" s="150">
        <f t="shared" si="55"/>
        <v>1.8888130334157665</v>
      </c>
      <c r="AF19" s="250">
        <f t="shared" si="55"/>
        <v>1.7395014333808159</v>
      </c>
      <c r="AG19" s="150">
        <f t="shared" si="55"/>
        <v>1.6180158846940966</v>
      </c>
      <c r="AH19" s="150">
        <f t="shared" ca="1" si="55"/>
        <v>1.5668344938893835</v>
      </c>
      <c r="AI19" s="150">
        <f t="shared" ca="1" si="55"/>
        <v>1.7441589792945134</v>
      </c>
      <c r="AJ19" s="250">
        <f t="shared" ca="1" si="55"/>
        <v>1.664278108267758</v>
      </c>
      <c r="AK19" s="150">
        <f t="shared" si="55"/>
        <v>1.608807464864298</v>
      </c>
      <c r="AL19" s="150">
        <f t="shared" si="55"/>
        <v>1.4610020644563695</v>
      </c>
      <c r="AM19" s="150">
        <f t="shared" si="55"/>
        <v>1.8221509878699573</v>
      </c>
      <c r="AN19" s="250">
        <f t="shared" si="55"/>
        <v>1.7876242071170283</v>
      </c>
      <c r="AO19" s="150">
        <f t="shared" ref="AO19:AV19" ca="1" si="56">+(AO21*AO57+AO23*AO65)/AO55</f>
        <v>1.6159278116700939</v>
      </c>
      <c r="AP19" s="150">
        <f t="shared" ca="1" si="56"/>
        <v>1.6930652824631081</v>
      </c>
      <c r="AQ19" s="150">
        <f t="shared" ca="1" si="56"/>
        <v>1.7392615184849112</v>
      </c>
      <c r="AR19" s="250">
        <f t="shared" ca="1" si="56"/>
        <v>1.7363870498115073</v>
      </c>
      <c r="AS19" s="150">
        <f t="shared" ca="1" si="56"/>
        <v>1.7161277307119442</v>
      </c>
      <c r="AT19" s="150">
        <f t="shared" ca="1" si="56"/>
        <v>1.7875721499841009</v>
      </c>
      <c r="AU19" s="150">
        <f t="shared" ca="1" si="56"/>
        <v>1.8401711095941302</v>
      </c>
      <c r="AV19" s="250">
        <f t="shared" ca="1" si="56"/>
        <v>1.8246443384037876</v>
      </c>
      <c r="AW19" s="150">
        <f t="shared" ref="AW19:AZ19" ca="1" si="57">+(AW21*AW57+AW23*AW65)/AW55</f>
        <v>1.8004863287216495</v>
      </c>
      <c r="AX19" s="150">
        <f t="shared" ca="1" si="57"/>
        <v>1.8620775155340696</v>
      </c>
      <c r="AY19" s="150">
        <f t="shared" ca="1" si="57"/>
        <v>1.9122410750183594</v>
      </c>
      <c r="AZ19" s="150">
        <f t="shared" ca="1" si="57"/>
        <v>1.9024609358953746</v>
      </c>
      <c r="BA19" s="133">
        <f>+BA18+1</f>
        <v>17</v>
      </c>
      <c r="BB19" s="109">
        <v>451</v>
      </c>
      <c r="BC19" s="109">
        <f ca="1"/>
        <v>5578.7653304280129</v>
      </c>
      <c r="BD19" s="154">
        <f ca="1"/>
        <v>1.5607041216648556</v>
      </c>
    </row>
    <row r="20" spans="2:58" outlineLevel="2">
      <c r="B20" s="3" t="s">
        <v>128</v>
      </c>
      <c r="G20" s="10"/>
      <c r="H20" s="4">
        <f t="shared" ref="H20:N20" ca="1" si="58">+H19/G19-1</f>
        <v>5.4040289496198435E-2</v>
      </c>
      <c r="I20" s="4">
        <f t="shared" ca="1" si="58"/>
        <v>-3.9670200050593962E-2</v>
      </c>
      <c r="J20" s="4">
        <f t="shared" ca="1" si="58"/>
        <v>-0.11089013149577742</v>
      </c>
      <c r="K20" s="4">
        <f t="shared" ca="1" si="58"/>
        <v>1.4068197811979655E-2</v>
      </c>
      <c r="L20" s="4">
        <f t="shared" ca="1" si="58"/>
        <v>1.9069945040022684E-2</v>
      </c>
      <c r="M20" s="4">
        <f t="shared" ca="1" si="58"/>
        <v>5.5839854019270385E-2</v>
      </c>
      <c r="N20" s="4">
        <f t="shared" ca="1" si="58"/>
        <v>4.275099235091484E-2</v>
      </c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4">
        <f t="shared" ref="Y20:AV20" si="59">Y19/U19-1</f>
        <v>0.16608927757834691</v>
      </c>
      <c r="Z20" s="4">
        <f t="shared" si="59"/>
        <v>0.1026185071018022</v>
      </c>
      <c r="AA20" s="4">
        <f t="shared" si="59"/>
        <v>-2.1754097881689471E-2</v>
      </c>
      <c r="AB20" s="215">
        <f t="shared" si="59"/>
        <v>9.6075092800853579E-3</v>
      </c>
      <c r="AC20" s="4">
        <f t="shared" si="59"/>
        <v>-2.4525538363280974E-2</v>
      </c>
      <c r="AD20" s="4">
        <f t="shared" si="59"/>
        <v>8.4530455689064699E-3</v>
      </c>
      <c r="AE20" s="4">
        <f t="shared" si="59"/>
        <v>-4.4664332985774213E-2</v>
      </c>
      <c r="AF20" s="215">
        <f t="shared" si="59"/>
        <v>-8.8620001211549004E-2</v>
      </c>
      <c r="AG20" s="4">
        <f t="shared" si="59"/>
        <v>-9.915858061687044E-2</v>
      </c>
      <c r="AH20" s="4">
        <f t="shared" ca="1" si="59"/>
        <v>-0.20900624310465321</v>
      </c>
      <c r="AI20" s="4">
        <f t="shared" ca="1" si="59"/>
        <v>-7.6584633609636743E-2</v>
      </c>
      <c r="AJ20" s="215">
        <f t="shared" ca="1" si="59"/>
        <v>-4.3244186908692139E-2</v>
      </c>
      <c r="AK20" s="4">
        <f t="shared" si="59"/>
        <v>-5.6911801156633857E-3</v>
      </c>
      <c r="AL20" s="4">
        <f t="shared" ca="1" si="59"/>
        <v>-6.7545378816816881E-2</v>
      </c>
      <c r="AM20" s="4">
        <f t="shared" ca="1" si="59"/>
        <v>4.4716112178598832E-2</v>
      </c>
      <c r="AN20" s="215">
        <f t="shared" ca="1" si="59"/>
        <v>7.4113874500009835E-2</v>
      </c>
      <c r="AO20" s="4">
        <f t="shared" ca="1" si="59"/>
        <v>4.425853908128552E-3</v>
      </c>
      <c r="AP20" s="4">
        <f t="shared" ca="1" si="59"/>
        <v>0.15883839157550272</v>
      </c>
      <c r="AQ20" s="4">
        <f t="shared" ca="1" si="59"/>
        <v>-4.5489901735279115E-2</v>
      </c>
      <c r="AR20" s="215">
        <f t="shared" ca="1" si="59"/>
        <v>-2.8662152314525402E-2</v>
      </c>
      <c r="AS20" s="4">
        <f t="shared" ca="1" si="59"/>
        <v>6.2007670341592602E-2</v>
      </c>
      <c r="AT20" s="4">
        <f t="shared" ca="1" si="59"/>
        <v>5.5819978414241689E-2</v>
      </c>
      <c r="AU20" s="4">
        <f t="shared" ca="1" si="59"/>
        <v>5.8018641841235175E-2</v>
      </c>
      <c r="AV20" s="215">
        <f t="shared" ca="1" si="59"/>
        <v>5.0828119572684516E-2</v>
      </c>
      <c r="AW20" s="4">
        <f t="shared" ref="AW20" ca="1" si="60">AW19/AS19-1</f>
        <v>4.9156363189066798E-2</v>
      </c>
      <c r="AX20" s="4">
        <f t="shared" ref="AX20" ca="1" si="61">AX19/AT19-1</f>
        <v>4.167964104309374E-2</v>
      </c>
      <c r="AY20" s="4">
        <f t="shared" ref="AY20" ca="1" si="62">AY19/AU19-1</f>
        <v>3.9164817363166238E-2</v>
      </c>
      <c r="AZ20" s="4">
        <f t="shared" ref="AZ20" ca="1" si="63">AZ19/AV19-1</f>
        <v>4.2647542786152792E-2</v>
      </c>
      <c r="BA20" s="132">
        <f>+BA19</f>
        <v>17</v>
      </c>
      <c r="BB20" s="109">
        <v>470</v>
      </c>
      <c r="BC20" s="109">
        <f ca="1"/>
        <v>7639.92654854185</v>
      </c>
      <c r="BD20" s="154">
        <f ca="1"/>
        <v>1.43043059625762</v>
      </c>
    </row>
    <row r="21" spans="2:58" outlineLevel="2">
      <c r="B21" s="3" t="s">
        <v>348</v>
      </c>
      <c r="G21" s="10"/>
      <c r="H21" s="150">
        <f t="shared" ref="H21:K21" ca="1" si="64">+H75/H57</f>
        <v>1.4876557713811616</v>
      </c>
      <c r="I21" s="150">
        <f t="shared" ca="1" si="64"/>
        <v>1.6206607950578735</v>
      </c>
      <c r="J21" s="150">
        <f t="shared" ca="1" si="64"/>
        <v>1.5432869346490663</v>
      </c>
      <c r="K21" s="150">
        <f t="shared" ca="1" si="64"/>
        <v>1.4617997449482729</v>
      </c>
      <c r="L21" s="150">
        <f ca="1">+(L75+L81)/L57</f>
        <v>1.699064656842241</v>
      </c>
      <c r="M21" s="150">
        <f t="shared" ref="M21:N21" ca="1" si="65">+(M75+M81)/M57</f>
        <v>1.8013440200130291</v>
      </c>
      <c r="N21" s="150">
        <f t="shared" ca="1" si="65"/>
        <v>1.8817718973147912</v>
      </c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>
        <f t="shared" ref="Y21:AN21" ca="1" si="66">+(Y73-Y78)/Y57</f>
        <v>1.3771347570480328</v>
      </c>
      <c r="Z21" s="150">
        <f t="shared" si="66"/>
        <v>1.44862645138136</v>
      </c>
      <c r="AA21" s="150">
        <f t="shared" si="66"/>
        <v>1.5377049004465122</v>
      </c>
      <c r="AB21" s="250">
        <f t="shared" si="66"/>
        <v>1.5488659122046335</v>
      </c>
      <c r="AC21" s="150">
        <f t="shared" ca="1" si="66"/>
        <v>1.5257022906845583</v>
      </c>
      <c r="AD21" s="150">
        <f t="shared" si="66"/>
        <v>1.7084771392935165</v>
      </c>
      <c r="AE21" s="150">
        <f t="shared" si="66"/>
        <v>1.6715995345729537</v>
      </c>
      <c r="AF21" s="250">
        <f t="shared" si="66"/>
        <v>1.5672907914761152</v>
      </c>
      <c r="AG21" s="150">
        <f t="shared" ca="1" si="66"/>
        <v>1.4938169470603742</v>
      </c>
      <c r="AH21" s="150">
        <f t="shared" ca="1" si="66"/>
        <v>1.4626400000457394</v>
      </c>
      <c r="AI21" s="150">
        <f t="shared" ca="1" si="66"/>
        <v>1.64997439441261</v>
      </c>
      <c r="AJ21" s="250">
        <f t="shared" ca="1" si="66"/>
        <v>1.5914659410310437</v>
      </c>
      <c r="AK21" s="150">
        <f t="shared" ca="1" si="66"/>
        <v>1.5607041216648556</v>
      </c>
      <c r="AL21" s="150">
        <f t="shared" ca="1" si="66"/>
        <v>1.43043059625762</v>
      </c>
      <c r="AM21" s="150">
        <f t="shared" si="66"/>
        <v>1.7975519495337131</v>
      </c>
      <c r="AN21" s="250">
        <f t="shared" si="66"/>
        <v>1.774753312825786</v>
      </c>
      <c r="AO21" s="150">
        <f t="shared" ref="AO21:AZ21" ca="1" si="67">+AO27+AO8*$BF$14+AO57*$BE$14</f>
        <v>1.6094484871717594</v>
      </c>
      <c r="AP21" s="150">
        <f t="shared" ca="1" si="67"/>
        <v>1.6893181608378058</v>
      </c>
      <c r="AQ21" s="150">
        <f t="shared" ca="1" si="67"/>
        <v>1.7392615184849114</v>
      </c>
      <c r="AR21" s="250">
        <f t="shared" ca="1" si="67"/>
        <v>1.7394118680983137</v>
      </c>
      <c r="AS21" s="150">
        <f t="shared" ca="1" si="67"/>
        <v>1.71995078012196</v>
      </c>
      <c r="AT21" s="150">
        <f t="shared" ca="1" si="67"/>
        <v>1.7937054741054295</v>
      </c>
      <c r="AU21" s="150">
        <f t="shared" ca="1" si="67"/>
        <v>1.8468039115015433</v>
      </c>
      <c r="AV21" s="250">
        <f t="shared" ca="1" si="67"/>
        <v>1.8324811501051208</v>
      </c>
      <c r="AW21" s="150">
        <f t="shared" ca="1" si="67"/>
        <v>1.8080306738593064</v>
      </c>
      <c r="AX21" s="150">
        <f t="shared" ca="1" si="67"/>
        <v>1.8725776776606895</v>
      </c>
      <c r="AY21" s="150">
        <f t="shared" ca="1" si="67"/>
        <v>1.9225356191805734</v>
      </c>
      <c r="AZ21" s="150">
        <f t="shared" ca="1" si="67"/>
        <v>1.9136554178720573</v>
      </c>
      <c r="BA21" s="131">
        <f>+BA20</f>
        <v>17</v>
      </c>
      <c r="BB21" s="109">
        <v>486</v>
      </c>
      <c r="BC21" s="109">
        <v>6904.7492198897544</v>
      </c>
      <c r="BD21" s="154">
        <v>1.7975519495337131</v>
      </c>
    </row>
    <row r="22" spans="2:58" outlineLevel="2">
      <c r="B22" s="52" t="s">
        <v>128</v>
      </c>
      <c r="G22" s="10"/>
      <c r="H22" s="10"/>
      <c r="I22" s="4">
        <f t="shared" ref="I22:N22" ca="1" si="68">+I21/H21-1</f>
        <v>8.9405779371412031E-2</v>
      </c>
      <c r="J22" s="4">
        <f t="shared" ca="1" si="68"/>
        <v>-4.7742168283921638E-2</v>
      </c>
      <c r="K22" s="4">
        <f t="shared" ca="1" si="68"/>
        <v>-5.2801062376208741E-2</v>
      </c>
      <c r="L22" s="4">
        <f t="shared" ca="1" si="68"/>
        <v>0.16231013359655755</v>
      </c>
      <c r="M22" s="4">
        <f t="shared" ca="1" si="68"/>
        <v>6.0197452026856446E-2</v>
      </c>
      <c r="N22" s="4">
        <f t="shared" ca="1" si="68"/>
        <v>4.4648815777666107E-2</v>
      </c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4"/>
      <c r="Z22" s="4"/>
      <c r="AA22" s="4"/>
      <c r="AB22" s="215"/>
      <c r="AC22" s="4">
        <f t="shared" ref="AC22:AV22" ca="1" si="69">+AC21/Y21-1</f>
        <v>0.10788162369453858</v>
      </c>
      <c r="AD22" s="4">
        <f t="shared" si="69"/>
        <v>0.17937729058058549</v>
      </c>
      <c r="AE22" s="4">
        <f t="shared" si="69"/>
        <v>8.7074336621780768E-2</v>
      </c>
      <c r="AF22" s="215">
        <f t="shared" si="69"/>
        <v>1.1895722622790483E-2</v>
      </c>
      <c r="AG22" s="4">
        <f t="shared" ca="1" si="69"/>
        <v>-2.0898797766029209E-2</v>
      </c>
      <c r="AH22" s="4">
        <f t="shared" ca="1" si="69"/>
        <v>-0.14389255413123925</v>
      </c>
      <c r="AI22" s="4">
        <f t="shared" ca="1" si="69"/>
        <v>-1.293679479628973E-2</v>
      </c>
      <c r="AJ22" s="215">
        <f t="shared" ca="1" si="69"/>
        <v>1.5424801629925877E-2</v>
      </c>
      <c r="AK22" s="4">
        <f t="shared" ca="1" si="69"/>
        <v>4.4776018063060752E-2</v>
      </c>
      <c r="AL22" s="4">
        <f t="shared" ca="1" si="69"/>
        <v>-2.2021415924022403E-2</v>
      </c>
      <c r="AM22" s="4">
        <f t="shared" ca="1" si="69"/>
        <v>8.9442330511826373E-2</v>
      </c>
      <c r="AN22" s="215">
        <f t="shared" ca="1" si="69"/>
        <v>0.11516889370312144</v>
      </c>
      <c r="AO22" s="4">
        <f t="shared" ca="1" si="69"/>
        <v>3.1232291137224921E-2</v>
      </c>
      <c r="AP22" s="4">
        <f t="shared" ca="1" si="69"/>
        <v>0.1809857571961222</v>
      </c>
      <c r="AQ22" s="4">
        <f t="shared" ca="1" si="69"/>
        <v>-3.2427675352538432E-2</v>
      </c>
      <c r="AR22" s="215">
        <f t="shared" ca="1" si="69"/>
        <v>-1.991344062978595E-2</v>
      </c>
      <c r="AS22" s="4">
        <f t="shared" ca="1" si="69"/>
        <v>6.8658483841494977E-2</v>
      </c>
      <c r="AT22" s="4">
        <f t="shared" ca="1" si="69"/>
        <v>6.1792571516459338E-2</v>
      </c>
      <c r="AU22" s="4">
        <f t="shared" ca="1" si="69"/>
        <v>6.1832215497019227E-2</v>
      </c>
      <c r="AV22" s="215">
        <f t="shared" ca="1" si="69"/>
        <v>5.3506178561699258E-2</v>
      </c>
      <c r="AW22" s="4">
        <f t="shared" ref="AW22" ca="1" si="70">+AW21/AS21-1</f>
        <v>5.121070600119193E-2</v>
      </c>
      <c r="AX22" s="4">
        <f t="shared" ref="AX22" ca="1" si="71">+AX21/AT21-1</f>
        <v>4.3971657941555664E-2</v>
      </c>
      <c r="AY22" s="4">
        <f t="shared" ref="AY22" ca="1" si="72">+AY21/AU21-1</f>
        <v>4.1006902361093944E-2</v>
      </c>
      <c r="AZ22" s="4">
        <f t="shared" ref="AZ22" ca="1" si="73">+AZ21/AV21-1</f>
        <v>4.4297463994257047E-2</v>
      </c>
      <c r="BA22" s="130">
        <f>+BA21</f>
        <v>17</v>
      </c>
      <c r="BB22" s="109">
        <v>460</v>
      </c>
      <c r="BC22" s="109">
        <v>7529.3207261882872</v>
      </c>
      <c r="BD22" s="154">
        <v>1.774753312825786</v>
      </c>
    </row>
    <row r="23" spans="2:58" outlineLevel="2">
      <c r="B23" s="3" t="s">
        <v>346</v>
      </c>
      <c r="G23" s="10"/>
      <c r="H23" s="150">
        <f t="shared" ref="H23:M23" ca="1" si="74">+H78/H65</f>
        <v>2.3204363112285522</v>
      </c>
      <c r="I23" s="150">
        <f t="shared" ca="1" si="74"/>
        <v>2.1962693425353317</v>
      </c>
      <c r="J23" s="150">
        <f t="shared" ca="1" si="74"/>
        <v>1.8463861551640657</v>
      </c>
      <c r="K23" s="150">
        <f t="shared" ca="1" si="74"/>
        <v>1.7435290232493148</v>
      </c>
      <c r="L23" s="150">
        <f t="shared" ca="1" si="74"/>
        <v>1.7043707305904074</v>
      </c>
      <c r="M23" s="150">
        <f t="shared" ca="1" si="74"/>
        <v>1.7605033398840244</v>
      </c>
      <c r="N23" s="150">
        <f t="shared" ref="N23" ca="1" si="75">+N78/N65</f>
        <v>1.8042716603153672</v>
      </c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>
        <f t="shared" ref="Y23:AJ23" ca="1" si="76">+Y78/Y65</f>
        <v>2.2952245950800547</v>
      </c>
      <c r="Z23" s="150">
        <f t="shared" si="76"/>
        <v>2.3178023222101758</v>
      </c>
      <c r="AA23" s="150">
        <f t="shared" si="76"/>
        <v>2.3656998468407879</v>
      </c>
      <c r="AB23" s="250">
        <f t="shared" si="76"/>
        <v>2.2946161662290869</v>
      </c>
      <c r="AC23" s="150">
        <f t="shared" ca="1" si="76"/>
        <v>2.1795747009779407</v>
      </c>
      <c r="AD23" s="150">
        <f t="shared" si="76"/>
        <v>2.3565201921289884</v>
      </c>
      <c r="AE23" s="150">
        <f t="shared" si="76"/>
        <v>2.2287993794306042</v>
      </c>
      <c r="AF23" s="250">
        <f t="shared" si="76"/>
        <v>2.0223106986788579</v>
      </c>
      <c r="AG23" s="150">
        <f t="shared" ca="1" si="76"/>
        <v>1.8672711838254676</v>
      </c>
      <c r="AH23" s="150">
        <f t="shared" ca="1" si="76"/>
        <v>1.7728969697524113</v>
      </c>
      <c r="AI23" s="150">
        <f t="shared" ca="1" si="76"/>
        <v>1.9411463463677758</v>
      </c>
      <c r="AJ23" s="250">
        <f t="shared" ca="1" si="76"/>
        <v>1.8188182183211925</v>
      </c>
      <c r="AK23" s="150">
        <f t="shared" ref="AK23:AV23" ca="1" si="77">+AK21/AK25</f>
        <v>1.7341156907387281</v>
      </c>
      <c r="AL23" s="150">
        <f t="shared" ca="1" si="77"/>
        <v>1.5464114554136428</v>
      </c>
      <c r="AM23" s="150">
        <f t="shared" si="77"/>
        <v>1.8921599468775923</v>
      </c>
      <c r="AN23" s="250">
        <f t="shared" si="77"/>
        <v>1.8296425905420468</v>
      </c>
      <c r="AO23" s="150">
        <f t="shared" ca="1" si="77"/>
        <v>1.64229437466506</v>
      </c>
      <c r="AP23" s="150">
        <f t="shared" ca="1" si="77"/>
        <v>1.7063819806442477</v>
      </c>
      <c r="AQ23" s="150">
        <f t="shared" ca="1" si="77"/>
        <v>1.739261518484911</v>
      </c>
      <c r="AR23" s="250">
        <f t="shared" ca="1" si="77"/>
        <v>1.7221899684141717</v>
      </c>
      <c r="AS23" s="150">
        <f t="shared" ca="1" si="77"/>
        <v>1.6945327882974974</v>
      </c>
      <c r="AT23" s="150">
        <f t="shared" ca="1" si="77"/>
        <v>1.7585347785347347</v>
      </c>
      <c r="AU23" s="150">
        <f t="shared" ca="1" si="77"/>
        <v>1.8017599136600424</v>
      </c>
      <c r="AV23" s="250">
        <f t="shared" ca="1" si="77"/>
        <v>1.7791079127234186</v>
      </c>
      <c r="AW23" s="150">
        <f t="shared" ref="AW23:AZ23" ca="1" si="78">+AW21/AW25</f>
        <v>1.746889539960683</v>
      </c>
      <c r="AX23" s="150">
        <f t="shared" ca="1" si="78"/>
        <v>1.8005554592891253</v>
      </c>
      <c r="AY23" s="150">
        <f t="shared" ca="1" si="78"/>
        <v>1.8397470040005497</v>
      </c>
      <c r="AZ23" s="150">
        <f t="shared" ca="1" si="78"/>
        <v>1.8225289694019604</v>
      </c>
    </row>
    <row r="24" spans="2:58" outlineLevel="2">
      <c r="B24" s="52" t="s">
        <v>128</v>
      </c>
      <c r="G24" s="10"/>
      <c r="H24" s="10"/>
      <c r="I24" s="4">
        <f t="shared" ref="I24:N24" ca="1" si="79">+I23/H23-1</f>
        <v>-5.3510181724177763E-2</v>
      </c>
      <c r="J24" s="4">
        <f t="shared" ca="1" si="79"/>
        <v>-0.15930795945426601</v>
      </c>
      <c r="K24" s="4">
        <f t="shared" ca="1" si="79"/>
        <v>-5.5707269915924562E-2</v>
      </c>
      <c r="L24" s="4">
        <f t="shared" ca="1" si="79"/>
        <v>-2.2459214694304452E-2</v>
      </c>
      <c r="M24" s="4">
        <f t="shared" ca="1" si="79"/>
        <v>3.2934506727988699E-2</v>
      </c>
      <c r="N24" s="4">
        <f t="shared" ca="1" si="79"/>
        <v>2.4861253846997E-2</v>
      </c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4"/>
      <c r="Z24" s="4"/>
      <c r="AA24" s="4"/>
      <c r="AB24" s="215"/>
      <c r="AC24" s="4">
        <f t="shared" ref="AC24:AV24" ca="1" si="80">+AC23/Y23-1</f>
        <v>-5.0387179690395523E-2</v>
      </c>
      <c r="AD24" s="4">
        <f t="shared" si="80"/>
        <v>1.670456084533245E-2</v>
      </c>
      <c r="AE24" s="4">
        <f t="shared" si="80"/>
        <v>-5.7868908261123564E-2</v>
      </c>
      <c r="AF24" s="215">
        <f t="shared" si="80"/>
        <v>-0.11867146739305368</v>
      </c>
      <c r="AG24" s="4">
        <f t="shared" ca="1" si="80"/>
        <v>-0.14328644804527568</v>
      </c>
      <c r="AH24" s="4">
        <f t="shared" ca="1" si="80"/>
        <v>-0.24766315363048308</v>
      </c>
      <c r="AI24" s="4">
        <f t="shared" ca="1" si="80"/>
        <v>-0.12906187776143208</v>
      </c>
      <c r="AJ24" s="215">
        <f t="shared" ca="1" si="80"/>
        <v>-0.10062374712777999</v>
      </c>
      <c r="AK24" s="4">
        <f t="shared" ca="1" si="80"/>
        <v>-7.1310206166168455E-2</v>
      </c>
      <c r="AL24" s="4">
        <f t="shared" ca="1" si="80"/>
        <v>-0.12774883041872287</v>
      </c>
      <c r="AM24" s="4">
        <f t="shared" ca="1" si="80"/>
        <v>-2.5235809542050069E-2</v>
      </c>
      <c r="AN24" s="215">
        <f t="shared" ca="1" si="80"/>
        <v>5.951321639413365E-3</v>
      </c>
      <c r="AO24" s="4">
        <f t="shared" ca="1" si="80"/>
        <v>-5.2949936710711909E-2</v>
      </c>
      <c r="AP24" s="4">
        <f t="shared" ca="1" si="80"/>
        <v>0.10344628828930591</v>
      </c>
      <c r="AQ24" s="4">
        <f t="shared" ca="1" si="80"/>
        <v>-8.0806291584911483E-2</v>
      </c>
      <c r="AR24" s="215">
        <f t="shared" ca="1" si="80"/>
        <v>-5.8728749911774458E-2</v>
      </c>
      <c r="AS24" s="4">
        <f t="shared" ca="1" si="80"/>
        <v>3.1808191295236821E-2</v>
      </c>
      <c r="AT24" s="4">
        <f t="shared" ca="1" si="80"/>
        <v>3.0563378236563743E-2</v>
      </c>
      <c r="AU24" s="4">
        <f t="shared" ca="1" si="80"/>
        <v>3.5933868777580091E-2</v>
      </c>
      <c r="AV24" s="215">
        <f t="shared" ca="1" si="80"/>
        <v>3.3049747910016025E-2</v>
      </c>
      <c r="AW24" s="4">
        <f t="shared" ref="AW24" ca="1" si="81">+AW23/AS23-1</f>
        <v>3.0897455643681404E-2</v>
      </c>
      <c r="AX24" s="4">
        <f t="shared" ref="AX24" ca="1" si="82">+AX23/AT23-1</f>
        <v>2.3895279904218691E-2</v>
      </c>
      <c r="AY24" s="4">
        <f t="shared" ref="AY24" ca="1" si="83">+AY23/AU23-1</f>
        <v>2.108332528241319E-2</v>
      </c>
      <c r="AZ24" s="4">
        <f t="shared" ref="AZ24" ca="1" si="84">+AZ23/AV23-1</f>
        <v>2.4406083727700256E-2</v>
      </c>
      <c r="BB24" s="109"/>
      <c r="BD24" s="1" t="s">
        <v>347</v>
      </c>
      <c r="BE24" s="156">
        <f ca="1">+BE14-BE8</f>
        <v>5.3345080276819749E-6</v>
      </c>
      <c r="BF24" s="154">
        <f ca="1">+BF14-BF8</f>
        <v>3.6079096004265566E-4</v>
      </c>
    </row>
    <row r="25" spans="2:58" outlineLevel="2">
      <c r="B25" s="3" t="s">
        <v>345</v>
      </c>
      <c r="G25" s="10"/>
      <c r="H25" s="38">
        <f t="shared" ref="H25:M25" ca="1" si="85">+H21/H23</f>
        <v>0.6411103654008603</v>
      </c>
      <c r="I25" s="4">
        <f t="shared" ca="1" si="85"/>
        <v>0.7379153201615124</v>
      </c>
      <c r="J25" s="4">
        <f t="shared" ca="1" si="85"/>
        <v>0.83584191223094029</v>
      </c>
      <c r="K25" s="4">
        <f t="shared" ca="1" si="85"/>
        <v>0.83841434553466787</v>
      </c>
      <c r="L25" s="4">
        <f t="shared" ca="1" si="85"/>
        <v>0.99688678428176924</v>
      </c>
      <c r="M25" s="4">
        <f t="shared" ca="1" si="85"/>
        <v>1.0231982974435567</v>
      </c>
      <c r="N25" s="4">
        <f t="shared" ref="N25" ca="1" si="86">+N21/N23</f>
        <v>1.0429537517570262</v>
      </c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145">
        <v>0.6</v>
      </c>
      <c r="Z25" s="145">
        <f t="shared" ref="Z25:AM25" si="87">Y25+0.025</f>
        <v>0.625</v>
      </c>
      <c r="AA25" s="145">
        <f t="shared" si="87"/>
        <v>0.65</v>
      </c>
      <c r="AB25" s="251">
        <f t="shared" si="87"/>
        <v>0.67500000000000004</v>
      </c>
      <c r="AC25" s="145">
        <f t="shared" si="87"/>
        <v>0.70000000000000007</v>
      </c>
      <c r="AD25" s="145">
        <f t="shared" si="87"/>
        <v>0.72500000000000009</v>
      </c>
      <c r="AE25" s="145">
        <f t="shared" si="87"/>
        <v>0.75000000000000011</v>
      </c>
      <c r="AF25" s="251">
        <f t="shared" si="87"/>
        <v>0.77500000000000013</v>
      </c>
      <c r="AG25" s="145">
        <f t="shared" si="87"/>
        <v>0.80000000000000016</v>
      </c>
      <c r="AH25" s="145">
        <f t="shared" si="87"/>
        <v>0.82500000000000018</v>
      </c>
      <c r="AI25" s="145">
        <f t="shared" si="87"/>
        <v>0.8500000000000002</v>
      </c>
      <c r="AJ25" s="251">
        <f t="shared" si="87"/>
        <v>0.87500000000000022</v>
      </c>
      <c r="AK25" s="145">
        <f t="shared" si="87"/>
        <v>0.90000000000000024</v>
      </c>
      <c r="AL25" s="145">
        <f t="shared" si="87"/>
        <v>0.92500000000000027</v>
      </c>
      <c r="AM25" s="145">
        <f t="shared" si="87"/>
        <v>0.95000000000000029</v>
      </c>
      <c r="AN25" s="251">
        <f>AM25+0.02</f>
        <v>0.97000000000000031</v>
      </c>
      <c r="AO25" s="234">
        <f>AN25+0.01</f>
        <v>0.98000000000000032</v>
      </c>
      <c r="AP25" s="66">
        <f>AO25+0.01</f>
        <v>0.99000000000000032</v>
      </c>
      <c r="AQ25" s="66">
        <f>AP25+0.01</f>
        <v>1.0000000000000002</v>
      </c>
      <c r="AR25" s="246">
        <f>AQ25+0.01</f>
        <v>1.0100000000000002</v>
      </c>
      <c r="AS25" s="234">
        <f>AR25+0.005</f>
        <v>1.0150000000000001</v>
      </c>
      <c r="AT25" s="66">
        <f>AS25+0.005</f>
        <v>1.02</v>
      </c>
      <c r="AU25" s="66">
        <f>AT25+0.005</f>
        <v>1.0249999999999999</v>
      </c>
      <c r="AV25" s="246">
        <f>AU25+0.005</f>
        <v>1.0299999999999998</v>
      </c>
      <c r="AW25" s="234">
        <f t="shared" ref="AW25:AZ25" si="88">AV25+0.005</f>
        <v>1.0349999999999997</v>
      </c>
      <c r="AX25" s="66">
        <f t="shared" si="88"/>
        <v>1.0399999999999996</v>
      </c>
      <c r="AY25" s="66">
        <f t="shared" si="88"/>
        <v>1.0449999999999995</v>
      </c>
      <c r="AZ25" s="66">
        <f t="shared" si="88"/>
        <v>1.0499999999999994</v>
      </c>
      <c r="BA25" s="133">
        <f t="shared" ref="BA25:BD33" si="89">BA7</f>
        <v>14</v>
      </c>
      <c r="BB25" s="109">
        <f t="shared" si="89"/>
        <v>446</v>
      </c>
      <c r="BC25" s="109">
        <f t="shared" ca="1" si="89"/>
        <v>2323.8050911356868</v>
      </c>
      <c r="BD25" s="154">
        <f t="shared" ca="1" si="89"/>
        <v>1.3771347570480328</v>
      </c>
      <c r="BE25" s="154">
        <f ca="1">$BG$14+BB25*$BF$14+BC25*$BE$14</f>
        <v>1.4360452512499449</v>
      </c>
      <c r="BF25" s="154">
        <f ca="1">BE25-BD25</f>
        <v>5.8910494201912078E-2</v>
      </c>
    </row>
    <row r="26" spans="2:58" outlineLevel="2">
      <c r="B26" s="61"/>
      <c r="E26" s="10"/>
      <c r="F26" s="10"/>
      <c r="G26" s="10"/>
      <c r="H26" s="10"/>
      <c r="I26" s="10"/>
      <c r="J26" s="10"/>
      <c r="U26" s="10"/>
      <c r="V26" s="10"/>
      <c r="W26" s="10"/>
      <c r="X26" s="10"/>
      <c r="Y26" s="10"/>
      <c r="Z26" s="10"/>
      <c r="AA26" s="10"/>
      <c r="AB26" s="255"/>
      <c r="AC26" s="38"/>
      <c r="AD26" s="38"/>
      <c r="AE26" s="38"/>
      <c r="AF26" s="218"/>
      <c r="AG26" s="38"/>
      <c r="AH26" s="38"/>
      <c r="AI26" s="38"/>
      <c r="AJ26" s="218"/>
      <c r="BA26" s="132">
        <f t="shared" si="89"/>
        <v>14</v>
      </c>
      <c r="BB26" s="109">
        <f t="shared" si="89"/>
        <v>488</v>
      </c>
      <c r="BC26" s="109">
        <f t="shared" si="89"/>
        <v>2249.553238920786</v>
      </c>
      <c r="BD26" s="154">
        <f t="shared" si="89"/>
        <v>1.44862645138136</v>
      </c>
      <c r="BE26" s="154">
        <f t="shared" ref="BE26:BE36" ca="1" si="90">$BG$14+BB26*$BF$14+BC26*$BE$14</f>
        <v>1.4599568266269969</v>
      </c>
      <c r="BF26" s="154">
        <f t="shared" ref="BF26:BF36" ca="1" si="91">BE26-BD26</f>
        <v>1.1330375245636848E-2</v>
      </c>
    </row>
    <row r="27" spans="2:58" outlineLevel="2">
      <c r="B27" s="11" t="s">
        <v>344</v>
      </c>
      <c r="E27" s="10"/>
      <c r="F27" s="10"/>
      <c r="G27" s="10"/>
      <c r="H27" s="10"/>
      <c r="I27" s="10"/>
      <c r="J27" s="10"/>
      <c r="U27" s="10"/>
      <c r="V27" s="10"/>
      <c r="W27" s="10"/>
      <c r="X27" s="10"/>
      <c r="Y27" s="109">
        <f t="shared" ref="Y27:AG27" ca="1" si="92">+$BG8</f>
        <v>1.2714662048100012</v>
      </c>
      <c r="Z27" s="109">
        <f t="shared" ca="1" si="92"/>
        <v>1.2714662048100012</v>
      </c>
      <c r="AA27" s="109">
        <f t="shared" ca="1" si="92"/>
        <v>1.2714662048100012</v>
      </c>
      <c r="AB27" s="249">
        <f t="shared" ca="1" si="92"/>
        <v>1.2714662048100012</v>
      </c>
      <c r="AC27" s="109">
        <f t="shared" ca="1" si="92"/>
        <v>1.2714662048100012</v>
      </c>
      <c r="AD27" s="109">
        <f t="shared" ca="1" si="92"/>
        <v>1.2714662048100012</v>
      </c>
      <c r="AE27" s="109">
        <f t="shared" ca="1" si="92"/>
        <v>1.2714662048100012</v>
      </c>
      <c r="AF27" s="249">
        <f t="shared" ca="1" si="92"/>
        <v>1.2714662048100012</v>
      </c>
      <c r="AG27" s="109">
        <f t="shared" ca="1" si="92"/>
        <v>1.2714662048100012</v>
      </c>
      <c r="AH27" s="155" t="s">
        <v>343</v>
      </c>
      <c r="AI27" s="109">
        <f ca="1">+$BG14</f>
        <v>1.0662418903058344</v>
      </c>
      <c r="AJ27" s="249">
        <f ca="1">+$BG14</f>
        <v>1.0662418903058344</v>
      </c>
      <c r="AK27" s="109">
        <f ca="1">+$BG14</f>
        <v>1.0662418903058344</v>
      </c>
      <c r="AL27" s="109">
        <f ca="1">+$BG14</f>
        <v>1.0662418903058344</v>
      </c>
      <c r="AM27" s="109">
        <f ca="1">+$BG14</f>
        <v>1.0662418903058344</v>
      </c>
      <c r="AN27" s="249">
        <f t="shared" ref="AN27:AZ27" ca="1" si="93">+$BG14*(1+AN28)</f>
        <v>1.0662418903058344</v>
      </c>
      <c r="AO27" s="109">
        <f t="shared" ca="1" si="93"/>
        <v>1.0662418903058344</v>
      </c>
      <c r="AP27" s="109">
        <f t="shared" ca="1" si="93"/>
        <v>1.0662418903058344</v>
      </c>
      <c r="AQ27" s="109">
        <f t="shared" ca="1" si="93"/>
        <v>1.0662418903058344</v>
      </c>
      <c r="AR27" s="249">
        <f t="shared" ca="1" si="93"/>
        <v>1.0662418903058344</v>
      </c>
      <c r="AS27" s="109">
        <f t="shared" ca="1" si="93"/>
        <v>1.0928979375634802</v>
      </c>
      <c r="AT27" s="109">
        <f t="shared" ca="1" si="93"/>
        <v>1.0928979375634802</v>
      </c>
      <c r="AU27" s="109">
        <f t="shared" ca="1" si="93"/>
        <v>1.0928979375634802</v>
      </c>
      <c r="AV27" s="249">
        <f t="shared" ca="1" si="93"/>
        <v>1.0928979375634802</v>
      </c>
      <c r="AW27" s="109">
        <f t="shared" ca="1" si="93"/>
        <v>1.1035603564665386</v>
      </c>
      <c r="AX27" s="109">
        <f t="shared" ca="1" si="93"/>
        <v>1.1035603564665386</v>
      </c>
      <c r="AY27" s="109">
        <f t="shared" ca="1" si="93"/>
        <v>1.1035603564665386</v>
      </c>
      <c r="AZ27" s="109">
        <f t="shared" ca="1" si="93"/>
        <v>1.1035603564665386</v>
      </c>
      <c r="BA27" s="131">
        <f t="shared" si="89"/>
        <v>14</v>
      </c>
      <c r="BB27" s="109">
        <f t="shared" si="89"/>
        <v>516</v>
      </c>
      <c r="BC27" s="109">
        <f t="shared" si="89"/>
        <v>2879.4702072595455</v>
      </c>
      <c r="BD27" s="154">
        <f t="shared" si="89"/>
        <v>1.5377049004465122</v>
      </c>
      <c r="BE27" s="154">
        <f t="shared" ca="1" si="90"/>
        <v>1.5011958217319834</v>
      </c>
      <c r="BF27" s="154">
        <f t="shared" ca="1" si="91"/>
        <v>-3.6509078714528798E-2</v>
      </c>
    </row>
    <row r="28" spans="2:58" outlineLevel="2">
      <c r="B28" s="3" t="s">
        <v>342</v>
      </c>
      <c r="E28" s="10"/>
      <c r="F28" s="10"/>
      <c r="G28" s="10"/>
      <c r="H28" s="10"/>
      <c r="I28" s="10"/>
      <c r="J28" s="10"/>
      <c r="U28" s="10"/>
      <c r="V28" s="10"/>
      <c r="W28" s="10"/>
      <c r="X28" s="10"/>
      <c r="Y28" s="109"/>
      <c r="Z28" s="109"/>
      <c r="AA28" s="109"/>
      <c r="AB28" s="249"/>
      <c r="AC28" s="109"/>
      <c r="AD28" s="109"/>
      <c r="AE28" s="109"/>
      <c r="AF28" s="249"/>
      <c r="AG28" s="109"/>
      <c r="AH28" s="155"/>
      <c r="AI28" s="109"/>
      <c r="AJ28" s="249"/>
      <c r="AK28" s="109"/>
      <c r="AL28" s="109"/>
      <c r="AM28" s="109"/>
      <c r="AN28" s="249"/>
      <c r="AO28" s="234">
        <f>CHOOSE(Case,Scenario!AN20,Scenario!AN8,Scenario!AN32)</f>
        <v>0</v>
      </c>
      <c r="AP28" s="66">
        <f>CHOOSE(Case,Scenario!AO20,Scenario!AO8,Scenario!AO32)</f>
        <v>0</v>
      </c>
      <c r="AQ28" s="66">
        <f>CHOOSE(Case,Scenario!AP20,Scenario!AP8,Scenario!AP32)</f>
        <v>0</v>
      </c>
      <c r="AR28" s="246">
        <f>CHOOSE(Case,Scenario!AQ20,Scenario!AQ8,Scenario!AQ32)</f>
        <v>0</v>
      </c>
      <c r="AS28" s="234">
        <f>CHOOSE(Case,Scenario!AR20,Scenario!AR8,Scenario!AR32)</f>
        <v>2.5000000000000001E-2</v>
      </c>
      <c r="AT28" s="66">
        <f>CHOOSE(Case,Scenario!AS20,Scenario!AS8,Scenario!AS32)</f>
        <v>2.5000000000000001E-2</v>
      </c>
      <c r="AU28" s="66">
        <f>CHOOSE(Case,Scenario!AT20,Scenario!AT8,Scenario!AT32)</f>
        <v>2.5000000000000001E-2</v>
      </c>
      <c r="AV28" s="246">
        <f>CHOOSE(Case,Scenario!AU20,Scenario!AU8,Scenario!AU32)</f>
        <v>2.5000000000000001E-2</v>
      </c>
      <c r="AW28" s="234">
        <f>CHOOSE(Case,Scenario!AV20,Scenario!AV8,Scenario!AV32)</f>
        <v>3.5000000000000003E-2</v>
      </c>
      <c r="AX28" s="66">
        <f>CHOOSE(Case,Scenario!AW20,Scenario!AW8,Scenario!AW32)</f>
        <v>3.5000000000000003E-2</v>
      </c>
      <c r="AY28" s="66">
        <f>CHOOSE(Case,Scenario!AX20,Scenario!AX8,Scenario!AX32)</f>
        <v>3.5000000000000003E-2</v>
      </c>
      <c r="AZ28" s="66">
        <f>CHOOSE(Case,Scenario!AY20,Scenario!AY8,Scenario!AY32)</f>
        <v>3.5000000000000003E-2</v>
      </c>
      <c r="BA28" s="130">
        <f t="shared" si="89"/>
        <v>14</v>
      </c>
      <c r="BB28" s="109">
        <f t="shared" si="89"/>
        <v>523</v>
      </c>
      <c r="BC28" s="109">
        <f t="shared" si="89"/>
        <v>3275.8110055414099</v>
      </c>
      <c r="BD28" s="154">
        <f t="shared" si="89"/>
        <v>1.5488659122046335</v>
      </c>
      <c r="BE28" s="154">
        <f t="shared" ca="1" si="90"/>
        <v>1.5203995130730912</v>
      </c>
      <c r="BF28" s="154">
        <f t="shared" ca="1" si="91"/>
        <v>-2.8466399131542364E-2</v>
      </c>
    </row>
    <row r="29" spans="2:58" outlineLevel="2">
      <c r="B29" s="11"/>
      <c r="E29" s="10"/>
      <c r="F29" s="10"/>
      <c r="G29" s="10"/>
      <c r="H29" s="10"/>
      <c r="I29" s="10"/>
      <c r="J29" s="10"/>
      <c r="U29" s="10"/>
      <c r="V29" s="10"/>
      <c r="W29" s="10"/>
      <c r="X29" s="10"/>
      <c r="Y29" s="10"/>
      <c r="Z29" s="10"/>
      <c r="AA29" s="10"/>
      <c r="AB29" s="255"/>
      <c r="AC29" s="38"/>
      <c r="AD29" s="38"/>
      <c r="AE29" s="38"/>
      <c r="AF29" s="218"/>
      <c r="AG29" s="38"/>
      <c r="AH29" s="38"/>
      <c r="AI29" s="38"/>
      <c r="AJ29" s="218"/>
      <c r="AK29" s="38"/>
      <c r="AL29" s="38"/>
      <c r="AM29" s="38"/>
      <c r="AN29" s="218"/>
      <c r="AO29" s="38"/>
      <c r="AP29" s="38"/>
      <c r="AQ29" s="38"/>
      <c r="AR29" s="218"/>
      <c r="AS29" s="38"/>
      <c r="AT29" s="38"/>
      <c r="AU29" s="38"/>
      <c r="AV29" s="218"/>
      <c r="AW29" s="38"/>
      <c r="AX29" s="38"/>
      <c r="AY29" s="38"/>
      <c r="AZ29" s="38"/>
      <c r="BA29" s="133">
        <f t="shared" si="89"/>
        <v>15</v>
      </c>
      <c r="BB29" s="109">
        <f t="shared" si="89"/>
        <v>524</v>
      </c>
      <c r="BC29" s="109">
        <f t="shared" ca="1" si="89"/>
        <v>3693.2343806957188</v>
      </c>
      <c r="BD29" s="154">
        <f t="shared" ca="1" si="89"/>
        <v>1.5257022906845583</v>
      </c>
      <c r="BE29" s="154">
        <f t="shared" ca="1" si="90"/>
        <v>1.5365773050484075</v>
      </c>
      <c r="BF29" s="154">
        <f t="shared" ca="1" si="91"/>
        <v>1.0875014363849189E-2</v>
      </c>
    </row>
    <row r="30" spans="2:58" outlineLevel="2">
      <c r="B30" s="8" t="s">
        <v>341</v>
      </c>
      <c r="G30" s="10"/>
      <c r="H30" s="10"/>
      <c r="I30" s="10"/>
      <c r="Y30" s="149"/>
      <c r="Z30" s="149"/>
      <c r="AA30" s="149"/>
      <c r="AB30" s="258"/>
      <c r="AC30" s="149"/>
      <c r="AD30" s="149"/>
      <c r="AE30" s="149"/>
      <c r="AF30" s="258"/>
      <c r="AG30" s="149"/>
      <c r="AH30" s="149"/>
      <c r="AI30" s="149"/>
      <c r="AJ30" s="258"/>
      <c r="BA30" s="132">
        <f t="shared" si="89"/>
        <v>15</v>
      </c>
      <c r="BB30" s="109">
        <f t="shared" si="89"/>
        <v>590</v>
      </c>
      <c r="BC30" s="109">
        <f t="shared" si="89"/>
        <v>4295.8859678521103</v>
      </c>
      <c r="BD30" s="154">
        <f t="shared" si="89"/>
        <v>1.7084771392935165</v>
      </c>
      <c r="BE30" s="154">
        <f t="shared" ca="1" si="90"/>
        <v>1.6009368013988834</v>
      </c>
      <c r="BF30" s="154">
        <f t="shared" ca="1" si="91"/>
        <v>-0.10754033789463313</v>
      </c>
    </row>
    <row r="31" spans="2:58" outlineLevel="2">
      <c r="B31" s="1" t="s">
        <v>340</v>
      </c>
      <c r="C31" s="1" t="s">
        <v>2</v>
      </c>
      <c r="D31" s="1" t="s">
        <v>319</v>
      </c>
      <c r="H31" s="151">
        <f>+I31/1.21</f>
        <v>542.97520661157023</v>
      </c>
      <c r="I31" s="151">
        <v>657</v>
      </c>
      <c r="J31" s="151">
        <v>665</v>
      </c>
      <c r="K31" s="109"/>
      <c r="L31" s="109"/>
      <c r="M31" s="109"/>
      <c r="N31" s="109"/>
      <c r="O31" s="2"/>
      <c r="P31" s="2"/>
      <c r="Q31" s="2"/>
      <c r="R31" s="2"/>
      <c r="S31" s="2"/>
      <c r="T31" s="2"/>
      <c r="U31" s="2"/>
      <c r="V31" s="2"/>
      <c r="W31" s="2"/>
      <c r="X31" s="2"/>
      <c r="Y31" s="109">
        <f>AC31/(1+AC32)</f>
        <v>507.25806451612902</v>
      </c>
      <c r="Z31" s="109">
        <f>AD31/(1+AD32)</f>
        <v>510.3174603174603</v>
      </c>
      <c r="AA31" s="109">
        <f>AE31/(1+AE32)</f>
        <v>531.40495867768595</v>
      </c>
      <c r="AB31" s="249">
        <f>AF31/(1+AF32)</f>
        <v>602.75229357798162</v>
      </c>
      <c r="AC31" s="120">
        <v>629</v>
      </c>
      <c r="AD31" s="120">
        <v>643</v>
      </c>
      <c r="AE31" s="120">
        <v>643</v>
      </c>
      <c r="AF31" s="248">
        <v>657</v>
      </c>
      <c r="AG31" s="120">
        <v>663</v>
      </c>
      <c r="AH31" s="120">
        <v>667</v>
      </c>
      <c r="AI31" s="120">
        <v>660</v>
      </c>
      <c r="AJ31" s="248">
        <v>665</v>
      </c>
      <c r="AK31" s="109"/>
      <c r="AL31" s="109"/>
      <c r="AM31" s="109"/>
      <c r="AN31" s="249"/>
      <c r="AO31" s="109"/>
      <c r="AP31" s="109"/>
      <c r="AQ31" s="109"/>
      <c r="AR31" s="249"/>
      <c r="AS31" s="109"/>
      <c r="AT31" s="109"/>
      <c r="AU31" s="109"/>
      <c r="AV31" s="249"/>
      <c r="AW31" s="109"/>
      <c r="AX31" s="109"/>
      <c r="AY31" s="109"/>
      <c r="AZ31" s="109"/>
      <c r="BA31" s="131">
        <f t="shared" si="89"/>
        <v>15</v>
      </c>
      <c r="BB31" s="109">
        <f t="shared" si="89"/>
        <v>623</v>
      </c>
      <c r="BC31" s="109">
        <f t="shared" si="89"/>
        <v>5016.6642064685602</v>
      </c>
      <c r="BD31" s="154">
        <f t="shared" si="89"/>
        <v>1.6715995345729537</v>
      </c>
      <c r="BE31" s="154">
        <f t="shared" ca="1" si="90"/>
        <v>1.6487347428667301</v>
      </c>
      <c r="BF31" s="154">
        <f t="shared" ca="1" si="91"/>
        <v>-2.2864791706223686E-2</v>
      </c>
    </row>
    <row r="32" spans="2:58" outlineLevel="2">
      <c r="B32" s="3" t="s">
        <v>270</v>
      </c>
      <c r="G32" s="10"/>
      <c r="H32" s="10"/>
      <c r="I32" s="4">
        <f>+I31/H31-1</f>
        <v>0.20999999999999996</v>
      </c>
      <c r="J32" s="4">
        <f>+J31/I31-1</f>
        <v>1.2176560121765601E-2</v>
      </c>
      <c r="K32" s="4"/>
      <c r="L32" s="4"/>
      <c r="M32" s="4"/>
      <c r="N32" s="4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241"/>
      <c r="AC32" s="145">
        <v>0.24</v>
      </c>
      <c r="AD32" s="145">
        <v>0.26</v>
      </c>
      <c r="AE32" s="145">
        <v>0.21</v>
      </c>
      <c r="AF32" s="251">
        <v>0.09</v>
      </c>
      <c r="AG32" s="4">
        <f>+AG31/AC31-1</f>
        <v>5.4054054054053946E-2</v>
      </c>
      <c r="AH32" s="4">
        <f>+AH31/AD31-1</f>
        <v>3.7325038880248851E-2</v>
      </c>
      <c r="AI32" s="4">
        <f>+AI31/AE31-1</f>
        <v>2.6438569206842955E-2</v>
      </c>
      <c r="AJ32" s="215">
        <f>+AJ31/AF31-1</f>
        <v>1.2176560121765601E-2</v>
      </c>
      <c r="AK32" s="4"/>
      <c r="AL32" s="4"/>
      <c r="AM32" s="4"/>
      <c r="AN32" s="215"/>
      <c r="AO32" s="4"/>
      <c r="AP32" s="4"/>
      <c r="AQ32" s="4"/>
      <c r="AR32" s="215"/>
      <c r="AS32" s="4"/>
      <c r="AT32" s="4"/>
      <c r="AU32" s="4"/>
      <c r="AV32" s="215"/>
      <c r="AW32" s="4"/>
      <c r="AX32" s="4"/>
      <c r="AY32" s="4"/>
      <c r="AZ32" s="4"/>
      <c r="BA32" s="130">
        <f t="shared" si="89"/>
        <v>15</v>
      </c>
      <c r="BB32" s="109">
        <f t="shared" si="89"/>
        <v>555</v>
      </c>
      <c r="BC32" s="109">
        <f t="shared" si="89"/>
        <v>5285.5072170792173</v>
      </c>
      <c r="BD32" s="154">
        <f t="shared" si="89"/>
        <v>1.5672907914761152</v>
      </c>
      <c r="BE32" s="154">
        <f t="shared" ca="1" si="90"/>
        <v>1.6155548006072797</v>
      </c>
      <c r="BF32" s="154">
        <f t="shared" ca="1" si="91"/>
        <v>4.8264009131164576E-2</v>
      </c>
    </row>
    <row r="33" spans="2:58" outlineLevel="2">
      <c r="B33" s="1" t="s">
        <v>339</v>
      </c>
      <c r="C33" s="1" t="s">
        <v>2</v>
      </c>
      <c r="D33" s="1" t="s">
        <v>319</v>
      </c>
      <c r="G33" s="10"/>
      <c r="H33" s="10"/>
      <c r="I33" s="151">
        <v>53</v>
      </c>
      <c r="J33" s="151">
        <f>+AJ33</f>
        <v>100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21"/>
      <c r="AC33" s="2"/>
      <c r="AD33" s="80">
        <v>34.632034632034632</v>
      </c>
      <c r="AE33" s="80">
        <v>45</v>
      </c>
      <c r="AF33" s="239">
        <v>53</v>
      </c>
      <c r="AG33" s="80">
        <v>65</v>
      </c>
      <c r="AH33" s="80">
        <v>80</v>
      </c>
      <c r="AI33" s="80">
        <v>90</v>
      </c>
      <c r="AJ33" s="239">
        <v>100</v>
      </c>
      <c r="BA33" s="133">
        <f t="shared" si="89"/>
        <v>16</v>
      </c>
      <c r="BB33" s="109">
        <f t="shared" si="89"/>
        <v>587</v>
      </c>
      <c r="BC33" s="109">
        <f t="shared" ca="1" si="89"/>
        <v>5464.2668039379951</v>
      </c>
      <c r="BD33" s="154">
        <f t="shared" ca="1" si="89"/>
        <v>1.4938169470603742</v>
      </c>
      <c r="BE33" s="154">
        <f t="shared" ca="1" si="90"/>
        <v>1.6425356801745632</v>
      </c>
      <c r="BF33" s="154">
        <f t="shared" ca="1" si="91"/>
        <v>0.14871873311418904</v>
      </c>
    </row>
    <row r="34" spans="2:58" outlineLevel="2">
      <c r="B34" s="1" t="s">
        <v>338</v>
      </c>
      <c r="C34" s="1" t="s">
        <v>2</v>
      </c>
      <c r="D34" s="1" t="s">
        <v>337</v>
      </c>
      <c r="G34" s="10"/>
      <c r="H34" s="1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21"/>
      <c r="AC34" s="2"/>
      <c r="AD34" s="80"/>
      <c r="AE34" s="80"/>
      <c r="AF34" s="239"/>
      <c r="AG34" s="80"/>
      <c r="AH34" s="80"/>
      <c r="AI34" s="80"/>
      <c r="AJ34" s="239"/>
      <c r="AK34" s="80">
        <v>83</v>
      </c>
      <c r="AL34" s="80">
        <v>100</v>
      </c>
      <c r="BA34" s="132">
        <f t="shared" ref="BA34:BD36" si="94">BA20</f>
        <v>17</v>
      </c>
      <c r="BB34" s="109">
        <f t="shared" si="94"/>
        <v>470</v>
      </c>
      <c r="BC34" s="109">
        <f t="shared" ca="1" si="94"/>
        <v>7639.92654854185</v>
      </c>
      <c r="BD34" s="154">
        <f t="shared" ca="1" si="94"/>
        <v>1.43043059625762</v>
      </c>
      <c r="BE34" s="154">
        <f t="shared" ca="1" si="90"/>
        <v>1.6492331445117996</v>
      </c>
      <c r="BF34" s="154">
        <f t="shared" ca="1" si="91"/>
        <v>0.21880254825417955</v>
      </c>
    </row>
    <row r="35" spans="2:58" outlineLevel="2">
      <c r="B35" s="3" t="s">
        <v>336</v>
      </c>
      <c r="G35" s="10"/>
      <c r="H35" s="1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21"/>
      <c r="AC35" s="2"/>
      <c r="AD35" s="80"/>
      <c r="AE35" s="80"/>
      <c r="AF35" s="239"/>
      <c r="AG35" s="80"/>
      <c r="AH35" s="80"/>
      <c r="AI35" s="80"/>
      <c r="AJ35" s="239"/>
      <c r="AK35" s="4">
        <f>AK34/AK38</f>
        <v>0.73478635909552337</v>
      </c>
      <c r="AL35" s="4">
        <f>AL34/AL38</f>
        <v>0.84697523404890129</v>
      </c>
      <c r="BA35" s="131">
        <f t="shared" si="94"/>
        <v>17</v>
      </c>
      <c r="BB35" s="109">
        <f t="shared" si="94"/>
        <v>486</v>
      </c>
      <c r="BC35" s="109">
        <f t="shared" si="94"/>
        <v>6904.7492198897544</v>
      </c>
      <c r="BD35" s="154">
        <f t="shared" si="94"/>
        <v>1.7975519495337131</v>
      </c>
      <c r="BE35" s="154">
        <f t="shared" ca="1" si="90"/>
        <v>1.6320214327981686</v>
      </c>
      <c r="BF35" s="154">
        <f t="shared" ca="1" si="91"/>
        <v>-0.16553051673554453</v>
      </c>
    </row>
    <row r="36" spans="2:58" outlineLevel="2">
      <c r="B36" s="1" t="s">
        <v>335</v>
      </c>
      <c r="C36" s="1" t="s">
        <v>2</v>
      </c>
      <c r="G36" s="10"/>
      <c r="H36" s="10"/>
      <c r="I36" s="2">
        <f t="shared" ref="I36:N36" ca="1" si="95">AVERAGE(OFFSET($P36,0,I$1,1,4))</f>
        <v>270.77918249999999</v>
      </c>
      <c r="J36" s="2">
        <f t="shared" ca="1" si="95"/>
        <v>334.63630833333337</v>
      </c>
      <c r="K36" s="2">
        <f t="shared" ca="1" si="95"/>
        <v>410.48810666666662</v>
      </c>
      <c r="L36" s="2">
        <f t="shared" ca="1" si="95"/>
        <v>456.43480940416663</v>
      </c>
      <c r="M36" s="2">
        <f t="shared" ca="1" si="95"/>
        <v>484.94456876189582</v>
      </c>
      <c r="N36" s="2">
        <f t="shared" ca="1" si="95"/>
        <v>507.37204026963946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21"/>
      <c r="AC36" s="2">
        <v>248.96569999999997</v>
      </c>
      <c r="AD36" s="2">
        <v>275.71702999999997</v>
      </c>
      <c r="AE36" s="2">
        <v>288.15137333333331</v>
      </c>
      <c r="AF36" s="221">
        <v>270.28262666666666</v>
      </c>
      <c r="AG36" s="2">
        <v>278.28791666666666</v>
      </c>
      <c r="AH36" s="2">
        <v>327.32363666666669</v>
      </c>
      <c r="AI36" s="2">
        <v>357.45512666666667</v>
      </c>
      <c r="AJ36" s="221">
        <v>375.47855333333337</v>
      </c>
      <c r="AK36" s="2">
        <v>391.03090999999995</v>
      </c>
      <c r="AL36" s="2">
        <v>405.71789333333328</v>
      </c>
      <c r="AM36" s="2">
        <v>417.21354666666667</v>
      </c>
      <c r="AN36" s="221">
        <v>427.99007666666665</v>
      </c>
      <c r="AO36" s="2">
        <v>452.31096333333335</v>
      </c>
      <c r="AP36" s="2">
        <f t="shared" ref="AP36:AV36" si="96">AL36*(1+AP37)</f>
        <v>454.40404053333333</v>
      </c>
      <c r="AQ36" s="2">
        <f t="shared" si="96"/>
        <v>458.93490133333336</v>
      </c>
      <c r="AR36" s="221">
        <f t="shared" si="96"/>
        <v>460.08933241666665</v>
      </c>
      <c r="AS36" s="2">
        <f t="shared" si="96"/>
        <v>483.9727307666667</v>
      </c>
      <c r="AT36" s="2">
        <f t="shared" si="96"/>
        <v>483.94030316799996</v>
      </c>
      <c r="AU36" s="2">
        <f t="shared" si="96"/>
        <v>486.47099541333336</v>
      </c>
      <c r="AV36" s="221">
        <f t="shared" si="96"/>
        <v>485.39424569958328</v>
      </c>
      <c r="AW36" s="2">
        <f t="shared" ref="AW36" si="97">AS36*(1+AW37)</f>
        <v>508.17136730500005</v>
      </c>
      <c r="AX36" s="2">
        <f t="shared" ref="AX36" si="98">AT36*(1+AX37)</f>
        <v>505.71761681055995</v>
      </c>
      <c r="AY36" s="2">
        <f t="shared" ref="AY36" si="99">AU36*(1+AY37)</f>
        <v>508.36219020693335</v>
      </c>
      <c r="AZ36" s="2">
        <f t="shared" ref="AZ36" si="100">AV36*(1+AZ37)</f>
        <v>507.23698675606448</v>
      </c>
      <c r="BA36" s="130">
        <f>+BA35</f>
        <v>17</v>
      </c>
      <c r="BB36" s="109">
        <f t="shared" si="94"/>
        <v>460</v>
      </c>
      <c r="BC36" s="109">
        <f t="shared" si="94"/>
        <v>7529.3207261882872</v>
      </c>
      <c r="BD36" s="154">
        <f t="shared" si="94"/>
        <v>1.774753312825786</v>
      </c>
      <c r="BE36" s="154">
        <f t="shared" ca="1" si="90"/>
        <v>1.6387632626973296</v>
      </c>
      <c r="BF36" s="154">
        <f t="shared" ca="1" si="91"/>
        <v>-0.13599005012845633</v>
      </c>
    </row>
    <row r="37" spans="2:58" outlineLevel="2">
      <c r="B37" s="3" t="s">
        <v>270</v>
      </c>
      <c r="G37" s="10"/>
      <c r="H37" s="10"/>
      <c r="I37" s="2"/>
      <c r="J37" s="4">
        <f ca="1">J36/I36-1</f>
        <v>0.23582730859796941</v>
      </c>
      <c r="K37" s="4">
        <f t="shared" ref="K37" ca="1" si="101">K36/J36-1</f>
        <v>0.22666936146623029</v>
      </c>
      <c r="L37" s="4">
        <f t="shared" ref="L37" ca="1" si="102">L36/K36-1</f>
        <v>0.11193187327790377</v>
      </c>
      <c r="M37" s="4">
        <f t="shared" ref="M37:N37" ca="1" si="103">M36/L36-1</f>
        <v>6.2461842897008735E-2</v>
      </c>
      <c r="N37" s="4">
        <f t="shared" ca="1" si="103"/>
        <v>4.6247494976596748E-2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21"/>
      <c r="AC37" s="2"/>
      <c r="AD37" s="2"/>
      <c r="AE37" s="2"/>
      <c r="AF37" s="221"/>
      <c r="AG37" s="4">
        <f t="shared" ref="AG37:AO37" si="104">AG36/AC36-1</f>
        <v>0.11777613007200061</v>
      </c>
      <c r="AH37" s="4">
        <f t="shared" si="104"/>
        <v>0.18717235807547583</v>
      </c>
      <c r="AI37" s="4">
        <f t="shared" si="104"/>
        <v>0.24051161905504026</v>
      </c>
      <c r="AJ37" s="215">
        <f t="shared" si="104"/>
        <v>0.38920713463541423</v>
      </c>
      <c r="AK37" s="4">
        <f t="shared" si="104"/>
        <v>0.40513075337143323</v>
      </c>
      <c r="AL37" s="4">
        <f t="shared" si="104"/>
        <v>0.23950075058740761</v>
      </c>
      <c r="AM37" s="4">
        <f t="shared" si="104"/>
        <v>0.16717740365695133</v>
      </c>
      <c r="AN37" s="215">
        <f t="shared" si="104"/>
        <v>0.13985225751819663</v>
      </c>
      <c r="AO37" s="4">
        <f t="shared" si="104"/>
        <v>0.15671409028338301</v>
      </c>
      <c r="AP37" s="66">
        <v>0.12</v>
      </c>
      <c r="AQ37" s="66">
        <v>0.1</v>
      </c>
      <c r="AR37" s="246">
        <v>7.4999999999999997E-2</v>
      </c>
      <c r="AS37" s="234">
        <f>AR37-0.005</f>
        <v>6.9999999999999993E-2</v>
      </c>
      <c r="AT37" s="66">
        <f t="shared" ref="AT37:AV37" si="105">AS37-0.005</f>
        <v>6.4999999999999988E-2</v>
      </c>
      <c r="AU37" s="66">
        <f t="shared" si="105"/>
        <v>5.9999999999999991E-2</v>
      </c>
      <c r="AV37" s="246">
        <f t="shared" si="105"/>
        <v>5.4999999999999993E-2</v>
      </c>
      <c r="AW37" s="234">
        <f t="shared" ref="AW37" si="106">AV37-0.005</f>
        <v>4.9999999999999996E-2</v>
      </c>
      <c r="AX37" s="66">
        <v>4.4999999999999998E-2</v>
      </c>
      <c r="AY37" s="66">
        <v>4.4999999999999998E-2</v>
      </c>
      <c r="AZ37" s="66">
        <v>4.4999999999999998E-2</v>
      </c>
    </row>
    <row r="38" spans="2:58" outlineLevel="2">
      <c r="B38" s="1" t="s">
        <v>334</v>
      </c>
      <c r="C38" s="1" t="s">
        <v>2</v>
      </c>
      <c r="G38" s="10"/>
      <c r="H38" s="10"/>
      <c r="I38" s="2">
        <f t="shared" ref="I38:N38" ca="1" si="107">AVERAGE(OFFSET($P38,0,I$1,1,4))</f>
        <v>78.186101666666659</v>
      </c>
      <c r="J38" s="2">
        <f t="shared" ca="1" si="107"/>
        <v>98.798546666666667</v>
      </c>
      <c r="K38" s="2">
        <f t="shared" ca="1" si="107"/>
        <v>118.55056916666668</v>
      </c>
      <c r="L38" s="2">
        <f t="shared" ca="1" si="107"/>
        <v>133.01897921463623</v>
      </c>
      <c r="M38" s="2">
        <f t="shared" ca="1" si="107"/>
        <v>144.17118352800782</v>
      </c>
      <c r="N38" s="2">
        <f t="shared" ca="1" si="107"/>
        <v>152.91991516262809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21"/>
      <c r="AC38" s="2">
        <v>71.764413333333337</v>
      </c>
      <c r="AD38" s="2">
        <v>81.010153333333335</v>
      </c>
      <c r="AE38" s="2">
        <v>82.917719999999989</v>
      </c>
      <c r="AF38" s="221">
        <v>77.052120000000002</v>
      </c>
      <c r="AG38" s="2">
        <v>79.375556666666668</v>
      </c>
      <c r="AH38" s="2">
        <v>99.270943333333321</v>
      </c>
      <c r="AI38" s="2">
        <v>106.59461333333333</v>
      </c>
      <c r="AJ38" s="221">
        <v>109.95307333333334</v>
      </c>
      <c r="AK38" s="2">
        <v>112.95800333333334</v>
      </c>
      <c r="AL38" s="2">
        <v>118.06720666666666</v>
      </c>
      <c r="AM38" s="2">
        <v>121.13553999999999</v>
      </c>
      <c r="AN38" s="221">
        <v>122.04152666666668</v>
      </c>
      <c r="AO38" s="2">
        <v>130.82766666666666</v>
      </c>
      <c r="AP38" s="2">
        <f t="shared" ref="AP38:AV38" si="108">AP40*AP36</f>
        <v>132.09023944127955</v>
      </c>
      <c r="AQ38" s="2">
        <f t="shared" si="108"/>
        <v>134.07434722323131</v>
      </c>
      <c r="AR38" s="221">
        <f t="shared" si="108"/>
        <v>135.08366352736735</v>
      </c>
      <c r="AS38" s="2">
        <f t="shared" si="108"/>
        <v>142.80638332079261</v>
      </c>
      <c r="AT38" s="2">
        <f t="shared" si="108"/>
        <v>143.51079894678773</v>
      </c>
      <c r="AU38" s="2">
        <f t="shared" si="108"/>
        <v>144.98257318719442</v>
      </c>
      <c r="AV38" s="221">
        <f t="shared" si="108"/>
        <v>145.38497865725645</v>
      </c>
      <c r="AW38" s="2">
        <f t="shared" ref="AW38:AZ38" si="109">AW40*AW36</f>
        <v>152.58768568958442</v>
      </c>
      <c r="AX38" s="2">
        <f t="shared" si="109"/>
        <v>152.23052977923692</v>
      </c>
      <c r="AY38" s="2">
        <f t="shared" si="109"/>
        <v>153.40916268264752</v>
      </c>
      <c r="AZ38" s="2">
        <f t="shared" si="109"/>
        <v>153.45228249904349</v>
      </c>
    </row>
    <row r="39" spans="2:58" outlineLevel="2">
      <c r="B39" s="3" t="s">
        <v>270</v>
      </c>
      <c r="G39" s="10"/>
      <c r="H39" s="10"/>
      <c r="I39" s="2"/>
      <c r="J39" s="4">
        <f ca="1">J38/I38-1</f>
        <v>0.26363310819457042</v>
      </c>
      <c r="K39" s="4">
        <f t="shared" ref="K39:N39" ca="1" si="110">K38/J38-1</f>
        <v>0.19992219689871282</v>
      </c>
      <c r="L39" s="4">
        <f t="shared" ca="1" si="110"/>
        <v>0.12204420568937846</v>
      </c>
      <c r="M39" s="4">
        <f t="shared" ca="1" si="110"/>
        <v>8.3839196325335319E-2</v>
      </c>
      <c r="N39" s="4">
        <f t="shared" ca="1" si="110"/>
        <v>6.0682942461387723E-2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21"/>
      <c r="AC39" s="2"/>
      <c r="AD39" s="2"/>
      <c r="AE39" s="2"/>
      <c r="AF39" s="221"/>
      <c r="AG39" s="4">
        <f t="shared" ref="AG39:AV39" si="111">AG38/AC38-1</f>
        <v>0.10605734764361374</v>
      </c>
      <c r="AH39" s="4">
        <f t="shared" si="111"/>
        <v>0.22541359630393631</v>
      </c>
      <c r="AI39" s="4">
        <f t="shared" si="111"/>
        <v>0.28554684491244253</v>
      </c>
      <c r="AJ39" s="215">
        <f t="shared" si="111"/>
        <v>0.42699608178637183</v>
      </c>
      <c r="AK39" s="4">
        <f t="shared" si="111"/>
        <v>0.42308297512412207</v>
      </c>
      <c r="AL39" s="4">
        <f t="shared" si="111"/>
        <v>0.18934305147296726</v>
      </c>
      <c r="AM39" s="4">
        <f t="shared" si="111"/>
        <v>0.13641333470759487</v>
      </c>
      <c r="AN39" s="215">
        <f t="shared" si="111"/>
        <v>0.10994193219762072</v>
      </c>
      <c r="AO39" s="4">
        <f t="shared" si="111"/>
        <v>0.15819740793931047</v>
      </c>
      <c r="AP39" s="4">
        <f t="shared" si="111"/>
        <v>0.11877161466353159</v>
      </c>
      <c r="AQ39" s="4">
        <f t="shared" si="111"/>
        <v>0.10681264328562312</v>
      </c>
      <c r="AR39" s="215">
        <f t="shared" si="111"/>
        <v>0.10686638570429219</v>
      </c>
      <c r="AS39" s="4">
        <f t="shared" si="111"/>
        <v>9.1561035668749513E-2</v>
      </c>
      <c r="AT39" s="4">
        <f t="shared" si="111"/>
        <v>8.6460283165624485E-2</v>
      </c>
      <c r="AU39" s="4">
        <f t="shared" si="111"/>
        <v>8.1359530662499679E-2</v>
      </c>
      <c r="AV39" s="215">
        <f t="shared" si="111"/>
        <v>7.6258778159374652E-2</v>
      </c>
      <c r="AW39" s="4">
        <f t="shared" ref="AW39" si="112">AW38/AS38-1</f>
        <v>6.8493453453124742E-2</v>
      </c>
      <c r="AX39" s="4">
        <f t="shared" ref="AX39" si="113">AX38/AT38-1</f>
        <v>6.0760102350781109E-2</v>
      </c>
      <c r="AY39" s="4">
        <f t="shared" ref="AY39" si="114">AY38/AU38-1</f>
        <v>5.8121395628515371E-2</v>
      </c>
      <c r="AZ39" s="4">
        <f t="shared" ref="AZ39" si="115">AZ38/AV38-1</f>
        <v>5.5489252853319959E-2</v>
      </c>
    </row>
    <row r="40" spans="2:58" outlineLevel="2">
      <c r="B40" s="3" t="s">
        <v>1</v>
      </c>
      <c r="G40" s="10"/>
      <c r="H40" s="10"/>
      <c r="I40" s="4">
        <f t="shared" ref="I40:M40" ca="1" si="116">I38/I36</f>
        <v>0.28874487671025695</v>
      </c>
      <c r="J40" s="4">
        <f t="shared" ca="1" si="116"/>
        <v>0.29524156287384334</v>
      </c>
      <c r="K40" s="4">
        <f t="shared" ca="1" si="116"/>
        <v>0.28880390744897916</v>
      </c>
      <c r="L40" s="4">
        <f t="shared" ca="1" si="116"/>
        <v>0.29143040029808459</v>
      </c>
      <c r="M40" s="4">
        <f t="shared" ca="1" si="116"/>
        <v>0.29729415033163265</v>
      </c>
      <c r="N40" s="4">
        <f t="shared" ref="N40" ca="1" si="117">N38/N36</f>
        <v>0.30139602308664826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21"/>
      <c r="AC40" s="4">
        <f t="shared" ref="AC40:AO40" si="118">AC38/AC36</f>
        <v>0.28825020206933466</v>
      </c>
      <c r="AD40" s="4">
        <f t="shared" si="118"/>
        <v>0.29381628451943409</v>
      </c>
      <c r="AE40" s="4">
        <f t="shared" si="118"/>
        <v>0.2877575041229487</v>
      </c>
      <c r="AF40" s="215">
        <f t="shared" si="118"/>
        <v>0.28507981053116893</v>
      </c>
      <c r="AG40" s="4">
        <f t="shared" si="118"/>
        <v>0.28522818244294357</v>
      </c>
      <c r="AH40" s="4">
        <f t="shared" si="118"/>
        <v>0.30328070512801641</v>
      </c>
      <c r="AI40" s="4">
        <f t="shared" si="118"/>
        <v>0.29820418111595509</v>
      </c>
      <c r="AJ40" s="215">
        <f t="shared" si="118"/>
        <v>0.29283449708969617</v>
      </c>
      <c r="AK40" s="4">
        <f t="shared" si="118"/>
        <v>0.2888723127625214</v>
      </c>
      <c r="AL40" s="4">
        <f t="shared" si="118"/>
        <v>0.2910081330074934</v>
      </c>
      <c r="AM40" s="4">
        <f t="shared" si="118"/>
        <v>0.29034421573272018</v>
      </c>
      <c r="AN40" s="215">
        <f t="shared" si="118"/>
        <v>0.28515036520745507</v>
      </c>
      <c r="AO40" s="4">
        <f t="shared" si="118"/>
        <v>0.28924274950694134</v>
      </c>
      <c r="AP40" s="66">
        <f t="shared" ref="AP40:AV40" si="119">AO40*1.005</f>
        <v>0.29068896325447602</v>
      </c>
      <c r="AQ40" s="66">
        <f t="shared" si="119"/>
        <v>0.29214240807074837</v>
      </c>
      <c r="AR40" s="246">
        <f t="shared" si="119"/>
        <v>0.29360312011110207</v>
      </c>
      <c r="AS40" s="234">
        <f t="shared" si="119"/>
        <v>0.29507113571165755</v>
      </c>
      <c r="AT40" s="66">
        <f t="shared" si="119"/>
        <v>0.29654649139021583</v>
      </c>
      <c r="AU40" s="66">
        <f t="shared" si="119"/>
        <v>0.2980292238471669</v>
      </c>
      <c r="AV40" s="246">
        <f t="shared" si="119"/>
        <v>0.29951936996640272</v>
      </c>
      <c r="AW40" s="234">
        <f>AV40*1.0025</f>
        <v>0.3002681683913187</v>
      </c>
      <c r="AX40" s="66">
        <f t="shared" ref="AX40:AZ40" si="120">AW40*1.0025</f>
        <v>0.30101883881229696</v>
      </c>
      <c r="AY40" s="66">
        <f t="shared" si="120"/>
        <v>0.30177138590932767</v>
      </c>
      <c r="AZ40" s="66">
        <f t="shared" si="120"/>
        <v>0.30252581437410098</v>
      </c>
    </row>
    <row r="41" spans="2:58" outlineLevel="2">
      <c r="B41" s="1" t="s">
        <v>0</v>
      </c>
      <c r="C41" s="1" t="s">
        <v>333</v>
      </c>
      <c r="G41" s="10"/>
      <c r="H41" s="10"/>
      <c r="I41" s="2">
        <f t="shared" ref="I41:N41" ca="1" si="121">SUM(OFFSET($P41,0,I$1,1,4))</f>
        <v>850353.38048000005</v>
      </c>
      <c r="J41" s="2">
        <f t="shared" ca="1" si="121"/>
        <v>1122428.3284499999</v>
      </c>
      <c r="K41" s="2">
        <f t="shared" ca="1" si="121"/>
        <v>1642503.9895800001</v>
      </c>
      <c r="L41" s="2">
        <f t="shared" ca="1" si="121"/>
        <v>2204489.6402481725</v>
      </c>
      <c r="M41" s="2">
        <f t="shared" ca="1" si="121"/>
        <v>2618010.4121743613</v>
      </c>
      <c r="N41" s="2">
        <f t="shared" ca="1" si="121"/>
        <v>3029006.0614404031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21"/>
      <c r="AC41" s="2">
        <v>183948.00160000002</v>
      </c>
      <c r="AD41" s="2">
        <v>213341.37203</v>
      </c>
      <c r="AE41" s="2">
        <v>233772.33828</v>
      </c>
      <c r="AF41" s="221">
        <v>219291.66856999998</v>
      </c>
      <c r="AG41" s="2">
        <v>206498.99381000001</v>
      </c>
      <c r="AH41" s="2">
        <v>281604.10739000002</v>
      </c>
      <c r="AI41" s="2">
        <v>306360.89121999999</v>
      </c>
      <c r="AJ41" s="221">
        <v>327964.33603000001</v>
      </c>
      <c r="AK41" s="2">
        <v>329963.45458000002</v>
      </c>
      <c r="AL41" s="2">
        <v>393243.68326999998</v>
      </c>
      <c r="AM41" s="2">
        <v>455410.66331999999</v>
      </c>
      <c r="AN41" s="221">
        <v>463886.18841</v>
      </c>
      <c r="AO41" s="2">
        <v>506449.23430999997</v>
      </c>
      <c r="AP41" s="2">
        <f t="shared" ref="AP41:AV41" si="122">AP36*AP43*3*60</f>
        <v>528519.51031488006</v>
      </c>
      <c r="AQ41" s="2">
        <f t="shared" si="122"/>
        <v>576094.48909979989</v>
      </c>
      <c r="AR41" s="221">
        <f t="shared" si="122"/>
        <v>593426.40652349254</v>
      </c>
      <c r="AS41" s="2">
        <f t="shared" si="122"/>
        <v>623185.7828184549</v>
      </c>
      <c r="AT41" s="2">
        <f t="shared" si="122"/>
        <v>619160.60633388185</v>
      </c>
      <c r="AU41" s="2">
        <f t="shared" si="122"/>
        <v>686992.67825151142</v>
      </c>
      <c r="AV41" s="221">
        <f t="shared" si="122"/>
        <v>688671.34477051313</v>
      </c>
      <c r="AW41" s="2">
        <f t="shared" ref="AW41:AZ41" si="123">AW36*AW43*3*60</f>
        <v>719779.57915531553</v>
      </c>
      <c r="AX41" s="2">
        <f t="shared" si="123"/>
        <v>727900.68782126997</v>
      </c>
      <c r="AY41" s="2">
        <f t="shared" si="123"/>
        <v>789698.08365011262</v>
      </c>
      <c r="AZ41" s="2">
        <f t="shared" si="123"/>
        <v>791627.71081370488</v>
      </c>
    </row>
    <row r="42" spans="2:58" outlineLevel="2">
      <c r="B42" s="3" t="s">
        <v>270</v>
      </c>
      <c r="G42" s="10"/>
      <c r="H42" s="10"/>
      <c r="I42" s="2"/>
      <c r="J42" s="4">
        <f ca="1">J41/I41-1</f>
        <v>0.31995515536896124</v>
      </c>
      <c r="K42" s="4">
        <f t="shared" ref="K42" ca="1" si="124">K41/J41-1</f>
        <v>0.46334865928427749</v>
      </c>
      <c r="L42" s="4">
        <f t="shared" ref="L42" ca="1" si="125">L41/K41-1</f>
        <v>0.34215177207081005</v>
      </c>
      <c r="M42" s="4">
        <f t="shared" ref="M42:N42" ca="1" si="126">M41/L41-1</f>
        <v>0.187581181773953</v>
      </c>
      <c r="N42" s="4">
        <f t="shared" ca="1" si="126"/>
        <v>0.15698778253700429</v>
      </c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21"/>
      <c r="AC42" s="2"/>
      <c r="AD42" s="2"/>
      <c r="AE42" s="2"/>
      <c r="AF42" s="221"/>
      <c r="AG42" s="4">
        <f t="shared" ref="AG42:AV42" si="127">AG41/AC41-1</f>
        <v>0.12259438544506596</v>
      </c>
      <c r="AH42" s="4">
        <f t="shared" si="127"/>
        <v>0.31996951510371341</v>
      </c>
      <c r="AI42" s="4">
        <f t="shared" si="127"/>
        <v>0.31050959011693391</v>
      </c>
      <c r="AJ42" s="215">
        <f t="shared" si="127"/>
        <v>0.49556222618330192</v>
      </c>
      <c r="AK42" s="4">
        <f t="shared" si="127"/>
        <v>0.59789376447809617</v>
      </c>
      <c r="AL42" s="4">
        <f t="shared" si="127"/>
        <v>0.39644157507045064</v>
      </c>
      <c r="AM42" s="4">
        <f t="shared" si="127"/>
        <v>0.48651696861975213</v>
      </c>
      <c r="AN42" s="215">
        <f t="shared" si="127"/>
        <v>0.41444095423706906</v>
      </c>
      <c r="AO42" s="4">
        <f t="shared" si="127"/>
        <v>0.53486462600727425</v>
      </c>
      <c r="AP42" s="4">
        <f t="shared" si="127"/>
        <v>0.34400000000000031</v>
      </c>
      <c r="AQ42" s="4">
        <f t="shared" si="127"/>
        <v>0.26499999999999968</v>
      </c>
      <c r="AR42" s="215">
        <f t="shared" si="127"/>
        <v>0.27925</v>
      </c>
      <c r="AS42" s="4">
        <f t="shared" si="127"/>
        <v>0.23049999999999993</v>
      </c>
      <c r="AT42" s="4">
        <f t="shared" si="127"/>
        <v>0.17149999999999976</v>
      </c>
      <c r="AU42" s="4">
        <f t="shared" si="127"/>
        <v>0.19250000000000012</v>
      </c>
      <c r="AV42" s="215">
        <f t="shared" si="127"/>
        <v>0.16050000000000009</v>
      </c>
      <c r="AW42" s="4">
        <f t="shared" ref="AW42" si="128">AW41/AS41-1</f>
        <v>0.15500000000000025</v>
      </c>
      <c r="AX42" s="4">
        <f t="shared" ref="AX42" si="129">AX41/AT41-1</f>
        <v>0.17562500000000014</v>
      </c>
      <c r="AY42" s="4">
        <f t="shared" ref="AY42" si="130">AY41/AU41-1</f>
        <v>0.14950000000000041</v>
      </c>
      <c r="AZ42" s="4">
        <f t="shared" ref="AZ42" si="131">AZ41/AV41-1</f>
        <v>0.14949999999999997</v>
      </c>
    </row>
    <row r="43" spans="2:58" outlineLevel="2">
      <c r="B43" s="1" t="s">
        <v>332</v>
      </c>
      <c r="C43" s="1" t="s">
        <v>331</v>
      </c>
      <c r="G43" s="10"/>
      <c r="H43" s="10"/>
      <c r="I43" s="2">
        <f ca="1">I41/I36/12/60</f>
        <v>4.361658643303489</v>
      </c>
      <c r="J43" s="2">
        <f t="shared" ref="J43:M43" ca="1" si="132">J41/J36/12/60</f>
        <v>4.6585746828329064</v>
      </c>
      <c r="K43" s="2">
        <f t="shared" ca="1" si="132"/>
        <v>5.5574217718707448</v>
      </c>
      <c r="L43" s="2">
        <f t="shared" ca="1" si="132"/>
        <v>6.7080579831503986</v>
      </c>
      <c r="M43" s="2">
        <f t="shared" ca="1" si="132"/>
        <v>7.4980230869431619</v>
      </c>
      <c r="N43" s="2">
        <f t="shared" ref="N43" ca="1" si="133">N41/N36/12/60</f>
        <v>8.2916529276542601</v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21"/>
      <c r="AC43" s="2">
        <f t="shared" ref="AC43:AN43" si="134">AC41/AC36/3/60</f>
        <v>4.1047153974311419</v>
      </c>
      <c r="AD43" s="2">
        <f t="shared" si="134"/>
        <v>4.2987183077197351</v>
      </c>
      <c r="AE43" s="2">
        <f t="shared" si="134"/>
        <v>4.5071283112167944</v>
      </c>
      <c r="AF43" s="221">
        <f t="shared" si="134"/>
        <v>4.5074560012826739</v>
      </c>
      <c r="AG43" s="2">
        <f t="shared" si="134"/>
        <v>4.1224090719393836</v>
      </c>
      <c r="AH43" s="2">
        <f t="shared" si="134"/>
        <v>4.7795731442119127</v>
      </c>
      <c r="AI43" s="2">
        <f t="shared" si="134"/>
        <v>4.7614506668115926</v>
      </c>
      <c r="AJ43" s="221">
        <f t="shared" si="134"/>
        <v>4.8525383750428022</v>
      </c>
      <c r="AK43" s="2">
        <f t="shared" si="134"/>
        <v>4.6879421967491588</v>
      </c>
      <c r="AL43" s="2">
        <f t="shared" si="134"/>
        <v>5.3847443388030785</v>
      </c>
      <c r="AM43" s="2">
        <f t="shared" si="134"/>
        <v>6.0641828648197293</v>
      </c>
      <c r="AN43" s="221">
        <f t="shared" si="134"/>
        <v>6.0215075808260767</v>
      </c>
      <c r="AO43" s="2">
        <f t="shared" ref="AO43" si="135">AO41/AO36/3/60</f>
        <v>6.220514392449676</v>
      </c>
      <c r="AP43" s="2">
        <f t="shared" ref="AP43:AV43" si="136">AL43*(1+AP44)</f>
        <v>6.4616932065636936</v>
      </c>
      <c r="AQ43" s="2">
        <f t="shared" si="136"/>
        <v>6.9738102945426883</v>
      </c>
      <c r="AR43" s="221">
        <f t="shared" si="136"/>
        <v>7.1655940211830309</v>
      </c>
      <c r="AS43" s="2">
        <f t="shared" si="136"/>
        <v>7.1535915513171267</v>
      </c>
      <c r="AT43" s="2">
        <f t="shared" si="136"/>
        <v>7.107862527220064</v>
      </c>
      <c r="AU43" s="2">
        <f t="shared" si="136"/>
        <v>7.8455365813605242</v>
      </c>
      <c r="AV43" s="221">
        <f t="shared" si="136"/>
        <v>7.8821534233013351</v>
      </c>
      <c r="AW43" s="2">
        <f t="shared" ref="AW43" si="137">AS43*(1+AW44)</f>
        <v>7.8689507064488398</v>
      </c>
      <c r="AX43" s="2">
        <f t="shared" ref="AX43" si="138">AT43*(1+AX44)</f>
        <v>7.9963453431225719</v>
      </c>
      <c r="AY43" s="2">
        <f t="shared" ref="AY43" si="139">AU43*(1+AY44)</f>
        <v>8.6300902394965782</v>
      </c>
      <c r="AZ43" s="2">
        <f t="shared" ref="AZ43" si="140">AV43*(1+AZ44)</f>
        <v>8.6703687656314692</v>
      </c>
    </row>
    <row r="44" spans="2:58" outlineLevel="2">
      <c r="B44" s="3" t="s">
        <v>270</v>
      </c>
      <c r="G44" s="10"/>
      <c r="H44" s="10"/>
      <c r="I44" s="2"/>
      <c r="J44" s="4">
        <f ca="1">J43/I43-1</f>
        <v>6.8074112123670316E-2</v>
      </c>
      <c r="K44" s="4">
        <f t="shared" ref="K44" ca="1" si="141">K43/J43-1</f>
        <v>0.19294465587299414</v>
      </c>
      <c r="L44" s="4">
        <f t="shared" ref="L44" ca="1" si="142">L43/K43-1</f>
        <v>0.20704496770493019</v>
      </c>
      <c r="M44" s="4">
        <f t="shared" ref="M44:N44" ca="1" si="143">M43/L43-1</f>
        <v>0.1177636069600223</v>
      </c>
      <c r="N44" s="4">
        <f t="shared" ca="1" si="143"/>
        <v>0.1058452116656059</v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21"/>
      <c r="AC44" s="2"/>
      <c r="AD44" s="2"/>
      <c r="AE44" s="2"/>
      <c r="AF44" s="221"/>
      <c r="AG44" s="4">
        <f t="shared" ref="AG44:AO44" si="144">AG43/AC43-1</f>
        <v>4.3105727913108627E-3</v>
      </c>
      <c r="AH44" s="4">
        <f t="shared" si="144"/>
        <v>0.11186004805866157</v>
      </c>
      <c r="AI44" s="4">
        <f t="shared" si="144"/>
        <v>5.6426695233386504E-2</v>
      </c>
      <c r="AJ44" s="215">
        <f t="shared" si="144"/>
        <v>7.6558123620492191E-2</v>
      </c>
      <c r="AK44" s="4">
        <f t="shared" si="144"/>
        <v>0.13718510583029575</v>
      </c>
      <c r="AL44" s="4">
        <f t="shared" si="144"/>
        <v>0.12661615929531922</v>
      </c>
      <c r="AM44" s="4">
        <f t="shared" si="144"/>
        <v>0.27359985205527382</v>
      </c>
      <c r="AN44" s="215">
        <f t="shared" si="144"/>
        <v>0.24089849794808971</v>
      </c>
      <c r="AO44" s="4">
        <f t="shared" si="144"/>
        <v>0.32691789518293879</v>
      </c>
      <c r="AP44" s="66">
        <v>0.2</v>
      </c>
      <c r="AQ44" s="66">
        <v>0.15</v>
      </c>
      <c r="AR44" s="246">
        <v>0.19</v>
      </c>
      <c r="AS44" s="234">
        <v>0.15</v>
      </c>
      <c r="AT44" s="66">
        <v>0.1</v>
      </c>
      <c r="AU44" s="66">
        <v>0.125</v>
      </c>
      <c r="AV44" s="246">
        <v>0.1</v>
      </c>
      <c r="AW44" s="234">
        <v>0.1</v>
      </c>
      <c r="AX44" s="66">
        <v>0.125</v>
      </c>
      <c r="AY44" s="66">
        <v>0.1</v>
      </c>
      <c r="AZ44" s="66">
        <v>0.1</v>
      </c>
    </row>
    <row r="45" spans="2:58" outlineLevel="2">
      <c r="B45" s="1" t="s">
        <v>330</v>
      </c>
      <c r="G45" s="10"/>
      <c r="H45" s="10"/>
      <c r="I45" s="150"/>
      <c r="J45" s="150">
        <f t="shared" ref="J45:M45" ca="1" si="145">J81/J41*1000</f>
        <v>7.0233443115307784E-2</v>
      </c>
      <c r="K45" s="150">
        <f t="shared" ca="1" si="145"/>
        <v>3.0360467342819906</v>
      </c>
      <c r="L45" s="150">
        <f t="shared" ca="1" si="145"/>
        <v>4.7114270527533924</v>
      </c>
      <c r="M45" s="150">
        <f t="shared" ca="1" si="145"/>
        <v>6.1772524707825482</v>
      </c>
      <c r="N45" s="150">
        <f t="shared" ref="N45" ca="1" si="146">N81/N41*1000</f>
        <v>7.5007402366542699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21"/>
      <c r="AC45" s="2"/>
      <c r="AD45" s="2"/>
      <c r="AE45" s="2"/>
      <c r="AF45" s="221"/>
      <c r="AG45" s="2"/>
      <c r="AH45" s="150"/>
      <c r="AI45" s="150"/>
      <c r="AJ45" s="250">
        <f t="shared" ref="AJ45:AV45" ca="1" si="147">AJ81/AJ41*1000</f>
        <v>0.24036761774607113</v>
      </c>
      <c r="AK45" s="150">
        <f t="shared" ca="1" si="147"/>
        <v>0.87085250884608778</v>
      </c>
      <c r="AL45" s="150">
        <f t="shared" ca="1" si="147"/>
        <v>2.6025112796492316</v>
      </c>
      <c r="AM45" s="150">
        <f t="shared" si="147"/>
        <v>3.6523628759022797</v>
      </c>
      <c r="AN45" s="250">
        <f t="shared" si="147"/>
        <v>4.3386142986890741</v>
      </c>
      <c r="AO45" s="150">
        <f t="shared" ca="1" si="147"/>
        <v>3.8558151409573922</v>
      </c>
      <c r="AP45" s="150">
        <f t="shared" ca="1" si="147"/>
        <v>4.4227384870831674</v>
      </c>
      <c r="AQ45" s="150">
        <f t="shared" ca="1" si="147"/>
        <v>5.0088425843951647</v>
      </c>
      <c r="AR45" s="250">
        <f t="shared" ca="1" si="147"/>
        <v>5.4100176170565133</v>
      </c>
      <c r="AS45" s="150">
        <f t="shared" ca="1" si="147"/>
        <v>5.4564784082593407</v>
      </c>
      <c r="AT45" s="150">
        <f t="shared" ca="1" si="147"/>
        <v>5.9749854870938774</v>
      </c>
      <c r="AU45" s="150">
        <f t="shared" ca="1" si="147"/>
        <v>6.4594539429305486</v>
      </c>
      <c r="AV45" s="250">
        <f t="shared" ca="1" si="147"/>
        <v>6.72982599425346</v>
      </c>
      <c r="AW45" s="150">
        <f t="shared" ref="AW45:AZ45" ca="1" si="148">AW81/AW41*1000</f>
        <v>6.7728317222695091</v>
      </c>
      <c r="AX45" s="150">
        <f t="shared" ca="1" si="148"/>
        <v>7.2952078901552078</v>
      </c>
      <c r="AY45" s="150">
        <f t="shared" ca="1" si="148"/>
        <v>7.7894279489107561</v>
      </c>
      <c r="AZ45" s="150">
        <f t="shared" ca="1" si="148"/>
        <v>8.0635864853452723</v>
      </c>
    </row>
    <row r="46" spans="2:58" outlineLevel="2">
      <c r="B46" s="3" t="s">
        <v>270</v>
      </c>
      <c r="G46" s="10"/>
      <c r="H46" s="10"/>
      <c r="I46" s="2"/>
      <c r="J46" s="2"/>
      <c r="K46" s="4">
        <f t="shared" ref="K46" ca="1" si="149">K45/J45-1</f>
        <v>42.227935291417694</v>
      </c>
      <c r="L46" s="4">
        <f t="shared" ref="L46" ca="1" si="150">L45/K45-1</f>
        <v>0.55182955504392806</v>
      </c>
      <c r="M46" s="4">
        <f t="shared" ref="M46:N46" ca="1" si="151">M45/L45-1</f>
        <v>0.31112132303364781</v>
      </c>
      <c r="N46" s="4">
        <f t="shared" ca="1" si="151"/>
        <v>0.21425184936694985</v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21"/>
      <c r="AC46" s="2"/>
      <c r="AD46" s="2"/>
      <c r="AE46" s="2"/>
      <c r="AF46" s="221"/>
      <c r="AG46" s="2"/>
      <c r="AH46" s="2"/>
      <c r="AI46" s="2"/>
      <c r="AJ46" s="221"/>
      <c r="AK46" s="2"/>
      <c r="AL46" s="4"/>
      <c r="AM46" s="4"/>
    </row>
    <row r="47" spans="2:58" outlineLevel="2">
      <c r="B47" s="3" t="s">
        <v>307</v>
      </c>
      <c r="G47" s="10"/>
      <c r="H47" s="1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21"/>
      <c r="AC47" s="2"/>
      <c r="AD47" s="2"/>
      <c r="AE47" s="2"/>
      <c r="AF47" s="221"/>
      <c r="AG47" s="60"/>
      <c r="AH47" s="60"/>
      <c r="AI47" s="60"/>
      <c r="AJ47" s="228"/>
      <c r="AK47" s="4">
        <f t="shared" ref="AK47:AV47" ca="1" si="152">AK45/AJ45-1</f>
        <v>2.6230026199538772</v>
      </c>
      <c r="AL47" s="4">
        <f t="shared" ca="1" si="152"/>
        <v>1.9884638939579524</v>
      </c>
      <c r="AM47" s="4">
        <f t="shared" ca="1" si="152"/>
        <v>0.40339944132520644</v>
      </c>
      <c r="AN47" s="215">
        <f t="shared" si="152"/>
        <v>0.18789245376317187</v>
      </c>
      <c r="AO47" s="4">
        <f t="shared" ca="1" si="152"/>
        <v>-0.1112795755726802</v>
      </c>
      <c r="AP47" s="4">
        <f t="shared" ca="1" si="152"/>
        <v>0.14703073809316725</v>
      </c>
      <c r="AQ47" s="4">
        <f t="shared" ca="1" si="152"/>
        <v>0.1325206315100349</v>
      </c>
      <c r="AR47" s="215">
        <f t="shared" ca="1" si="152"/>
        <v>8.0093360073081987E-2</v>
      </c>
      <c r="AS47" s="4">
        <f t="shared" ca="1" si="152"/>
        <v>8.5879186523067919E-3</v>
      </c>
      <c r="AT47" s="4">
        <f t="shared" ca="1" si="152"/>
        <v>9.5025956310884396E-2</v>
      </c>
      <c r="AU47" s="4">
        <f t="shared" ca="1" si="152"/>
        <v>8.1082783695983096E-2</v>
      </c>
      <c r="AV47" s="215">
        <f t="shared" ca="1" si="152"/>
        <v>4.1856796830143095E-2</v>
      </c>
      <c r="AW47" s="4">
        <f t="shared" ref="AW47" ca="1" si="153">AW45/AV45-1</f>
        <v>6.3903179744575489E-3</v>
      </c>
      <c r="AX47" s="4">
        <f t="shared" ref="AX47" ca="1" si="154">AX45/AW45-1</f>
        <v>7.7128177593441816E-2</v>
      </c>
      <c r="AY47" s="4">
        <f t="shared" ref="AY47" ca="1" si="155">AY45/AX45-1</f>
        <v>6.7745849905455291E-2</v>
      </c>
      <c r="AZ47" s="4">
        <f t="shared" ref="AZ47" ca="1" si="156">AZ45/AY45-1</f>
        <v>3.5196234978058127E-2</v>
      </c>
    </row>
    <row r="48" spans="2:58" outlineLevel="2">
      <c r="B48" s="1" t="s">
        <v>329</v>
      </c>
      <c r="G48" s="10"/>
      <c r="H48" s="10"/>
      <c r="I48" s="2"/>
      <c r="J48" s="150">
        <f ca="1">J62/J41*60*1000</f>
        <v>2.647877330122685</v>
      </c>
      <c r="K48" s="150">
        <f t="shared" ref="K48:M48" ca="1" si="157">K62/K41*60*1000</f>
        <v>108.08875080924466</v>
      </c>
      <c r="L48" s="150">
        <f t="shared" ca="1" si="157"/>
        <v>166.07380934675641</v>
      </c>
      <c r="M48" s="150">
        <f t="shared" ca="1" si="157"/>
        <v>205.6108531622632</v>
      </c>
      <c r="N48" s="150">
        <f t="shared" ref="N48" ca="1" si="158">N62/N41*60*1000</f>
        <v>239.03485448234912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21"/>
      <c r="AC48" s="2"/>
      <c r="AD48" s="2"/>
      <c r="AE48" s="2"/>
      <c r="AF48" s="221"/>
      <c r="AG48" s="60"/>
      <c r="AH48" s="60"/>
      <c r="AI48" s="60"/>
      <c r="AJ48" s="250">
        <f ca="1">AJ62/AJ41*60*1000</f>
        <v>9.0621210878197136</v>
      </c>
      <c r="AK48" s="150">
        <f ca="1">AK62/AK41*60*1000</f>
        <v>33.479216082948</v>
      </c>
      <c r="AL48" s="150">
        <f ca="1">AL62/AL41*60*1000</f>
        <v>109.1634065906342</v>
      </c>
      <c r="AM48" s="150">
        <f>AM62/AM41*60*1000</f>
        <v>121.91123189011724</v>
      </c>
      <c r="AN48" s="250">
        <f>AN62/AN41*60*1000</f>
        <v>146.67776982867804</v>
      </c>
      <c r="AO48" s="150">
        <f t="shared" ref="AO48:AV48" si="159">AN48*(1+AO50)</f>
        <v>143.74421443210449</v>
      </c>
      <c r="AP48" s="150">
        <f t="shared" si="159"/>
        <v>157.08367753140379</v>
      </c>
      <c r="AQ48" s="150">
        <f t="shared" si="159"/>
        <v>172.79204528454417</v>
      </c>
      <c r="AR48" s="250">
        <f t="shared" si="159"/>
        <v>186.61540890730771</v>
      </c>
      <c r="AS48" s="150">
        <f t="shared" si="159"/>
        <v>190.34771708545387</v>
      </c>
      <c r="AT48" s="150">
        <f t="shared" si="159"/>
        <v>199.86510293972657</v>
      </c>
      <c r="AU48" s="150">
        <f t="shared" si="159"/>
        <v>209.85835808671291</v>
      </c>
      <c r="AV48" s="250">
        <f t="shared" si="159"/>
        <v>220.35127599104857</v>
      </c>
      <c r="AW48" s="150">
        <f t="shared" ref="AW48" si="160">AV48*(1+AW50)</f>
        <v>224.75830151086953</v>
      </c>
      <c r="AX48" s="150">
        <f t="shared" ref="AX48" si="161">AW48*(1+AX50)</f>
        <v>233.74863357130431</v>
      </c>
      <c r="AY48" s="150">
        <f t="shared" ref="AY48" si="162">AX48*(1+AY50)</f>
        <v>243.09857891415649</v>
      </c>
      <c r="AZ48" s="150">
        <f t="shared" ref="AZ48" si="163">AY48*(1+AZ50)</f>
        <v>252.82252207072275</v>
      </c>
    </row>
    <row r="49" spans="2:52" outlineLevel="2">
      <c r="B49" s="3" t="s">
        <v>270</v>
      </c>
      <c r="G49" s="10"/>
      <c r="H49" s="10"/>
      <c r="I49" s="2"/>
      <c r="J49" s="2"/>
      <c r="K49" s="4">
        <f t="shared" ref="K49" ca="1" si="164">K48/J48-1</f>
        <v>39.82090570420668</v>
      </c>
      <c r="L49" s="4">
        <f t="shared" ref="L49" ca="1" si="165">L48/K48-1</f>
        <v>0.53645784693953913</v>
      </c>
      <c r="M49" s="4">
        <f t="shared" ref="M49:N49" ca="1" si="166">M48/L48-1</f>
        <v>0.23806910897644795</v>
      </c>
      <c r="N49" s="4">
        <f t="shared" ca="1" si="166"/>
        <v>0.16255951865395213</v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21"/>
      <c r="AC49" s="2"/>
      <c r="AD49" s="2"/>
      <c r="AE49" s="2"/>
      <c r="AF49" s="221"/>
      <c r="AG49" s="60"/>
      <c r="AH49" s="60"/>
      <c r="AI49" s="60"/>
      <c r="AJ49" s="228"/>
      <c r="AK49" s="60"/>
      <c r="AL49" s="60"/>
      <c r="AM49" s="60"/>
      <c r="AN49" s="215">
        <f t="shared" ref="AN49:AV49" ca="1" si="167">AN48/AJ48-1</f>
        <v>15.185809967362481</v>
      </c>
      <c r="AO49" s="4">
        <f t="shared" ca="1" si="167"/>
        <v>3.2935358485086468</v>
      </c>
      <c r="AP49" s="4">
        <f t="shared" ca="1" si="167"/>
        <v>0.43897742327217704</v>
      </c>
      <c r="AQ49" s="4">
        <f t="shared" si="167"/>
        <v>0.41735952139576082</v>
      </c>
      <c r="AR49" s="215">
        <f t="shared" si="167"/>
        <v>0.27228147200000019</v>
      </c>
      <c r="AS49" s="4">
        <f t="shared" si="167"/>
        <v>0.32421132800000008</v>
      </c>
      <c r="AT49" s="4">
        <f t="shared" si="167"/>
        <v>0.27234800000000003</v>
      </c>
      <c r="AU49" s="4">
        <f t="shared" si="167"/>
        <v>0.21451400000000009</v>
      </c>
      <c r="AV49" s="215">
        <f t="shared" si="167"/>
        <v>0.18077750000000026</v>
      </c>
      <c r="AW49" s="4">
        <f t="shared" ref="AW49" si="168">AW48/AS48-1</f>
        <v>0.18077750000000004</v>
      </c>
      <c r="AX49" s="4">
        <f t="shared" ref="AX49" si="169">AX48/AT48-1</f>
        <v>0.16953200000000002</v>
      </c>
      <c r="AY49" s="4">
        <f t="shared" ref="AY49" si="170">AY48/AU48-1</f>
        <v>0.15839360000000013</v>
      </c>
      <c r="AZ49" s="4">
        <f t="shared" ref="AZ49" si="171">AZ48/AV48-1</f>
        <v>0.14736127999999993</v>
      </c>
    </row>
    <row r="50" spans="2:52" outlineLevel="2">
      <c r="B50" s="3" t="s">
        <v>307</v>
      </c>
      <c r="G50" s="10"/>
      <c r="H50" s="10"/>
      <c r="I50" s="10"/>
      <c r="AK50" s="4">
        <f ca="1">AK48/AJ48-1</f>
        <v>2.6944127934846298</v>
      </c>
      <c r="AL50" s="4">
        <f ca="1">AL48/AK48-1</f>
        <v>2.2606320984389625</v>
      </c>
      <c r="AM50" s="4">
        <f ca="1">AM48/AL48-1</f>
        <v>0.11677745956836749</v>
      </c>
      <c r="AN50" s="215">
        <f>AN48/AM48-1</f>
        <v>0.20315222440606395</v>
      </c>
      <c r="AO50" s="234">
        <v>-0.02</v>
      </c>
      <c r="AP50" s="66">
        <v>9.2799999999999994E-2</v>
      </c>
      <c r="AQ50" s="66">
        <v>0.1</v>
      </c>
      <c r="AR50" s="246">
        <v>0.08</v>
      </c>
      <c r="AS50" s="234">
        <v>0.02</v>
      </c>
      <c r="AT50" s="66">
        <v>0.05</v>
      </c>
      <c r="AU50" s="66">
        <v>0.05</v>
      </c>
      <c r="AV50" s="246">
        <v>0.05</v>
      </c>
      <c r="AW50" s="234">
        <v>0.02</v>
      </c>
      <c r="AX50" s="66">
        <v>0.04</v>
      </c>
      <c r="AY50" s="66">
        <v>0.04</v>
      </c>
      <c r="AZ50" s="66">
        <v>0.04</v>
      </c>
    </row>
    <row r="51" spans="2:52" outlineLevel="2">
      <c r="B51" s="1" t="s">
        <v>384</v>
      </c>
      <c r="G51" s="10"/>
      <c r="H51" s="10"/>
      <c r="I51" s="10"/>
      <c r="J51" s="150">
        <f ca="1">J81/J38</f>
        <v>0.79790653624867491</v>
      </c>
      <c r="K51" s="150">
        <f t="shared" ref="K51:M51" ca="1" si="172">K81/K38</f>
        <v>42.064065222654662</v>
      </c>
      <c r="L51" s="150">
        <f t="shared" ca="1" si="172"/>
        <v>78.081279753476096</v>
      </c>
      <c r="M51" s="150">
        <f t="shared" ca="1" si="172"/>
        <v>112.17298000468168</v>
      </c>
      <c r="N51" s="150">
        <f t="shared" ref="N51" ca="1" si="173">N81/N38</f>
        <v>148.57311173599294</v>
      </c>
      <c r="AJ51" s="250">
        <f ca="1">AJ81/AJ38</f>
        <v>0.71696046110704192</v>
      </c>
      <c r="AK51" s="150">
        <f t="shared" ref="AK51:AV51" ca="1" si="174">AK81/AK38</f>
        <v>2.543861380061414</v>
      </c>
      <c r="AL51" s="150">
        <f t="shared" ca="1" si="174"/>
        <v>8.6681234379530903</v>
      </c>
      <c r="AM51" s="150">
        <f t="shared" si="174"/>
        <v>13.731106494427648</v>
      </c>
      <c r="AN51" s="250">
        <f t="shared" si="174"/>
        <v>16.491298535596815</v>
      </c>
      <c r="AO51" s="150">
        <f t="shared" ca="1" si="174"/>
        <v>14.926312419483974</v>
      </c>
      <c r="AP51" s="150">
        <f t="shared" ca="1" si="174"/>
        <v>17.696262716543121</v>
      </c>
      <c r="AQ51" s="150">
        <f t="shared" ca="1" si="174"/>
        <v>21.522138048034186</v>
      </c>
      <c r="AR51" s="250">
        <f t="shared" ca="1" si="174"/>
        <v>23.766362488889801</v>
      </c>
      <c r="AS51" s="150">
        <f t="shared" ca="1" si="174"/>
        <v>23.811258917219536</v>
      </c>
      <c r="AT51" s="150">
        <f t="shared" ca="1" si="174"/>
        <v>25.778378102381801</v>
      </c>
      <c r="AU51" s="150">
        <f t="shared" ca="1" si="174"/>
        <v>30.607799728913168</v>
      </c>
      <c r="AV51" s="250">
        <f t="shared" ca="1" si="174"/>
        <v>31.878384963416316</v>
      </c>
      <c r="AW51" s="150">
        <f t="shared" ref="AW51:AZ51" ca="1" si="175">AW81/AW38</f>
        <v>31.948488796548279</v>
      </c>
      <c r="AX51" s="150">
        <f t="shared" ca="1" si="175"/>
        <v>34.882535380675002</v>
      </c>
      <c r="AY51" s="150">
        <f t="shared" ca="1" si="175"/>
        <v>40.097320240971754</v>
      </c>
      <c r="AZ51" s="150">
        <f t="shared" ca="1" si="175"/>
        <v>41.598328851068054</v>
      </c>
    </row>
    <row r="52" spans="2:52" outlineLevel="2">
      <c r="B52" s="3" t="s">
        <v>270</v>
      </c>
      <c r="G52" s="10"/>
      <c r="H52" s="10"/>
      <c r="I52" s="10"/>
      <c r="K52" s="4">
        <f t="shared" ref="K52" ca="1" si="176">K51/J51-1</f>
        <v>51.718035649159049</v>
      </c>
      <c r="L52" s="4">
        <f t="shared" ref="L52" ca="1" si="177">L51/K51-1</f>
        <v>0.85624664045603116</v>
      </c>
      <c r="M52" s="4">
        <f t="shared" ref="M52:N52" ca="1" si="178">M51/L51-1</f>
        <v>0.43661810306954973</v>
      </c>
      <c r="N52" s="4">
        <f t="shared" ca="1" si="178"/>
        <v>0.32449999750200154</v>
      </c>
      <c r="AK52" s="4"/>
      <c r="AL52" s="4"/>
      <c r="AM52" s="4"/>
      <c r="AN52" s="215">
        <f t="shared" ref="AN52" ca="1" si="179">AN51/AJ51-1</f>
        <v>22.001684793235299</v>
      </c>
      <c r="AO52" s="4">
        <f t="shared" ref="AO52" ca="1" si="180">AO51/AK51-1</f>
        <v>4.8675808896173507</v>
      </c>
      <c r="AP52" s="4">
        <f t="shared" ref="AP52" ca="1" si="181">AP51/AL51-1</f>
        <v>1.0415333080122768</v>
      </c>
      <c r="AQ52" s="4">
        <f t="shared" ref="AQ52" ca="1" si="182">AQ51/AM51-1</f>
        <v>0.56740012589431821</v>
      </c>
      <c r="AR52" s="215">
        <f t="shared" ref="AR52" ca="1" si="183">AR51/AN51-1</f>
        <v>0.44114561006761277</v>
      </c>
      <c r="AS52" s="4">
        <f t="shared" ref="AS52" ca="1" si="184">AS51/AO51-1</f>
        <v>0.59525395476364618</v>
      </c>
      <c r="AT52" s="4">
        <f t="shared" ref="AT52" ca="1" si="185">AT51/AP51-1</f>
        <v>0.45671312159505972</v>
      </c>
      <c r="AU52" s="4">
        <f t="shared" ref="AU52" ca="1" si="186">AU51/AQ51-1</f>
        <v>0.4221542330321062</v>
      </c>
      <c r="AV52" s="215">
        <f t="shared" ref="AV52" ca="1" si="187">AV51/AR51-1</f>
        <v>0.34132368713633343</v>
      </c>
      <c r="AW52" s="4">
        <f t="shared" ref="AW52" ca="1" si="188">AW51/AS51-1</f>
        <v>0.34173875088327055</v>
      </c>
      <c r="AX52" s="4">
        <f t="shared" ref="AX52" ca="1" si="189">AX51/AT51-1</f>
        <v>0.3531702903159768</v>
      </c>
      <c r="AY52" s="4">
        <f t="shared" ref="AY52" ca="1" si="190">AY51/AU51-1</f>
        <v>0.31003602337003211</v>
      </c>
      <c r="AZ52" s="4">
        <f t="shared" ref="AZ52" ca="1" si="191">AZ51/AV51-1</f>
        <v>0.30490703650157802</v>
      </c>
    </row>
    <row r="53" spans="2:52" outlineLevel="2">
      <c r="B53" s="3" t="s">
        <v>307</v>
      </c>
      <c r="G53" s="10"/>
      <c r="H53" s="10"/>
      <c r="I53" s="10"/>
      <c r="AK53" s="4">
        <f t="shared" ref="AK53:AM53" ca="1" si="192">AK51/AJ51-1</f>
        <v>2.5481194822563813</v>
      </c>
      <c r="AL53" s="4">
        <f t="shared" ca="1" si="192"/>
        <v>2.4074668949704421</v>
      </c>
      <c r="AM53" s="4">
        <f t="shared" ca="1" si="192"/>
        <v>0.58409217320400098</v>
      </c>
      <c r="AN53" s="215">
        <f>AN51/AM51-1</f>
        <v>0.20101745203777344</v>
      </c>
      <c r="AO53" s="4">
        <f t="shared" ref="AO53:AV53" ca="1" si="193">AO51/AN51-1</f>
        <v>-9.4897688786288459E-2</v>
      </c>
      <c r="AP53" s="4">
        <f t="shared" ca="1" si="193"/>
        <v>0.18557499127804733</v>
      </c>
      <c r="AQ53" s="4">
        <f t="shared" ca="1" si="193"/>
        <v>0.2161967977517929</v>
      </c>
      <c r="AR53" s="215">
        <f t="shared" ca="1" si="193"/>
        <v>0.10427516243260038</v>
      </c>
      <c r="AS53" s="4">
        <f t="shared" ca="1" si="193"/>
        <v>1.8890744576804952E-3</v>
      </c>
      <c r="AT53" s="4">
        <f t="shared" ca="1" si="193"/>
        <v>8.2612985394892702E-2</v>
      </c>
      <c r="AU53" s="4">
        <f t="shared" ca="1" si="193"/>
        <v>0.18734388980372474</v>
      </c>
      <c r="AV53" s="215">
        <f t="shared" ca="1" si="193"/>
        <v>4.1511812209843679E-2</v>
      </c>
      <c r="AW53" s="4">
        <f t="shared" ref="AW53" ca="1" si="194">AW51/AV51-1</f>
        <v>2.1991024078671373E-3</v>
      </c>
      <c r="AX53" s="4">
        <f t="shared" ref="AX53" ca="1" si="195">AX51/AW51-1</f>
        <v>9.1836787737006098E-2</v>
      </c>
      <c r="AY53" s="4">
        <f t="shared" ref="AY53" ca="1" si="196">AY51/AX51-1</f>
        <v>0.14949558004851204</v>
      </c>
      <c r="AZ53" s="4">
        <f t="shared" ref="AZ53" ca="1" si="197">AZ51/AY51-1</f>
        <v>3.7434137769699616E-2</v>
      </c>
    </row>
    <row r="54" spans="2:52" outlineLevel="2">
      <c r="B54" s="3"/>
      <c r="G54" s="10"/>
      <c r="H54" s="10"/>
      <c r="I54" s="10"/>
    </row>
    <row r="55" spans="2:52" outlineLevel="2">
      <c r="B55" s="1" t="s">
        <v>328</v>
      </c>
      <c r="C55" s="1" t="s">
        <v>2</v>
      </c>
      <c r="E55" s="109">
        <v>9612.7498785913522</v>
      </c>
      <c r="F55" s="109">
        <f t="shared" ref="F55:K55" si="198">E55*(1+F56)</f>
        <v>12198.579595932428</v>
      </c>
      <c r="G55" s="109">
        <f t="shared" si="198"/>
        <v>16187.515123802332</v>
      </c>
      <c r="H55" s="109">
        <f t="shared" si="198"/>
        <v>22694.896203570872</v>
      </c>
      <c r="I55" s="109">
        <f t="shared" si="198"/>
        <v>30433.855808988537</v>
      </c>
      <c r="J55" s="109">
        <f t="shared" si="198"/>
        <v>33659.844524741326</v>
      </c>
      <c r="K55" s="109">
        <f t="shared" si="198"/>
        <v>37261.447888888644</v>
      </c>
      <c r="L55" s="2">
        <f ca="1">SUM(OFFSET($P55,0,L$1,1,4))</f>
        <v>43921.051214372914</v>
      </c>
      <c r="M55" s="2">
        <f ca="1">SUM(OFFSET($P55,0,M$1,1,4))</f>
        <v>49990.542550690378</v>
      </c>
      <c r="N55" s="2">
        <f ca="1">SUM(OFFSET($P55,0,N$1,1,4))</f>
        <v>55525.96284605479</v>
      </c>
      <c r="O55" s="109"/>
      <c r="P55" s="109"/>
      <c r="Q55" s="109"/>
      <c r="R55" s="109"/>
      <c r="S55" s="109"/>
      <c r="T55" s="109"/>
      <c r="U55" s="153">
        <f>$G55*0.22</f>
        <v>3561.2533272365131</v>
      </c>
      <c r="V55" s="153">
        <v>3993.8153167398746</v>
      </c>
      <c r="W55" s="153">
        <v>4079.4946025947215</v>
      </c>
      <c r="X55" s="153">
        <f>G55-SUM(U55:W55)</f>
        <v>4552.9518772312222</v>
      </c>
      <c r="Y55" s="153">
        <v>4699.7714262127301</v>
      </c>
      <c r="Z55" s="153">
        <v>5530.1517123469321</v>
      </c>
      <c r="AA55" s="153">
        <v>6135.6382293044162</v>
      </c>
      <c r="AB55" s="261">
        <f>H55-SUM(Y55:AA55)</f>
        <v>6329.3348357067953</v>
      </c>
      <c r="AC55" s="153">
        <v>6297.6937111250591</v>
      </c>
      <c r="AD55" s="153">
        <v>7410.4032945448898</v>
      </c>
      <c r="AE55" s="153">
        <v>8221.7552272679186</v>
      </c>
      <c r="AF55" s="261">
        <f>I55-SUM(AC55:AE55)</f>
        <v>8504.0035760506689</v>
      </c>
      <c r="AG55" s="109">
        <f>AC55*(1+AG56)</f>
        <v>8187.0018244625771</v>
      </c>
      <c r="AH55" s="109">
        <f>AD55*(1+AH56)</f>
        <v>9263.0041181811121</v>
      </c>
      <c r="AI55" s="109">
        <f>AE55*(1+AI56)</f>
        <v>7975.1025704498807</v>
      </c>
      <c r="AJ55" s="249">
        <f>J55-SUM(AG55:AI55)</f>
        <v>8234.7360116477576</v>
      </c>
      <c r="AK55" s="109">
        <f>AG55*(1+AK56)</f>
        <v>7720.3427204682102</v>
      </c>
      <c r="AL55" s="109">
        <f>AH55*(1+AL56)</f>
        <v>10374.564612362847</v>
      </c>
      <c r="AM55" s="109">
        <f>AI55*(1+AM56)</f>
        <v>9330.8700074263597</v>
      </c>
      <c r="AN55" s="249">
        <f>K55-SUM(AK55:AM55)</f>
        <v>9835.6705486312276</v>
      </c>
      <c r="AO55" s="109">
        <f t="shared" ref="AO55:AV55" ca="1" si="199">+AO57+AO65</f>
        <v>9548.4276317362965</v>
      </c>
      <c r="AP55" s="109">
        <f t="shared" ca="1" si="199"/>
        <v>11015.065150008346</v>
      </c>
      <c r="AQ55" s="109">
        <f t="shared" ca="1" si="199"/>
        <v>11611.339778212787</v>
      </c>
      <c r="AR55" s="249">
        <f t="shared" ca="1" si="199"/>
        <v>11746.218654415479</v>
      </c>
      <c r="AS55" s="109">
        <f t="shared" ca="1" si="199"/>
        <v>11264.808498222197</v>
      </c>
      <c r="AT55" s="109">
        <f t="shared" ca="1" si="199"/>
        <v>12546.219659696555</v>
      </c>
      <c r="AU55" s="109">
        <f t="shared" ca="1" si="199"/>
        <v>13329.763351195932</v>
      </c>
      <c r="AV55" s="249">
        <f t="shared" ca="1" si="199"/>
        <v>12849.751041575693</v>
      </c>
      <c r="AW55" s="109">
        <f t="shared" ref="AW55:AZ55" ca="1" si="200">+AW57+AW65</f>
        <v>12626.025410484619</v>
      </c>
      <c r="AX55" s="109">
        <f t="shared" ca="1" si="200"/>
        <v>13874.447246319123</v>
      </c>
      <c r="AY55" s="109">
        <f t="shared" ca="1" si="200"/>
        <v>14672.557230455004</v>
      </c>
      <c r="AZ55" s="109">
        <f t="shared" ca="1" si="200"/>
        <v>14352.932958796046</v>
      </c>
    </row>
    <row r="56" spans="2:52" outlineLevel="2">
      <c r="B56" s="3" t="s">
        <v>270</v>
      </c>
      <c r="E56" s="60">
        <v>0.64200000000000002</v>
      </c>
      <c r="F56" s="60">
        <v>0.26900000000000002</v>
      </c>
      <c r="G56" s="60">
        <v>0.32700000000000001</v>
      </c>
      <c r="H56" s="60">
        <v>0.40200000000000002</v>
      </c>
      <c r="I56" s="60">
        <v>0.34100000000000003</v>
      </c>
      <c r="J56" s="60">
        <v>0.106</v>
      </c>
      <c r="K56" s="60">
        <v>0.107</v>
      </c>
      <c r="L56" s="4">
        <f ca="1">+L55/K55-1</f>
        <v>0.1787263700901478</v>
      </c>
      <c r="M56" s="4">
        <f ca="1">+M55/L55-1</f>
        <v>0.13819093961784001</v>
      </c>
      <c r="N56" s="4">
        <f ca="1">+N55/M55-1</f>
        <v>0.11072935025163</v>
      </c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4">
        <f t="shared" ref="Y56:AF56" si="201">Y55/U55-1</f>
        <v>0.31969590320037478</v>
      </c>
      <c r="Z56" s="4">
        <f t="shared" si="201"/>
        <v>0.38467887815632862</v>
      </c>
      <c r="AA56" s="4">
        <f t="shared" si="201"/>
        <v>0.504019205075527</v>
      </c>
      <c r="AB56" s="215">
        <f t="shared" si="201"/>
        <v>0.39016071471325131</v>
      </c>
      <c r="AC56" s="4">
        <f t="shared" si="201"/>
        <v>0.34000000000000008</v>
      </c>
      <c r="AD56" s="4">
        <f t="shared" si="201"/>
        <v>0.34000000000000008</v>
      </c>
      <c r="AE56" s="4">
        <f t="shared" si="201"/>
        <v>0.34000000000000008</v>
      </c>
      <c r="AF56" s="215">
        <f t="shared" si="201"/>
        <v>0.34358566844584204</v>
      </c>
      <c r="AG56" s="60">
        <v>0.3</v>
      </c>
      <c r="AH56" s="60">
        <v>0.25</v>
      </c>
      <c r="AI56" s="60">
        <v>-0.03</v>
      </c>
      <c r="AJ56" s="215">
        <f>AJ55/AF55-1</f>
        <v>-3.1663623138780683E-2</v>
      </c>
      <c r="AK56" s="60">
        <v>-5.7000000000000002E-2</v>
      </c>
      <c r="AL56" s="60">
        <v>0.12</v>
      </c>
      <c r="AM56" s="60">
        <v>0.17</v>
      </c>
      <c r="AN56" s="215">
        <f t="shared" ref="AN56:AV56" si="202">AN55/AJ55-1</f>
        <v>0.19441236910557924</v>
      </c>
      <c r="AO56" s="4">
        <f t="shared" ca="1" si="202"/>
        <v>0.23678805170416317</v>
      </c>
      <c r="AP56" s="4">
        <f t="shared" ca="1" si="202"/>
        <v>6.1737582402469959E-2</v>
      </c>
      <c r="AQ56" s="4">
        <f t="shared" ca="1" si="202"/>
        <v>0.24440055096378166</v>
      </c>
      <c r="AR56" s="215">
        <f t="shared" ca="1" si="202"/>
        <v>0.19424685854795443</v>
      </c>
      <c r="AS56" s="4">
        <f t="shared" ca="1" si="202"/>
        <v>0.17975534116016467</v>
      </c>
      <c r="AT56" s="4">
        <f t="shared" ca="1" si="202"/>
        <v>0.13900548828683501</v>
      </c>
      <c r="AU56" s="4">
        <f t="shared" ca="1" si="202"/>
        <v>0.14799528786570781</v>
      </c>
      <c r="AV56" s="215">
        <f t="shared" ca="1" si="202"/>
        <v>9.3947883963950263E-2</v>
      </c>
      <c r="AW56" s="4">
        <f t="shared" ref="AW56" ca="1" si="203">AW55/AS55-1</f>
        <v>0.12083799848681376</v>
      </c>
      <c r="AX56" s="4">
        <f t="shared" ref="AX56" ca="1" si="204">AX55/AT55-1</f>
        <v>0.10586675689166869</v>
      </c>
      <c r="AY56" s="4">
        <f t="shared" ref="AY56" ca="1" si="205">AY55/AU55-1</f>
        <v>0.10073651301083286</v>
      </c>
      <c r="AZ56" s="4">
        <f t="shared" ref="AZ56" ca="1" si="206">AZ55/AV55-1</f>
        <v>0.11698140394757606</v>
      </c>
    </row>
    <row r="57" spans="2:52" outlineLevel="2">
      <c r="B57" s="3" t="s">
        <v>327</v>
      </c>
      <c r="E57" s="10"/>
      <c r="F57" s="10"/>
      <c r="G57" s="10"/>
      <c r="H57" s="2">
        <f t="shared" ref="H57:N57" ca="1" si="207">SUM(OFFSET($P57,0,H$1,1,4))</f>
        <v>10728.639542857429</v>
      </c>
      <c r="I57" s="2">
        <f t="shared" ca="1" si="207"/>
        <v>18291.291772095607</v>
      </c>
      <c r="J57" s="2">
        <f t="shared" ca="1" si="207"/>
        <v>22609.335352201739</v>
      </c>
      <c r="K57" s="2">
        <f t="shared" ca="1" si="207"/>
        <v>27652.761825047906</v>
      </c>
      <c r="L57" s="2">
        <f t="shared" ca="1" si="207"/>
        <v>35397.468633760378</v>
      </c>
      <c r="M57" s="2">
        <f t="shared" ca="1" si="207"/>
        <v>42258.769250793222</v>
      </c>
      <c r="N57" s="2">
        <f t="shared" ca="1" si="207"/>
        <v>48357.556660629059</v>
      </c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>
        <f t="shared" ref="Y57:AM57" ca="1" si="208">+Y55-Y65</f>
        <v>2323.8050911356868</v>
      </c>
      <c r="Z57" s="109">
        <f t="shared" si="208"/>
        <v>2249.553238920786</v>
      </c>
      <c r="AA57" s="109">
        <f t="shared" si="208"/>
        <v>2879.4702072595455</v>
      </c>
      <c r="AB57" s="249">
        <f t="shared" si="208"/>
        <v>3275.8110055414099</v>
      </c>
      <c r="AC57" s="109">
        <f t="shared" ca="1" si="208"/>
        <v>3693.2343806957188</v>
      </c>
      <c r="AD57" s="109">
        <f t="shared" si="208"/>
        <v>4295.8859678521103</v>
      </c>
      <c r="AE57" s="109">
        <f t="shared" si="208"/>
        <v>5016.6642064685602</v>
      </c>
      <c r="AF57" s="249">
        <f t="shared" si="208"/>
        <v>5285.5072170792173</v>
      </c>
      <c r="AG57" s="109">
        <f t="shared" ca="1" si="208"/>
        <v>5464.2668039379951</v>
      </c>
      <c r="AH57" s="109">
        <f t="shared" ca="1" si="208"/>
        <v>6152.1827030233417</v>
      </c>
      <c r="AI57" s="109">
        <f t="shared" ca="1" si="208"/>
        <v>5395.4182294798347</v>
      </c>
      <c r="AJ57" s="249">
        <f t="shared" ca="1" si="208"/>
        <v>5597.4676157605672</v>
      </c>
      <c r="AK57" s="109">
        <f t="shared" ca="1" si="208"/>
        <v>5578.7653304280129</v>
      </c>
      <c r="AL57" s="109">
        <f t="shared" ca="1" si="208"/>
        <v>7639.92654854185</v>
      </c>
      <c r="AM57" s="109">
        <f t="shared" si="208"/>
        <v>6904.7492198897544</v>
      </c>
      <c r="AN57" s="249">
        <f t="shared" ref="AN57" si="209">+AN55-AN65</f>
        <v>7529.3207261882872</v>
      </c>
      <c r="AO57" s="109">
        <f t="shared" ref="AO57:AV57" ca="1" si="210">AO59+AO62</f>
        <v>7664.8627231155933</v>
      </c>
      <c r="AP57" s="109">
        <f t="shared" ca="1" si="210"/>
        <v>8596.2170083908386</v>
      </c>
      <c r="AQ57" s="109">
        <f t="shared" si="210"/>
        <v>9453.2514199707457</v>
      </c>
      <c r="AR57" s="249">
        <f t="shared" si="210"/>
        <v>9683.1374822832022</v>
      </c>
      <c r="AS57" s="109">
        <f t="shared" ca="1" si="210"/>
        <v>9570.5000028664854</v>
      </c>
      <c r="AT57" s="109">
        <f t="shared" ca="1" si="210"/>
        <v>10358.317759501435</v>
      </c>
      <c r="AU57" s="109">
        <f t="shared" si="210"/>
        <v>11366.934028357278</v>
      </c>
      <c r="AV57" s="249">
        <f t="shared" si="210"/>
        <v>10963.017460068024</v>
      </c>
      <c r="AW57" s="109">
        <f t="shared" ref="AW57:AZ57" ca="1" si="211">AW59+AW62</f>
        <v>11068.071094958525</v>
      </c>
      <c r="AX57" s="109">
        <f t="shared" ca="1" si="211"/>
        <v>11851.68331599973</v>
      </c>
      <c r="AY57" s="109">
        <f t="shared" si="211"/>
        <v>12848.063753265164</v>
      </c>
      <c r="AZ57" s="109">
        <f t="shared" si="211"/>
        <v>12589.738496405649</v>
      </c>
    </row>
    <row r="58" spans="2:52" outlineLevel="2">
      <c r="B58" s="52" t="s">
        <v>270</v>
      </c>
      <c r="E58" s="10"/>
      <c r="F58" s="10"/>
      <c r="G58" s="10"/>
      <c r="H58" s="10"/>
      <c r="I58" s="4">
        <f t="shared" ref="I58:N58" ca="1" si="212">+I57/H57-1</f>
        <v>0.70490318917210693</v>
      </c>
      <c r="J58" s="4">
        <f t="shared" ca="1" si="212"/>
        <v>0.23607100219644139</v>
      </c>
      <c r="K58" s="4">
        <f t="shared" ca="1" si="212"/>
        <v>0.22306832086309125</v>
      </c>
      <c r="L58" s="4">
        <f t="shared" ca="1" si="212"/>
        <v>0.28006992060002145</v>
      </c>
      <c r="M58" s="4">
        <f t="shared" ca="1" si="212"/>
        <v>0.19383591205414241</v>
      </c>
      <c r="N58" s="4">
        <f t="shared" ca="1" si="212"/>
        <v>0.144320043341569</v>
      </c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4"/>
      <c r="Z58" s="4"/>
      <c r="AA58" s="4"/>
      <c r="AB58" s="215"/>
      <c r="AC58" s="4">
        <f t="shared" ref="AC58:AV58" ca="1" si="213">AC57/Y57-1</f>
        <v>0.5893047118210617</v>
      </c>
      <c r="AD58" s="4">
        <f t="shared" si="213"/>
        <v>0.90966183574879245</v>
      </c>
      <c r="AE58" s="4">
        <f t="shared" si="213"/>
        <v>0.74221778500116131</v>
      </c>
      <c r="AF58" s="215">
        <f t="shared" si="213"/>
        <v>0.61349577498157726</v>
      </c>
      <c r="AG58" s="4">
        <f t="shared" ca="1" si="213"/>
        <v>0.47953426202770677</v>
      </c>
      <c r="AH58" s="4">
        <f t="shared" ca="1" si="213"/>
        <v>0.43211033743974281</v>
      </c>
      <c r="AI58" s="4">
        <f t="shared" ca="1" si="213"/>
        <v>7.5499177824759345E-2</v>
      </c>
      <c r="AJ58" s="215">
        <f t="shared" ca="1" si="213"/>
        <v>5.9021847075206413E-2</v>
      </c>
      <c r="AK58" s="4">
        <f t="shared" ca="1" si="213"/>
        <v>2.0954051220101633E-2</v>
      </c>
      <c r="AL58" s="4">
        <f t="shared" ca="1" si="213"/>
        <v>0.24182374245605431</v>
      </c>
      <c r="AM58" s="4">
        <f t="shared" ca="1" si="213"/>
        <v>0.27974309427268107</v>
      </c>
      <c r="AN58" s="215">
        <f t="shared" ca="1" si="213"/>
        <v>0.34512984139261071</v>
      </c>
      <c r="AO58" s="4">
        <f t="shared" ca="1" si="213"/>
        <v>0.37393531886158971</v>
      </c>
      <c r="AP58" s="4">
        <f t="shared" ca="1" si="213"/>
        <v>0.12517011175081327</v>
      </c>
      <c r="AQ58" s="4">
        <f t="shared" si="213"/>
        <v>0.36909410015063271</v>
      </c>
      <c r="AR58" s="215">
        <f t="shared" si="213"/>
        <v>0.28605724665221999</v>
      </c>
      <c r="AS58" s="4">
        <f t="shared" ca="1" si="213"/>
        <v>0.24861988382438938</v>
      </c>
      <c r="AT58" s="4">
        <f t="shared" ca="1" si="213"/>
        <v>0.20498560580666991</v>
      </c>
      <c r="AU58" s="4">
        <f t="shared" si="213"/>
        <v>0.20243644470766164</v>
      </c>
      <c r="AV58" s="215">
        <f t="shared" si="213"/>
        <v>0.1321761650215707</v>
      </c>
      <c r="AW58" s="4">
        <f t="shared" ref="AW58" ca="1" si="214">AW57/AS57-1</f>
        <v>0.15647783205093746</v>
      </c>
      <c r="AX58" s="4">
        <f t="shared" ref="AX58" ca="1" si="215">AX57/AT57-1</f>
        <v>0.14417066469393314</v>
      </c>
      <c r="AY58" s="4">
        <f t="shared" ref="AY58" si="216">AY57/AU57-1</f>
        <v>0.13030160298396098</v>
      </c>
      <c r="AZ58" s="4">
        <f t="shared" ref="AZ58" si="217">AZ57/AV57-1</f>
        <v>0.14838260016120897</v>
      </c>
    </row>
    <row r="59" spans="2:52" outlineLevel="2">
      <c r="B59" s="52" t="s">
        <v>326</v>
      </c>
      <c r="E59" s="10"/>
      <c r="F59" s="10"/>
      <c r="G59" s="10"/>
      <c r="H59" s="2">
        <f t="shared" ref="H59:N59" ca="1" si="218">SUM(OFFSET($P59,0,H$1,1,4))</f>
        <v>10728.639542857429</v>
      </c>
      <c r="I59" s="2">
        <f t="shared" ca="1" si="218"/>
        <v>18291.291772095607</v>
      </c>
      <c r="J59" s="2">
        <f t="shared" ca="1" si="218"/>
        <v>22559.801143441902</v>
      </c>
      <c r="K59" s="2">
        <f t="shared" ca="1" si="218"/>
        <v>24693.825084499524</v>
      </c>
      <c r="L59" s="2">
        <f t="shared" ca="1" si="218"/>
        <v>29295.668763402471</v>
      </c>
      <c r="M59" s="2">
        <f t="shared" ca="1" si="218"/>
        <v>33287.246676878909</v>
      </c>
      <c r="N59" s="2">
        <f t="shared" ca="1" si="218"/>
        <v>36290.256275253065</v>
      </c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109">
        <f t="shared" ref="Y59:AM59" ca="1" si="219">Y57-Y62</f>
        <v>2323.8050911356868</v>
      </c>
      <c r="Z59" s="109">
        <f t="shared" si="219"/>
        <v>2249.553238920786</v>
      </c>
      <c r="AA59" s="109">
        <f t="shared" si="219"/>
        <v>2879.4702072595455</v>
      </c>
      <c r="AB59" s="249">
        <f t="shared" si="219"/>
        <v>3275.8110055414099</v>
      </c>
      <c r="AC59" s="109">
        <f t="shared" ca="1" si="219"/>
        <v>3693.2343806957188</v>
      </c>
      <c r="AD59" s="109">
        <f t="shared" si="219"/>
        <v>4295.8859678521103</v>
      </c>
      <c r="AE59" s="109">
        <f t="shared" si="219"/>
        <v>5016.6642064685602</v>
      </c>
      <c r="AF59" s="249">
        <f t="shared" si="219"/>
        <v>5285.5072170792173</v>
      </c>
      <c r="AG59" s="109">
        <f t="shared" ca="1" si="219"/>
        <v>5464.2668039379951</v>
      </c>
      <c r="AH59" s="109">
        <f t="shared" ca="1" si="219"/>
        <v>6152.1827030233417</v>
      </c>
      <c r="AI59" s="109">
        <f t="shared" ca="1" si="219"/>
        <v>5395.4182294798347</v>
      </c>
      <c r="AJ59" s="249">
        <f t="shared" ca="1" si="219"/>
        <v>5547.9334070007299</v>
      </c>
      <c r="AK59" s="109">
        <f t="shared" ca="1" si="219"/>
        <v>5394.6500338386822</v>
      </c>
      <c r="AL59" s="109">
        <f t="shared" ca="1" si="219"/>
        <v>6924.4628804418235</v>
      </c>
      <c r="AM59" s="109">
        <f t="shared" si="219"/>
        <v>5979.4213035358107</v>
      </c>
      <c r="AN59" s="249">
        <f t="shared" ref="AN59" si="220">AN57-AN62</f>
        <v>6395.2908666832082</v>
      </c>
      <c r="AO59" s="109">
        <f t="shared" ref="AO59:AV59" ca="1" si="221">AO36*AO69</f>
        <v>6451.5436008550641</v>
      </c>
      <c r="AP59" s="109">
        <f t="shared" ca="1" si="221"/>
        <v>7212.5205362682045</v>
      </c>
      <c r="AQ59" s="109">
        <f t="shared" si="221"/>
        <v>7794.1756691589298</v>
      </c>
      <c r="AR59" s="249">
        <f t="shared" si="221"/>
        <v>7837.4289571202726</v>
      </c>
      <c r="AS59" s="109">
        <f t="shared" ca="1" si="221"/>
        <v>7593.4668182064124</v>
      </c>
      <c r="AT59" s="109">
        <f t="shared" ca="1" si="221"/>
        <v>8295.8411208156886</v>
      </c>
      <c r="AU59" s="109">
        <f t="shared" si="221"/>
        <v>8964.081437099685</v>
      </c>
      <c r="AV59" s="249">
        <f t="shared" si="221"/>
        <v>8433.8573007571249</v>
      </c>
      <c r="AW59" s="109">
        <f t="shared" ref="AW59:AZ59" ca="1" si="222">AW36*AW69</f>
        <v>8371.797167072571</v>
      </c>
      <c r="AX59" s="109">
        <f t="shared" ca="1" si="222"/>
        <v>9015.9201301024896</v>
      </c>
      <c r="AY59" s="109">
        <f t="shared" si="222"/>
        <v>9648.4890548222465</v>
      </c>
      <c r="AZ59" s="109">
        <f t="shared" si="222"/>
        <v>9254.0499232557559</v>
      </c>
    </row>
    <row r="60" spans="2:52" outlineLevel="2">
      <c r="B60" s="61" t="s">
        <v>270</v>
      </c>
      <c r="E60" s="10"/>
      <c r="F60" s="10"/>
      <c r="G60" s="10"/>
      <c r="H60" s="10"/>
      <c r="I60" s="4">
        <f t="shared" ref="I60:N60" ca="1" si="223">+I59/H59-1</f>
        <v>0.70490318917210693</v>
      </c>
      <c r="J60" s="4">
        <f t="shared" ca="1" si="223"/>
        <v>0.23336292616895138</v>
      </c>
      <c r="K60" s="4">
        <f t="shared" ca="1" si="223"/>
        <v>9.4594093604321472E-2</v>
      </c>
      <c r="L60" s="4">
        <f t="shared" ca="1" si="223"/>
        <v>0.18635604905906433</v>
      </c>
      <c r="M60" s="4">
        <f t="shared" ca="1" si="223"/>
        <v>0.13625146931149446</v>
      </c>
      <c r="N60" s="4">
        <f t="shared" ca="1" si="223"/>
        <v>9.0215019209144209E-2</v>
      </c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4"/>
      <c r="Z60" s="4"/>
      <c r="AA60" s="4"/>
      <c r="AB60" s="215"/>
      <c r="AC60" s="4">
        <f t="shared" ref="AC60:AV60" ca="1" si="224">AC59/Y59-1</f>
        <v>0.5893047118210617</v>
      </c>
      <c r="AD60" s="4">
        <f t="shared" si="224"/>
        <v>0.90966183574879245</v>
      </c>
      <c r="AE60" s="4">
        <f t="shared" si="224"/>
        <v>0.74221778500116131</v>
      </c>
      <c r="AF60" s="215">
        <f t="shared" si="224"/>
        <v>0.61349577498157726</v>
      </c>
      <c r="AG60" s="4">
        <f t="shared" ca="1" si="224"/>
        <v>0.47953426202770677</v>
      </c>
      <c r="AH60" s="4">
        <f t="shared" ca="1" si="224"/>
        <v>0.43211033743974281</v>
      </c>
      <c r="AI60" s="4">
        <f t="shared" ca="1" si="224"/>
        <v>7.5499177824759345E-2</v>
      </c>
      <c r="AJ60" s="215">
        <f t="shared" ca="1" si="224"/>
        <v>4.9650143144924108E-2</v>
      </c>
      <c r="AK60" s="4">
        <f t="shared" ca="1" si="224"/>
        <v>-1.2740368030554672E-2</v>
      </c>
      <c r="AL60" s="4">
        <f t="shared" ca="1" si="224"/>
        <v>0.12552946079429073</v>
      </c>
      <c r="AM60" s="4">
        <f t="shared" ca="1" si="224"/>
        <v>0.10824055693496804</v>
      </c>
      <c r="AN60" s="215">
        <f t="shared" ca="1" si="224"/>
        <v>0.15273389161687301</v>
      </c>
      <c r="AO60" s="4">
        <f t="shared" ca="1" si="224"/>
        <v>0.19591513080308687</v>
      </c>
      <c r="AP60" s="4">
        <f t="shared" ca="1" si="224"/>
        <v>4.1600000000000081E-2</v>
      </c>
      <c r="AQ60" s="4">
        <f t="shared" si="224"/>
        <v>0.3035000000000001</v>
      </c>
      <c r="AR60" s="215">
        <f t="shared" si="224"/>
        <v>0.22550000000000026</v>
      </c>
      <c r="AS60" s="4">
        <f t="shared" ca="1" si="224"/>
        <v>0.17700000000000027</v>
      </c>
      <c r="AT60" s="4">
        <f t="shared" ca="1" si="224"/>
        <v>0.15019999999999989</v>
      </c>
      <c r="AU60" s="4">
        <f t="shared" si="224"/>
        <v>0.1500999999999999</v>
      </c>
      <c r="AV60" s="215">
        <f t="shared" si="224"/>
        <v>7.6100000000000056E-2</v>
      </c>
      <c r="AW60" s="4">
        <f t="shared" ref="AW60" ca="1" si="225">AW59/AS59-1</f>
        <v>0.10250000000000026</v>
      </c>
      <c r="AX60" s="4">
        <f t="shared" ref="AX60" ca="1" si="226">AX59/AT59-1</f>
        <v>8.6799999999999988E-2</v>
      </c>
      <c r="AY60" s="4">
        <f t="shared" ref="AY60" si="227">AY59/AU59-1</f>
        <v>7.635000000000014E-2</v>
      </c>
      <c r="AZ60" s="4">
        <f t="shared" ref="AZ60" si="228">AZ59/AV59-1</f>
        <v>9.7250000000000059E-2</v>
      </c>
    </row>
    <row r="61" spans="2:52" outlineLevel="2">
      <c r="B61" s="61" t="s">
        <v>324</v>
      </c>
      <c r="E61" s="10"/>
      <c r="F61" s="10"/>
      <c r="G61" s="10"/>
      <c r="H61" s="10"/>
      <c r="I61" s="4"/>
      <c r="J61" s="4"/>
      <c r="K61" s="4"/>
      <c r="L61" s="4"/>
      <c r="M61" s="4"/>
      <c r="N61" s="4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4"/>
      <c r="Z61" s="4"/>
      <c r="AA61" s="4"/>
      <c r="AB61" s="215"/>
      <c r="AC61" s="4"/>
      <c r="AD61" s="4"/>
      <c r="AE61" s="4"/>
      <c r="AF61" s="215"/>
      <c r="AG61" s="4"/>
      <c r="AH61" s="4"/>
      <c r="AI61" s="4"/>
      <c r="AJ61" s="215">
        <f t="shared" ref="AJ61:AV61" si="229">1-AJ64</f>
        <v>0.99115060378011544</v>
      </c>
      <c r="AK61" s="4">
        <f t="shared" si="229"/>
        <v>0.96699712468902066</v>
      </c>
      <c r="AL61" s="4">
        <f t="shared" si="229"/>
        <v>0.90635202268579673</v>
      </c>
      <c r="AM61" s="4">
        <f t="shared" si="229"/>
        <v>0.86598674522624908</v>
      </c>
      <c r="AN61" s="215">
        <f t="shared" ref="AN61" si="230">1-AN64</f>
        <v>0.84938483818855981</v>
      </c>
      <c r="AO61" s="4">
        <f t="shared" ca="1" si="229"/>
        <v>0.84170373741966475</v>
      </c>
      <c r="AP61" s="4">
        <f t="shared" ca="1" si="229"/>
        <v>0.83903425532743103</v>
      </c>
      <c r="AQ61" s="4">
        <f t="shared" si="229"/>
        <v>0.82449681309576872</v>
      </c>
      <c r="AR61" s="215">
        <f t="shared" si="229"/>
        <v>0.8093894124151455</v>
      </c>
      <c r="AS61" s="4">
        <f t="shared" ca="1" si="229"/>
        <v>0.79342425327120569</v>
      </c>
      <c r="AT61" s="4">
        <f t="shared" ca="1" si="229"/>
        <v>0.80088691170012749</v>
      </c>
      <c r="AU61" s="4">
        <f t="shared" si="229"/>
        <v>0.78861031609199472</v>
      </c>
      <c r="AV61" s="215">
        <f t="shared" si="229"/>
        <v>0.76930072687349293</v>
      </c>
      <c r="AW61" s="4">
        <f t="shared" ref="AW61:AZ61" ca="1" si="231">1-AW64</f>
        <v>0.75639170504478437</v>
      </c>
      <c r="AX61" s="4">
        <f t="shared" ca="1" si="231"/>
        <v>0.76072907870656903</v>
      </c>
      <c r="AY61" s="4">
        <f t="shared" si="231"/>
        <v>0.75096833578290823</v>
      </c>
      <c r="AZ61" s="4">
        <f t="shared" si="231"/>
        <v>0.7350470326208739</v>
      </c>
    </row>
    <row r="62" spans="2:52" outlineLevel="2">
      <c r="B62" s="52" t="s">
        <v>325</v>
      </c>
      <c r="E62" s="10"/>
      <c r="F62" s="10"/>
      <c r="G62" s="10"/>
      <c r="H62" s="2">
        <f t="shared" ref="H62:N62" ca="1" si="232">SUM(OFFSET($P62,0,H$1,1,4))</f>
        <v>0</v>
      </c>
      <c r="I62" s="2">
        <f t="shared" ca="1" si="232"/>
        <v>0</v>
      </c>
      <c r="J62" s="2">
        <f t="shared" ca="1" si="232"/>
        <v>49.534208759837568</v>
      </c>
      <c r="K62" s="2">
        <f t="shared" ca="1" si="232"/>
        <v>2958.9367405483799</v>
      </c>
      <c r="L62" s="2">
        <f t="shared" ca="1" si="232"/>
        <v>6101.7998703579096</v>
      </c>
      <c r="M62" s="2">
        <f t="shared" ca="1" si="232"/>
        <v>8971.5225739143116</v>
      </c>
      <c r="N62" s="2">
        <f t="shared" ca="1" si="232"/>
        <v>12067.300385376004</v>
      </c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4"/>
      <c r="Z62" s="4"/>
      <c r="AA62" s="4"/>
      <c r="AB62" s="215"/>
      <c r="AC62" s="4"/>
      <c r="AD62" s="4"/>
      <c r="AE62" s="4"/>
      <c r="AF62" s="215"/>
      <c r="AG62" s="4"/>
      <c r="AH62" s="4"/>
      <c r="AI62" s="4"/>
      <c r="AJ62" s="249">
        <f ca="1">AJ64*AJ57</f>
        <v>49.534208759837568</v>
      </c>
      <c r="AK62" s="109">
        <f ca="1">AK64*AK57</f>
        <v>184.11529658933031</v>
      </c>
      <c r="AL62" s="109">
        <f ca="1">AL64*AL57</f>
        <v>715.46366810002633</v>
      </c>
      <c r="AM62" s="109">
        <f>AM81/AM21</f>
        <v>925.32791635394369</v>
      </c>
      <c r="AN62" s="249">
        <f>AN81/AN21</f>
        <v>1134.0298595050792</v>
      </c>
      <c r="AO62" s="109">
        <f t="shared" ref="AO62:AV62" si="233">AO48*AO41/1000/60</f>
        <v>1213.3191222605294</v>
      </c>
      <c r="AP62" s="109">
        <f t="shared" si="233"/>
        <v>1383.6964721226345</v>
      </c>
      <c r="AQ62" s="109">
        <f t="shared" si="233"/>
        <v>1659.0757508118159</v>
      </c>
      <c r="AR62" s="249">
        <f t="shared" si="233"/>
        <v>1845.7085251629294</v>
      </c>
      <c r="AS62" s="109">
        <f t="shared" si="233"/>
        <v>1977.0331846600723</v>
      </c>
      <c r="AT62" s="109">
        <f t="shared" si="233"/>
        <v>2062.4766386857468</v>
      </c>
      <c r="AU62" s="109">
        <f t="shared" si="233"/>
        <v>2402.8525912575938</v>
      </c>
      <c r="AV62" s="249">
        <f t="shared" si="233"/>
        <v>2529.1601593108985</v>
      </c>
      <c r="AW62" s="109">
        <f t="shared" ref="AW62:AZ62" si="234">AW48*AW41/1000/60</f>
        <v>2696.2739278859531</v>
      </c>
      <c r="AX62" s="109">
        <f t="shared" si="234"/>
        <v>2835.76318589724</v>
      </c>
      <c r="AY62" s="109">
        <f t="shared" si="234"/>
        <v>3199.5746984429179</v>
      </c>
      <c r="AZ62" s="109">
        <f t="shared" si="234"/>
        <v>3335.6885731498937</v>
      </c>
    </row>
    <row r="63" spans="2:52" outlineLevel="2">
      <c r="B63" s="61" t="s">
        <v>270</v>
      </c>
      <c r="E63" s="10"/>
      <c r="F63" s="10"/>
      <c r="G63" s="10"/>
      <c r="H63" s="10"/>
      <c r="I63" s="4"/>
      <c r="J63" s="4"/>
      <c r="K63" s="4">
        <f ca="1">+K62/J62-1</f>
        <v>58.735217633020746</v>
      </c>
      <c r="L63" s="4">
        <f ca="1">+L62/K62-1</f>
        <v>1.062159621982004</v>
      </c>
      <c r="M63" s="4">
        <f ca="1">+M62/L62-1</f>
        <v>0.47030757555607505</v>
      </c>
      <c r="N63" s="4">
        <f ca="1">+N62/M62-1</f>
        <v>0.34506715955472345</v>
      </c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4"/>
      <c r="Z63" s="4"/>
      <c r="AA63" s="4"/>
      <c r="AB63" s="215"/>
      <c r="AC63" s="4"/>
      <c r="AD63" s="4"/>
      <c r="AE63" s="4"/>
      <c r="AF63" s="215"/>
      <c r="AG63" s="4"/>
      <c r="AH63" s="4"/>
      <c r="AI63" s="4"/>
      <c r="AJ63" s="215"/>
      <c r="AK63" s="4"/>
      <c r="AL63" s="4"/>
      <c r="AM63" s="4"/>
      <c r="AN63" s="215">
        <f t="shared" ref="AN63:AV63" ca="1" si="235">AN62/AJ62-1</f>
        <v>21.893872495336048</v>
      </c>
      <c r="AO63" s="4">
        <f t="shared" ca="1" si="235"/>
        <v>5.5899962943700494</v>
      </c>
      <c r="AP63" s="4">
        <f t="shared" ca="1" si="235"/>
        <v>0.93398565687780666</v>
      </c>
      <c r="AQ63" s="4">
        <f t="shared" si="235"/>
        <v>0.79295979456563703</v>
      </c>
      <c r="AR63" s="215">
        <f t="shared" si="235"/>
        <v>0.62756607305600021</v>
      </c>
      <c r="AS63" s="4">
        <f t="shared" si="235"/>
        <v>0.62944203910399987</v>
      </c>
      <c r="AT63" s="4">
        <f t="shared" si="235"/>
        <v>0.49055568199999944</v>
      </c>
      <c r="AU63" s="4">
        <f t="shared" si="235"/>
        <v>0.44830794500000049</v>
      </c>
      <c r="AV63" s="215">
        <f t="shared" si="235"/>
        <v>0.37029228875000064</v>
      </c>
      <c r="AW63" s="4">
        <f t="shared" ref="AW63" si="236">AW62/AS62-1</f>
        <v>0.36379801250000043</v>
      </c>
      <c r="AX63" s="4">
        <f t="shared" ref="AX63" si="237">AX62/AT62-1</f>
        <v>0.37493105750000022</v>
      </c>
      <c r="AY63" s="4">
        <f t="shared" ref="AY63" si="238">AY62/AU62-1</f>
        <v>0.33157344320000059</v>
      </c>
      <c r="AZ63" s="4">
        <f t="shared" ref="AZ63" si="239">AZ62/AV62-1</f>
        <v>0.31889179136000001</v>
      </c>
    </row>
    <row r="64" spans="2:52" outlineLevel="2">
      <c r="B64" s="61" t="s">
        <v>324</v>
      </c>
      <c r="E64" s="10"/>
      <c r="F64" s="10"/>
      <c r="G64" s="10"/>
      <c r="H64" s="10"/>
      <c r="I64" s="4"/>
      <c r="J64" s="4"/>
      <c r="K64" s="4"/>
      <c r="L64" s="4"/>
      <c r="M64" s="4"/>
      <c r="N64" s="4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4"/>
      <c r="Z64" s="4"/>
      <c r="AA64" s="4"/>
      <c r="AB64" s="215"/>
      <c r="AC64" s="4"/>
      <c r="AD64" s="4"/>
      <c r="AE64" s="4"/>
      <c r="AF64" s="215"/>
      <c r="AG64" s="4"/>
      <c r="AH64" s="4"/>
      <c r="AI64" s="4"/>
      <c r="AJ64" s="228">
        <v>8.8493962198845175E-3</v>
      </c>
      <c r="AK64" s="60">
        <v>3.3002875310979368E-2</v>
      </c>
      <c r="AL64" s="60">
        <v>9.3647977314203254E-2</v>
      </c>
      <c r="AM64" s="4">
        <f t="shared" ref="AM64:AV64" si="240">AM62/AM57</f>
        <v>0.13401325477375095</v>
      </c>
      <c r="AN64" s="215">
        <f t="shared" ref="AN64" si="241">AN62/AN57</f>
        <v>0.15061516181144019</v>
      </c>
      <c r="AO64" s="4">
        <f t="shared" ca="1" si="240"/>
        <v>0.15829626258033525</v>
      </c>
      <c r="AP64" s="4">
        <f t="shared" ca="1" si="240"/>
        <v>0.16096574467256899</v>
      </c>
      <c r="AQ64" s="4">
        <f t="shared" si="240"/>
        <v>0.17550318690423131</v>
      </c>
      <c r="AR64" s="215">
        <f t="shared" si="240"/>
        <v>0.19061058758485447</v>
      </c>
      <c r="AS64" s="4">
        <f t="shared" ca="1" si="240"/>
        <v>0.20657574672879431</v>
      </c>
      <c r="AT64" s="4">
        <f t="shared" ca="1" si="240"/>
        <v>0.19911308829987251</v>
      </c>
      <c r="AU64" s="4">
        <f t="shared" si="240"/>
        <v>0.21138968390800525</v>
      </c>
      <c r="AV64" s="215">
        <f t="shared" si="240"/>
        <v>0.23069927312650704</v>
      </c>
      <c r="AW64" s="4">
        <f t="shared" ref="AW64:AZ64" ca="1" si="242">AW62/AW57</f>
        <v>0.24360829495521566</v>
      </c>
      <c r="AX64" s="4">
        <f t="shared" ca="1" si="242"/>
        <v>0.23927092129343094</v>
      </c>
      <c r="AY64" s="4">
        <f t="shared" si="242"/>
        <v>0.24903166421709177</v>
      </c>
      <c r="AZ64" s="4">
        <f t="shared" si="242"/>
        <v>0.2649529673791261</v>
      </c>
    </row>
    <row r="65" spans="2:52" outlineLevel="2">
      <c r="B65" s="3" t="s">
        <v>323</v>
      </c>
      <c r="E65" s="10"/>
      <c r="F65" s="10"/>
      <c r="G65" s="10"/>
      <c r="H65" s="2">
        <f t="shared" ref="H65:N65" ca="1" si="243">SUM(OFFSET($P65,0,H$1,1,4))</f>
        <v>11966.256660713447</v>
      </c>
      <c r="I65" s="2">
        <f t="shared" ca="1" si="243"/>
        <v>12142.564036892929</v>
      </c>
      <c r="J65" s="2">
        <f t="shared" ca="1" si="243"/>
        <v>11050.509172539591</v>
      </c>
      <c r="K65" s="2">
        <f t="shared" ca="1" si="243"/>
        <v>9608.6860638407397</v>
      </c>
      <c r="L65" s="2">
        <f t="shared" ca="1" si="243"/>
        <v>8523.5825806125267</v>
      </c>
      <c r="M65" s="2">
        <f t="shared" ca="1" si="243"/>
        <v>7731.7732998971569</v>
      </c>
      <c r="N65" s="2">
        <f t="shared" ca="1" si="243"/>
        <v>7168.4061854257243</v>
      </c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>
        <f t="shared" ref="Y65:AM65" ca="1" si="244">Y55/(1+Y67)</f>
        <v>2375.9663350770434</v>
      </c>
      <c r="Z65" s="109">
        <f t="shared" si="244"/>
        <v>3280.598473426146</v>
      </c>
      <c r="AA65" s="109">
        <f t="shared" si="244"/>
        <v>3256.1680220448707</v>
      </c>
      <c r="AB65" s="249">
        <f t="shared" si="244"/>
        <v>3053.5238301653853</v>
      </c>
      <c r="AC65" s="109">
        <f t="shared" ca="1" si="244"/>
        <v>2604.4593304293403</v>
      </c>
      <c r="AD65" s="109">
        <f t="shared" si="244"/>
        <v>3114.5173266927795</v>
      </c>
      <c r="AE65" s="109">
        <f t="shared" si="244"/>
        <v>3205.0910207993579</v>
      </c>
      <c r="AF65" s="249">
        <f t="shared" si="244"/>
        <v>3218.4963589714516</v>
      </c>
      <c r="AG65" s="109">
        <f t="shared" ca="1" si="244"/>
        <v>2722.7350205245825</v>
      </c>
      <c r="AH65" s="109">
        <f t="shared" ca="1" si="244"/>
        <v>3110.8214151577708</v>
      </c>
      <c r="AI65" s="109">
        <f t="shared" ca="1" si="244"/>
        <v>2579.6843409700459</v>
      </c>
      <c r="AJ65" s="249">
        <f t="shared" ca="1" si="244"/>
        <v>2637.2683958871903</v>
      </c>
      <c r="AK65" s="109">
        <f t="shared" ca="1" si="244"/>
        <v>2141.5773900401973</v>
      </c>
      <c r="AL65" s="109">
        <f t="shared" ca="1" si="244"/>
        <v>2734.6380638209966</v>
      </c>
      <c r="AM65" s="109">
        <f t="shared" si="244"/>
        <v>2426.1207875366058</v>
      </c>
      <c r="AN65" s="249">
        <f t="shared" ref="AN65" si="245">AN55/(1+AN67)</f>
        <v>2306.34982244294</v>
      </c>
      <c r="AO65" s="109">
        <f t="shared" ref="AO65:AV65" ca="1" si="246">+AK65*(1+AO66)</f>
        <v>1883.5649086207022</v>
      </c>
      <c r="AP65" s="109">
        <f t="shared" ca="1" si="246"/>
        <v>2418.8481416175068</v>
      </c>
      <c r="AQ65" s="109">
        <f t="shared" ca="1" si="246"/>
        <v>2158.0883582420402</v>
      </c>
      <c r="AR65" s="249">
        <f t="shared" ca="1" si="246"/>
        <v>2063.081172132278</v>
      </c>
      <c r="AS65" s="109">
        <f t="shared" ca="1" si="246"/>
        <v>1694.3084953557118</v>
      </c>
      <c r="AT65" s="109">
        <f t="shared" ca="1" si="246"/>
        <v>2187.9019001951206</v>
      </c>
      <c r="AU65" s="109">
        <f t="shared" ca="1" si="246"/>
        <v>1962.8293228386544</v>
      </c>
      <c r="AV65" s="249">
        <f t="shared" ca="1" si="246"/>
        <v>1886.7335815076699</v>
      </c>
      <c r="AW65" s="109">
        <f t="shared" ref="AW65" ca="1" si="247">+AS65*(1+AW66)</f>
        <v>1557.9543155260938</v>
      </c>
      <c r="AX65" s="109">
        <f t="shared" ref="AX65" ca="1" si="248">+AT65*(1+AX66)</f>
        <v>2022.7639303193928</v>
      </c>
      <c r="AY65" s="109">
        <f t="shared" ref="AY65" ca="1" si="249">+AU65*(1+AY66)</f>
        <v>1824.4934771898411</v>
      </c>
      <c r="AZ65" s="109">
        <f t="shared" ref="AZ65" ca="1" si="250">+AV65*(1+AZ66)</f>
        <v>1763.1944623903973</v>
      </c>
    </row>
    <row r="66" spans="2:52" outlineLevel="2">
      <c r="B66" s="52" t="s">
        <v>270</v>
      </c>
      <c r="E66" s="10"/>
      <c r="F66" s="10"/>
      <c r="G66" s="10"/>
      <c r="H66" s="10"/>
      <c r="I66" s="4">
        <f t="shared" ref="I66:N66" ca="1" si="251">+I65/H65-1</f>
        <v>1.4733711734457255E-2</v>
      </c>
      <c r="J66" s="4">
        <f t="shared" ca="1" si="251"/>
        <v>-8.9936100895604221E-2</v>
      </c>
      <c r="K66" s="4">
        <f t="shared" ca="1" si="251"/>
        <v>-0.13047571710829098</v>
      </c>
      <c r="L66" s="4">
        <f t="shared" ca="1" si="251"/>
        <v>-0.11292943447404924</v>
      </c>
      <c r="M66" s="4">
        <f t="shared" ca="1" si="251"/>
        <v>-9.2896299557934103E-2</v>
      </c>
      <c r="N66" s="4">
        <f t="shared" ca="1" si="251"/>
        <v>-7.2863894558176767E-2</v>
      </c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4"/>
      <c r="Z66" s="4"/>
      <c r="AA66" s="4"/>
      <c r="AB66" s="215"/>
      <c r="AC66" s="4">
        <f t="shared" ref="AC66:AN66" ca="1" si="252">AC65/Y65-1</f>
        <v>9.6168448171588983E-2</v>
      </c>
      <c r="AD66" s="4">
        <f t="shared" si="252"/>
        <v>-5.0625258799171791E-2</v>
      </c>
      <c r="AE66" s="4">
        <f t="shared" si="252"/>
        <v>-1.5686230225133269E-2</v>
      </c>
      <c r="AF66" s="215">
        <f t="shared" si="252"/>
        <v>5.4026933464976779E-2</v>
      </c>
      <c r="AG66" s="4">
        <f t="shared" ca="1" si="252"/>
        <v>4.5412761379439504E-2</v>
      </c>
      <c r="AH66" s="4">
        <f t="shared" ca="1" si="252"/>
        <v>-1.1866723306797056E-3</v>
      </c>
      <c r="AI66" s="4">
        <f t="shared" ca="1" si="252"/>
        <v>-0.1951291478996231</v>
      </c>
      <c r="AJ66" s="215">
        <f t="shared" ca="1" si="252"/>
        <v>-0.18058990853418477</v>
      </c>
      <c r="AK66" s="4">
        <f t="shared" ca="1" si="252"/>
        <v>-0.21344626858783156</v>
      </c>
      <c r="AL66" s="4">
        <f t="shared" ca="1" si="252"/>
        <v>-0.12092733755264296</v>
      </c>
      <c r="AM66" s="4">
        <f t="shared" ca="1" si="252"/>
        <v>-5.9528040308875596E-2</v>
      </c>
      <c r="AN66" s="215">
        <f t="shared" ca="1" si="252"/>
        <v>-0.12547777615669176</v>
      </c>
      <c r="AO66" s="234">
        <f t="shared" ref="AO66:AV66" ca="1" si="253">+AN66+0.005</f>
        <v>-0.12047777615669175</v>
      </c>
      <c r="AP66" s="66">
        <f t="shared" ca="1" si="253"/>
        <v>-0.11547777615669175</v>
      </c>
      <c r="AQ66" s="66">
        <f t="shared" ca="1" si="253"/>
        <v>-0.11047777615669174</v>
      </c>
      <c r="AR66" s="246">
        <f t="shared" ca="1" si="253"/>
        <v>-0.10547777615669174</v>
      </c>
      <c r="AS66" s="234">
        <f t="shared" ca="1" si="253"/>
        <v>-0.10047777615669173</v>
      </c>
      <c r="AT66" s="66">
        <f t="shared" ca="1" si="253"/>
        <v>-9.5477776156691729E-2</v>
      </c>
      <c r="AU66" s="66">
        <f t="shared" ca="1" si="253"/>
        <v>-9.0477776156691725E-2</v>
      </c>
      <c r="AV66" s="246">
        <f t="shared" ca="1" si="253"/>
        <v>-8.547777615669172E-2</v>
      </c>
      <c r="AW66" s="234">
        <f t="shared" ref="AW66" ca="1" si="254">+AV66+0.005</f>
        <v>-8.0477776156691716E-2</v>
      </c>
      <c r="AX66" s="66">
        <f t="shared" ref="AX66" ca="1" si="255">+AW66+0.005</f>
        <v>-7.5477776156691712E-2</v>
      </c>
      <c r="AY66" s="66">
        <f t="shared" ref="AY66" ca="1" si="256">+AX66+0.005</f>
        <v>-7.0477776156691707E-2</v>
      </c>
      <c r="AZ66" s="66">
        <f t="shared" ref="AZ66" ca="1" si="257">+AY66+0.005</f>
        <v>-6.5477776156691703E-2</v>
      </c>
    </row>
    <row r="67" spans="2:52" outlineLevel="2">
      <c r="B67" s="52" t="s">
        <v>322</v>
      </c>
      <c r="E67" s="10"/>
      <c r="F67" s="10"/>
      <c r="G67" s="10"/>
      <c r="H67" s="152">
        <f t="shared" ref="H67:M67" ca="1" si="258">+H57/H65</f>
        <v>0.89657441312292319</v>
      </c>
      <c r="I67" s="152">
        <f t="shared" ca="1" si="258"/>
        <v>1.506378036510321</v>
      </c>
      <c r="J67" s="152">
        <f t="shared" ca="1" si="258"/>
        <v>2.0459994195005713</v>
      </c>
      <c r="K67" s="152">
        <f t="shared" ca="1" si="258"/>
        <v>2.8778921115042313</v>
      </c>
      <c r="L67" s="152">
        <f t="shared" ca="1" si="258"/>
        <v>4.15288621879189</v>
      </c>
      <c r="M67" s="152">
        <f t="shared" ca="1" si="258"/>
        <v>5.4655985906047349</v>
      </c>
      <c r="N67" s="152">
        <f t="shared" ref="N67" ca="1" si="259">+N57/N65</f>
        <v>6.7459286499342186</v>
      </c>
      <c r="Y67" s="152">
        <f t="shared" ref="Y67:AM67" ca="1" si="260">(Y75+Y81)/Y78/Y25</f>
        <v>0.97804630344660803</v>
      </c>
      <c r="Z67" s="152">
        <f t="shared" si="260"/>
        <v>0.68571428571428572</v>
      </c>
      <c r="AA67" s="152">
        <f t="shared" si="260"/>
        <v>0.88431253785584474</v>
      </c>
      <c r="AB67" s="252">
        <f t="shared" si="260"/>
        <v>1.0727969348659003</v>
      </c>
      <c r="AC67" s="152">
        <f t="shared" ca="1" si="260"/>
        <v>1.4180426384645812</v>
      </c>
      <c r="AD67" s="152">
        <f t="shared" si="260"/>
        <v>1.3793103448275861</v>
      </c>
      <c r="AE67" s="152">
        <f t="shared" si="260"/>
        <v>1.5652173913043481</v>
      </c>
      <c r="AF67" s="252">
        <f t="shared" si="260"/>
        <v>1.6422287390029329</v>
      </c>
      <c r="AG67" s="152">
        <f t="shared" ca="1" si="260"/>
        <v>2.0069036328350482</v>
      </c>
      <c r="AH67" s="152">
        <f t="shared" ca="1" si="260"/>
        <v>1.9776714513556612</v>
      </c>
      <c r="AI67" s="152">
        <f t="shared" ca="1" si="260"/>
        <v>2.0915032679738563</v>
      </c>
      <c r="AJ67" s="252">
        <f t="shared" ca="1" si="260"/>
        <v>2.1224489795918369</v>
      </c>
      <c r="AK67" s="152">
        <f t="shared" ca="1" si="260"/>
        <v>2.6049795615013003</v>
      </c>
      <c r="AL67" s="152">
        <f t="shared" ca="1" si="260"/>
        <v>2.7937615034389216</v>
      </c>
      <c r="AM67" s="152">
        <f t="shared" si="260"/>
        <v>2.8460038986354768</v>
      </c>
      <c r="AN67" s="252">
        <f t="shared" ref="AN67" si="261">(AN75+AN81)/AN78/AN25</f>
        <v>3.2646048109965617</v>
      </c>
      <c r="AO67" s="152">
        <f t="shared" ref="AO67:AV67" ca="1" si="262">+AO57/AO65</f>
        <v>4.069338246871685</v>
      </c>
      <c r="AP67" s="152">
        <f t="shared" ca="1" si="262"/>
        <v>3.5538473294327879</v>
      </c>
      <c r="AQ67" s="152">
        <f t="shared" ca="1" si="262"/>
        <v>4.3803820097854018</v>
      </c>
      <c r="AR67" s="252">
        <f t="shared" ca="1" si="262"/>
        <v>4.6935319914122848</v>
      </c>
      <c r="AS67" s="152">
        <f t="shared" ca="1" si="262"/>
        <v>5.6486171373750951</v>
      </c>
      <c r="AT67" s="152">
        <f t="shared" ca="1" si="262"/>
        <v>4.7343611514655493</v>
      </c>
      <c r="AU67" s="152">
        <f t="shared" ca="1" si="262"/>
        <v>5.7910965034485811</v>
      </c>
      <c r="AV67" s="252">
        <f t="shared" ca="1" si="262"/>
        <v>5.8105805544138276</v>
      </c>
      <c r="AW67" s="152">
        <f t="shared" ref="AW67:AZ67" ca="1" si="263">+AW57/AW65</f>
        <v>7.1042334070117015</v>
      </c>
      <c r="AX67" s="152">
        <f t="shared" ca="1" si="263"/>
        <v>5.8591529828833551</v>
      </c>
      <c r="AY67" s="152">
        <f t="shared" ca="1" si="263"/>
        <v>7.0419894145383699</v>
      </c>
      <c r="AZ67" s="152">
        <f t="shared" ca="1" si="263"/>
        <v>7.1403006105960047</v>
      </c>
    </row>
    <row r="68" spans="2:52" outlineLevel="2">
      <c r="B68" s="52"/>
      <c r="E68" s="10"/>
      <c r="F68" s="10"/>
      <c r="G68" s="10"/>
      <c r="H68" s="10"/>
      <c r="I68" s="10"/>
      <c r="J68" s="10"/>
      <c r="Y68" s="152"/>
      <c r="Z68" s="152"/>
      <c r="AA68" s="152"/>
      <c r="AB68" s="252"/>
      <c r="AC68" s="152"/>
      <c r="AD68" s="152"/>
      <c r="AE68" s="152"/>
      <c r="AF68" s="252"/>
      <c r="AG68" s="152"/>
      <c r="AH68" s="152"/>
      <c r="AI68" s="152"/>
      <c r="AJ68" s="252"/>
    </row>
    <row r="69" spans="2:52" outlineLevel="2">
      <c r="B69" s="11" t="s">
        <v>321</v>
      </c>
      <c r="E69" s="10"/>
      <c r="F69" s="10"/>
      <c r="G69" s="10"/>
      <c r="H69" s="152"/>
      <c r="I69" s="152">
        <f t="shared" ref="I69:M69" ca="1" si="264">+I59/I36</f>
        <v>67.55058347993797</v>
      </c>
      <c r="J69" s="152">
        <f t="shared" ca="1" si="264"/>
        <v>67.415879812330289</v>
      </c>
      <c r="K69" s="152">
        <f t="shared" ca="1" si="264"/>
        <v>60.157224249500445</v>
      </c>
      <c r="L69" s="152">
        <f t="shared" ca="1" si="264"/>
        <v>64.183686607174536</v>
      </c>
      <c r="M69" s="152">
        <f t="shared" ca="1" si="264"/>
        <v>68.641343405214414</v>
      </c>
      <c r="N69" s="152">
        <f t="shared" ref="N69" ca="1" si="265">+N59/N36</f>
        <v>71.525928500054619</v>
      </c>
      <c r="U69" s="10"/>
      <c r="V69" s="10"/>
      <c r="W69" s="10"/>
      <c r="X69" s="10"/>
      <c r="Y69" s="152"/>
      <c r="Z69" s="152"/>
      <c r="AA69" s="152"/>
      <c r="AB69" s="252"/>
      <c r="AC69" s="152">
        <f t="shared" ref="AC69:AM69" ca="1" si="266">+AC59/AC36</f>
        <v>14.834310030239985</v>
      </c>
      <c r="AD69" s="152">
        <f t="shared" si="266"/>
        <v>15.580778480937905</v>
      </c>
      <c r="AE69" s="152">
        <f t="shared" si="266"/>
        <v>17.409822304283402</v>
      </c>
      <c r="AF69" s="252">
        <f t="shared" si="266"/>
        <v>19.555482652600205</v>
      </c>
      <c r="AG69" s="152">
        <f t="shared" ca="1" si="266"/>
        <v>19.635300265239671</v>
      </c>
      <c r="AH69" s="152">
        <f t="shared" ca="1" si="266"/>
        <v>18.795412288812123</v>
      </c>
      <c r="AI69" s="152">
        <f t="shared" ca="1" si="266"/>
        <v>15.09397355632602</v>
      </c>
      <c r="AJ69" s="252">
        <f t="shared" ca="1" si="266"/>
        <v>14.775633275851892</v>
      </c>
      <c r="AK69" s="152">
        <f t="shared" ca="1" si="266"/>
        <v>13.795968287618702</v>
      </c>
      <c r="AL69" s="152">
        <f t="shared" ca="1" si="266"/>
        <v>17.067186323854745</v>
      </c>
      <c r="AM69" s="152">
        <f t="shared" si="266"/>
        <v>14.331800468389579</v>
      </c>
      <c r="AN69" s="252">
        <f t="shared" ref="AN69" si="267">+AN59/AN36</f>
        <v>14.94261482997906</v>
      </c>
      <c r="AO69" s="152">
        <f t="shared" ref="AO69:AV69" ca="1" si="268">+AK69*(1+AO70)</f>
        <v>14.2635136528861</v>
      </c>
      <c r="AP69" s="152">
        <f t="shared" ca="1" si="268"/>
        <v>15.872483281184913</v>
      </c>
      <c r="AQ69" s="152">
        <f t="shared" si="268"/>
        <v>16.983183555041652</v>
      </c>
      <c r="AR69" s="252">
        <f t="shared" si="268"/>
        <v>17.034580906176132</v>
      </c>
      <c r="AS69" s="152">
        <f t="shared" ca="1" si="268"/>
        <v>15.689865018174713</v>
      </c>
      <c r="AT69" s="152">
        <f t="shared" ca="1" si="268"/>
        <v>17.142281943679706</v>
      </c>
      <c r="AU69" s="152">
        <f t="shared" si="268"/>
        <v>18.426754157220191</v>
      </c>
      <c r="AV69" s="252">
        <f t="shared" si="268"/>
        <v>17.375272524299653</v>
      </c>
      <c r="AW69" s="152">
        <f t="shared" ref="AW69" ca="1" si="269">+AS69*(1+AW70)</f>
        <v>16.474358269083449</v>
      </c>
      <c r="AX69" s="152">
        <f t="shared" ref="AX69" ca="1" si="270">+AT69*(1+AX70)</f>
        <v>17.827973221426895</v>
      </c>
      <c r="AY69" s="152">
        <f t="shared" ref="AY69" si="271">+AU69*(1+AY70)</f>
        <v>18.979556781936797</v>
      </c>
      <c r="AZ69" s="152">
        <f t="shared" ref="AZ69" si="272">+AV69*(1+AZ70)</f>
        <v>18.244036150514638</v>
      </c>
    </row>
    <row r="70" spans="2:52" outlineLevel="2">
      <c r="B70" s="3" t="s">
        <v>128</v>
      </c>
      <c r="E70" s="10"/>
      <c r="F70" s="10"/>
      <c r="G70" s="10"/>
      <c r="H70" s="10"/>
      <c r="I70" s="4"/>
      <c r="J70" s="4">
        <f ca="1">J69/I69-1</f>
        <v>-1.9941155304408209E-3</v>
      </c>
      <c r="K70" s="4">
        <f ca="1">K69/J69-1</f>
        <v>-0.10766981878803938</v>
      </c>
      <c r="L70" s="4">
        <f ca="1">L69/K69-1</f>
        <v>6.6932316241428369E-2</v>
      </c>
      <c r="M70" s="4">
        <f ca="1">M69/L69-1</f>
        <v>6.9451554338444632E-2</v>
      </c>
      <c r="N70" s="4">
        <f ca="1">N69/M69-1</f>
        <v>4.2024018641527272E-2</v>
      </c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241"/>
      <c r="AC70" s="4"/>
      <c r="AD70" s="4"/>
      <c r="AE70" s="4"/>
      <c r="AF70" s="215"/>
      <c r="AG70" s="4">
        <f t="shared" ref="AG70:AN70" ca="1" si="273">AG69/AC69-1</f>
        <v>0.32364095298081197</v>
      </c>
      <c r="AH70" s="4">
        <f t="shared" ca="1" si="273"/>
        <v>0.20632048724697039</v>
      </c>
      <c r="AI70" s="4">
        <f t="shared" ca="1" si="273"/>
        <v>-0.13301966599553439</v>
      </c>
      <c r="AJ70" s="215">
        <f t="shared" ca="1" si="273"/>
        <v>-0.24442502707100189</v>
      </c>
      <c r="AK70" s="4">
        <f t="shared" ca="1" si="273"/>
        <v>-0.29738949232970602</v>
      </c>
      <c r="AL70" s="4">
        <f t="shared" ca="1" si="273"/>
        <v>-9.1949351171514149E-2</v>
      </c>
      <c r="AM70" s="4">
        <f t="shared" ca="1" si="273"/>
        <v>-5.0495191679795104E-2</v>
      </c>
      <c r="AN70" s="215">
        <f t="shared" ca="1" si="273"/>
        <v>1.1301143647092893E-2</v>
      </c>
      <c r="AO70" s="234">
        <v>3.3890000000000003E-2</v>
      </c>
      <c r="AP70" s="66">
        <v>-7.0000000000000007E-2</v>
      </c>
      <c r="AQ70" s="66">
        <v>0.185</v>
      </c>
      <c r="AR70" s="246">
        <v>0.14000000000000001</v>
      </c>
      <c r="AS70" s="234">
        <v>0.1</v>
      </c>
      <c r="AT70" s="66">
        <v>0.08</v>
      </c>
      <c r="AU70" s="66">
        <v>8.5000000000000006E-2</v>
      </c>
      <c r="AV70" s="246">
        <v>0.02</v>
      </c>
      <c r="AW70" s="234">
        <v>0.05</v>
      </c>
      <c r="AX70" s="66">
        <v>0.04</v>
      </c>
      <c r="AY70" s="66">
        <v>0.03</v>
      </c>
      <c r="AZ70" s="66">
        <v>0.05</v>
      </c>
    </row>
    <row r="71" spans="2:52" outlineLevel="2">
      <c r="B71" s="3"/>
      <c r="E71" s="10"/>
      <c r="F71" s="10"/>
      <c r="G71" s="10"/>
      <c r="H71" s="10"/>
      <c r="I71" s="10"/>
      <c r="J71" s="10"/>
      <c r="U71" s="10"/>
      <c r="V71" s="10"/>
      <c r="W71" s="10"/>
      <c r="X71" s="10"/>
      <c r="Y71" s="10"/>
      <c r="Z71" s="10"/>
      <c r="AA71" s="10"/>
      <c r="AB71" s="255"/>
      <c r="AC71" s="38"/>
      <c r="AD71" s="38"/>
      <c r="AE71" s="38"/>
      <c r="AF71" s="218"/>
      <c r="AG71" s="38"/>
      <c r="AH71" s="38"/>
      <c r="AI71" s="38"/>
      <c r="AJ71" s="218"/>
      <c r="AK71" s="38"/>
      <c r="AL71" s="38"/>
      <c r="AM71" s="38"/>
      <c r="AN71" s="218"/>
      <c r="AO71" s="38"/>
      <c r="AP71" s="38"/>
      <c r="AQ71" s="38"/>
      <c r="AR71" s="218"/>
      <c r="AS71" s="38"/>
      <c r="AT71" s="38"/>
      <c r="AU71" s="38"/>
      <c r="AV71" s="218"/>
      <c r="AW71" s="38"/>
      <c r="AX71" s="38"/>
      <c r="AY71" s="38"/>
      <c r="AZ71" s="38"/>
    </row>
    <row r="72" spans="2:52" outlineLevel="2">
      <c r="B72" s="57" t="s">
        <v>678</v>
      </c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232"/>
      <c r="AC72" s="56"/>
      <c r="AD72" s="56"/>
      <c r="AE72" s="56"/>
      <c r="AF72" s="232"/>
      <c r="AG72" s="56"/>
      <c r="AH72" s="56"/>
      <c r="AI72" s="56"/>
      <c r="AJ72" s="232"/>
      <c r="AK72" s="56"/>
      <c r="AL72" s="56"/>
      <c r="AM72" s="56"/>
      <c r="AN72" s="232"/>
      <c r="AO72" s="56"/>
      <c r="AP72" s="56"/>
      <c r="AQ72" s="56"/>
      <c r="AR72" s="232"/>
      <c r="AS72" s="56"/>
      <c r="AT72" s="56"/>
      <c r="AU72" s="56"/>
      <c r="AV72" s="232"/>
      <c r="AW72" s="56"/>
      <c r="AX72" s="56"/>
      <c r="AY72" s="56"/>
      <c r="AZ72" s="56"/>
    </row>
    <row r="73" spans="2:52" outlineLevel="2">
      <c r="B73" s="1" t="s">
        <v>136</v>
      </c>
      <c r="C73" s="1" t="s">
        <v>88</v>
      </c>
      <c r="D73" s="1" t="s">
        <v>319</v>
      </c>
      <c r="E73" s="120">
        <v>14489.767</v>
      </c>
      <c r="F73" s="120">
        <v>22245.643</v>
      </c>
      <c r="G73" s="2">
        <f t="shared" ref="G73:N73" ca="1" si="274">SUM(OFFSET($P73,0,G$1,1,4))</f>
        <v>29590.275999999998</v>
      </c>
      <c r="H73" s="2">
        <f t="shared" ca="1" si="274"/>
        <v>43727.459000000003</v>
      </c>
      <c r="I73" s="2">
        <f t="shared" ca="1" si="274"/>
        <v>56312.320600000006</v>
      </c>
      <c r="J73" s="2">
        <f t="shared" ca="1" si="274"/>
        <v>55375.031000000003</v>
      </c>
      <c r="K73" s="2">
        <f t="shared" ca="1" si="274"/>
        <v>62162.542084177418</v>
      </c>
      <c r="L73" s="2">
        <f t="shared" ca="1" si="274"/>
        <v>74669.932567470314</v>
      </c>
      <c r="M73" s="2">
        <f t="shared" ca="1" si="274"/>
        <v>89734.394000721906</v>
      </c>
      <c r="N73" s="2">
        <f t="shared" ca="1" si="274"/>
        <v>103931.64327677251</v>
      </c>
      <c r="O73" s="109"/>
      <c r="P73" s="109"/>
      <c r="Q73" s="109">
        <f>BIDU_IS!Q301</f>
        <v>4172.9569999999994</v>
      </c>
      <c r="R73" s="109">
        <f>BIDU_IS!R301</f>
        <v>5350.3850000000002</v>
      </c>
      <c r="S73" s="109">
        <f>BIDU_IS!S301</f>
        <v>6101.9009999999998</v>
      </c>
      <c r="T73" s="109">
        <f>BIDU_IS!T301</f>
        <v>6151.4960000000001</v>
      </c>
      <c r="U73" s="109">
        <f>BIDU_IS!U301</f>
        <v>5623.2785507117924</v>
      </c>
      <c r="V73" s="109">
        <f>BIDU_IS!V301</f>
        <v>7114.7081028187704</v>
      </c>
      <c r="W73" s="109">
        <f>BIDU_IS!W301</f>
        <v>8245.0122299652066</v>
      </c>
      <c r="X73" s="109">
        <f>BIDU_IS!X301</f>
        <v>8607.2771165042286</v>
      </c>
      <c r="Y73" s="109">
        <f>BIDU_IS!Y301</f>
        <v>8653.5691289591741</v>
      </c>
      <c r="Z73" s="109">
        <f>BIDU_IS!Z301</f>
        <v>10862.541085637542</v>
      </c>
      <c r="AA73" s="109">
        <f>BIDU_IS!AA301</f>
        <v>12130.891639432159</v>
      </c>
      <c r="AB73" s="249">
        <f>BIDU_IS!AB301</f>
        <v>12080.457145971128</v>
      </c>
      <c r="AC73" s="109">
        <f>BIDU_IS!AC301</f>
        <v>11311.389820992161</v>
      </c>
      <c r="AD73" s="109">
        <f>BIDU_IS!AD301</f>
        <v>14678.845938174265</v>
      </c>
      <c r="AE73" s="109">
        <f>BIDU_IS!AE301</f>
        <v>15529.358430817852</v>
      </c>
      <c r="AF73" s="249">
        <f>BIDU_IS!AF301</f>
        <v>14792.726410015723</v>
      </c>
      <c r="AG73" s="109">
        <f>BIDU_IS!AG301</f>
        <v>13246.699000000001</v>
      </c>
      <c r="AH73" s="109">
        <f ca="1">BIDU_IS!AH301</f>
        <v>14513.594369405577</v>
      </c>
      <c r="AI73" s="109">
        <f ca="1">BIDU_IS!AI301</f>
        <v>13909.846759044915</v>
      </c>
      <c r="AJ73" s="249">
        <f ca="1">BIDU_IS!AJ301</f>
        <v>13704.890871549513</v>
      </c>
      <c r="AK73" s="109">
        <f>BIDU_IS!AK301</f>
        <v>12420.545</v>
      </c>
      <c r="AL73" s="109">
        <f>BIDU_IS!AL301</f>
        <v>15157.260316498114</v>
      </c>
      <c r="AM73" s="109">
        <f>BIDU_IS!AM301</f>
        <v>17002.254001718098</v>
      </c>
      <c r="AN73" s="249">
        <f>BIDU_IS!AN301</f>
        <v>17582.482765961206</v>
      </c>
      <c r="AO73" s="109">
        <f t="shared" ref="AO73:AV73" ca="1" si="275">+AO75+AO78+AO81</f>
        <v>15429.569767841891</v>
      </c>
      <c r="AP73" s="109">
        <f t="shared" ca="1" si="275"/>
        <v>18649.224389548417</v>
      </c>
      <c r="AQ73" s="109">
        <f t="shared" ca="1" si="275"/>
        <v>20195.156454298623</v>
      </c>
      <c r="AR73" s="249">
        <f t="shared" ca="1" si="275"/>
        <v>20395.981955781386</v>
      </c>
      <c r="AS73" s="109">
        <f t="shared" ca="1" si="275"/>
        <v>19331.850244958681</v>
      </c>
      <c r="AT73" s="109">
        <f t="shared" ca="1" si="275"/>
        <v>22427.272851256563</v>
      </c>
      <c r="AU73" s="109">
        <f t="shared" ca="1" si="275"/>
        <v>24529.04541659739</v>
      </c>
      <c r="AV73" s="249">
        <f t="shared" ca="1" si="275"/>
        <v>23446.225487909262</v>
      </c>
      <c r="AW73" s="109">
        <f t="shared" ref="AW73:AZ73" ca="1" si="276">+AW75+AW78+AW81</f>
        <v>22732.986137669712</v>
      </c>
      <c r="AX73" s="109">
        <f t="shared" ca="1" si="276"/>
        <v>25835.296257834423</v>
      </c>
      <c r="AY73" s="109">
        <f t="shared" ca="1" si="276"/>
        <v>28057.466611633678</v>
      </c>
      <c r="AZ73" s="109">
        <f t="shared" ca="1" si="276"/>
        <v>27305.894269634693</v>
      </c>
    </row>
    <row r="74" spans="2:52" outlineLevel="2">
      <c r="B74" s="3" t="s">
        <v>128</v>
      </c>
      <c r="E74" s="10"/>
      <c r="F74" s="4">
        <f t="shared" ref="F74:N74" si="277">+F73/E73-1</f>
        <v>0.53526574995995446</v>
      </c>
      <c r="G74" s="4">
        <f t="shared" ca="1" si="277"/>
        <v>0.33016051727522555</v>
      </c>
      <c r="H74" s="4">
        <f t="shared" ca="1" si="277"/>
        <v>0.47776448587367026</v>
      </c>
      <c r="I74" s="4">
        <f t="shared" ca="1" si="277"/>
        <v>0.2878022617321534</v>
      </c>
      <c r="J74" s="4">
        <f t="shared" ca="1" si="277"/>
        <v>-1.6644485434329725E-2</v>
      </c>
      <c r="K74" s="4">
        <f t="shared" ca="1" si="277"/>
        <v>0.12257349497786141</v>
      </c>
      <c r="L74" s="4">
        <f t="shared" ca="1" si="277"/>
        <v>0.20120461718499238</v>
      </c>
      <c r="M74" s="4">
        <f t="shared" ca="1" si="277"/>
        <v>0.2017473555321565</v>
      </c>
      <c r="N74" s="4">
        <f t="shared" ca="1" si="277"/>
        <v>0.15821413220817404</v>
      </c>
      <c r="O74" s="71"/>
      <c r="P74" s="71"/>
      <c r="Q74" s="71"/>
      <c r="R74" s="71"/>
      <c r="S74" s="71"/>
      <c r="T74" s="71"/>
      <c r="U74" s="4">
        <f t="shared" ref="U74:AV74" si="278">+U73/Q73-1</f>
        <v>0.34755247914411602</v>
      </c>
      <c r="V74" s="4">
        <f t="shared" si="278"/>
        <v>0.32975628909298482</v>
      </c>
      <c r="W74" s="4">
        <f t="shared" si="278"/>
        <v>0.35122025578015892</v>
      </c>
      <c r="X74" s="4">
        <f t="shared" si="278"/>
        <v>0.39921689236313052</v>
      </c>
      <c r="Y74" s="4">
        <f t="shared" si="278"/>
        <v>0.53888324238602925</v>
      </c>
      <c r="Z74" s="4">
        <f t="shared" si="278"/>
        <v>0.52677255744812923</v>
      </c>
      <c r="AA74" s="4">
        <f t="shared" si="278"/>
        <v>0.47130062407237339</v>
      </c>
      <c r="AB74" s="215">
        <f t="shared" si="278"/>
        <v>0.40351669668066892</v>
      </c>
      <c r="AC74" s="4">
        <f t="shared" si="278"/>
        <v>0.30713577859320362</v>
      </c>
      <c r="AD74" s="4">
        <f t="shared" si="278"/>
        <v>0.35132708106233479</v>
      </c>
      <c r="AE74" s="4">
        <f t="shared" si="278"/>
        <v>0.28014979379906269</v>
      </c>
      <c r="AF74" s="215">
        <f t="shared" si="278"/>
        <v>0.22451710488035181</v>
      </c>
      <c r="AG74" s="4">
        <f t="shared" si="278"/>
        <v>0.17109384519806836</v>
      </c>
      <c r="AH74" s="4">
        <f t="shared" ca="1" si="278"/>
        <v>-1.1257803880816653E-2</v>
      </c>
      <c r="AI74" s="4">
        <f t="shared" ca="1" si="278"/>
        <v>-0.10428709460134766</v>
      </c>
      <c r="AJ74" s="215">
        <f t="shared" ca="1" si="278"/>
        <v>-7.3538542410252927E-2</v>
      </c>
      <c r="AK74" s="4">
        <f t="shared" si="278"/>
        <v>-6.2366782849070601E-2</v>
      </c>
      <c r="AL74" s="4">
        <f t="shared" ca="1" si="278"/>
        <v>4.434917572516528E-2</v>
      </c>
      <c r="AM74" s="4">
        <f t="shared" ca="1" si="278"/>
        <v>0.22231785124896053</v>
      </c>
      <c r="AN74" s="215">
        <f t="shared" ca="1" si="278"/>
        <v>0.28293489753072953</v>
      </c>
      <c r="AO74" s="4">
        <f t="shared" ca="1" si="278"/>
        <v>0.24226189493632444</v>
      </c>
      <c r="AP74" s="4">
        <f t="shared" ca="1" si="278"/>
        <v>0.23038227226654073</v>
      </c>
      <c r="AQ74" s="4">
        <f t="shared" ca="1" si="278"/>
        <v>0.18779289218111184</v>
      </c>
      <c r="AR74" s="215">
        <f t="shared" ca="1" si="278"/>
        <v>0.1600171731871094</v>
      </c>
      <c r="AS74" s="4">
        <f t="shared" ca="1" si="278"/>
        <v>0.2529092214385571</v>
      </c>
      <c r="AT74" s="4">
        <f t="shared" ca="1" si="278"/>
        <v>0.20258475005670884</v>
      </c>
      <c r="AU74" s="4">
        <f t="shared" ca="1" si="278"/>
        <v>0.21460041530781404</v>
      </c>
      <c r="AV74" s="215">
        <f t="shared" ca="1" si="278"/>
        <v>0.14955119781635529</v>
      </c>
      <c r="AW74" s="4">
        <f t="shared" ref="AW74" ca="1" si="279">+AW73/AS73-1</f>
        <v>0.17593431821653871</v>
      </c>
      <c r="AX74" s="4">
        <f t="shared" ref="AX74" ca="1" si="280">+AX73/AT73-1</f>
        <v>0.15195888636040356</v>
      </c>
      <c r="AY74" s="4">
        <f t="shared" ref="AY74" ca="1" si="281">+AY73/AU73-1</f>
        <v>0.14384665750787051</v>
      </c>
      <c r="AZ74" s="4">
        <f t="shared" ref="AZ74" ca="1" si="282">+AZ73/AV73-1</f>
        <v>0.16461791616376731</v>
      </c>
    </row>
    <row r="75" spans="2:52" outlineLevel="2">
      <c r="B75" s="3" t="s">
        <v>320</v>
      </c>
      <c r="G75" s="10"/>
      <c r="H75" s="2">
        <f t="shared" ref="H75:N75" ca="1" si="283">SUM(OFFSET($P75,0,H$1,1,4))</f>
        <v>15960.522535</v>
      </c>
      <c r="I75" s="2">
        <f t="shared" ca="1" si="283"/>
        <v>29643.979466000004</v>
      </c>
      <c r="J75" s="2">
        <f t="shared" ca="1" si="283"/>
        <v>34892.691850152187</v>
      </c>
      <c r="K75" s="2">
        <f t="shared" ca="1" si="283"/>
        <v>40422.800182970364</v>
      </c>
      <c r="L75" s="2">
        <f t="shared" ca="1" si="283"/>
        <v>49756.295768724231</v>
      </c>
      <c r="M75" s="2">
        <f t="shared" ca="1" si="283"/>
        <v>59950.469995888321</v>
      </c>
      <c r="N75" s="2">
        <f t="shared" ca="1" si="283"/>
        <v>68278.10350466377</v>
      </c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>
        <f ca="1">+H75-SUM(Z75:AB75)</f>
        <v>3200.1927596081259</v>
      </c>
      <c r="Z75" s="109">
        <f>+Z73*Z76-Z81</f>
        <v>3258.7623256912625</v>
      </c>
      <c r="AA75" s="109">
        <f>+AA73*AA76-AA81</f>
        <v>4427.7754483927374</v>
      </c>
      <c r="AB75" s="249">
        <f>+AB73*AB76-AB81</f>
        <v>5073.7920013078738</v>
      </c>
      <c r="AC75" s="109">
        <f ca="1">I75-SUM(AD75:AF75)</f>
        <v>5634.7761546624242</v>
      </c>
      <c r="AD75" s="109">
        <f>+AD73*AD76-AD81</f>
        <v>7339.4229690871325</v>
      </c>
      <c r="AE75" s="109">
        <f>+AE73*AE76-AE81</f>
        <v>8385.8535526416417</v>
      </c>
      <c r="AF75" s="249">
        <f>+AF73*AF76-AF81</f>
        <v>8283.9267896088058</v>
      </c>
      <c r="AG75" s="109">
        <f ca="1">J75-SUM(AH75:AJ75)</f>
        <v>8162.6143549820044</v>
      </c>
      <c r="AH75" s="109">
        <f t="shared" ref="AH75:AM75" ca="1" si="284">+AH73*AH76-AH81</f>
        <v>8998.428509031457</v>
      </c>
      <c r="AI75" s="109">
        <f t="shared" ca="1" si="284"/>
        <v>8902.3019257887463</v>
      </c>
      <c r="AJ75" s="249">
        <f t="shared" ca="1" si="284"/>
        <v>8829.3470603499809</v>
      </c>
      <c r="AK75" s="109">
        <f t="shared" ca="1" si="284"/>
        <v>8419.4525427514855</v>
      </c>
      <c r="AL75" s="109">
        <f t="shared" ca="1" si="284"/>
        <v>9904.9635668341543</v>
      </c>
      <c r="AM75" s="109">
        <f t="shared" si="284"/>
        <v>10748.320421254211</v>
      </c>
      <c r="AN75" s="249">
        <f t="shared" ref="AN75" si="285">+AN73*AN76-AN81</f>
        <v>11350.063652130515</v>
      </c>
      <c r="AO75" s="109">
        <f ca="1">+AO21*AO59</f>
        <v>10383.427088318827</v>
      </c>
      <c r="AP75" s="204">
        <f t="shared" ref="AP75:AZ75" ca="1" si="286">+AP21*AP59</f>
        <v>12184.241927333509</v>
      </c>
      <c r="AQ75" s="204">
        <f t="shared" ca="1" si="286"/>
        <v>13556.10980967951</v>
      </c>
      <c r="AR75" s="204">
        <f t="shared" ca="1" si="286"/>
        <v>13632.516943392391</v>
      </c>
      <c r="AS75" s="204">
        <f t="shared" ca="1" si="286"/>
        <v>13060.389177804336</v>
      </c>
      <c r="AT75" s="204">
        <f t="shared" ca="1" si="286"/>
        <v>14880.295630716022</v>
      </c>
      <c r="AU75" s="204">
        <f t="shared" ca="1" si="286"/>
        <v>16554.900661054075</v>
      </c>
      <c r="AV75" s="204">
        <f t="shared" ca="1" si="286"/>
        <v>15454.884526313886</v>
      </c>
      <c r="AW75" s="204">
        <f t="shared" ca="1" si="286"/>
        <v>15136.466073395653</v>
      </c>
      <c r="AX75" s="204">
        <f t="shared" ca="1" si="286"/>
        <v>16883.010779201581</v>
      </c>
      <c r="AY75" s="204">
        <f t="shared" ca="1" si="286"/>
        <v>18549.563879169673</v>
      </c>
      <c r="AZ75" s="204">
        <f t="shared" ca="1" si="286"/>
        <v>17709.062772896872</v>
      </c>
    </row>
    <row r="76" spans="2:52" outlineLevel="2">
      <c r="B76" s="52" t="s">
        <v>317</v>
      </c>
      <c r="D76" s="1" t="s">
        <v>319</v>
      </c>
      <c r="G76" s="40"/>
      <c r="H76" s="60">
        <v>0.36499999999999999</v>
      </c>
      <c r="I76" s="145">
        <v>0.52700000000000002</v>
      </c>
      <c r="J76" s="145">
        <v>0.63</v>
      </c>
      <c r="K76" s="4">
        <f t="shared" ref="K76:N76" ca="1" si="287">(K75+K81)/K73</f>
        <v>0.73049649409589068</v>
      </c>
      <c r="L76" s="4">
        <f t="shared" ca="1" si="287"/>
        <v>0.80544585791557244</v>
      </c>
      <c r="M76" s="4">
        <f t="shared" ca="1" si="287"/>
        <v>0.84830997223221272</v>
      </c>
      <c r="N76" s="4">
        <f t="shared" ca="1" si="287"/>
        <v>0.87555520414942212</v>
      </c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4">
        <f ca="1">+Y75/Y73</f>
        <v>0.3698118905526136</v>
      </c>
      <c r="Z76" s="145">
        <v>0.3</v>
      </c>
      <c r="AA76" s="145">
        <v>0.36499999999999999</v>
      </c>
      <c r="AB76" s="251">
        <v>0.42</v>
      </c>
      <c r="AC76" s="4">
        <f ca="1">+AC75/AC73</f>
        <v>0.49815064672293108</v>
      </c>
      <c r="AD76" s="145">
        <v>0.5</v>
      </c>
      <c r="AE76" s="145">
        <v>0.54</v>
      </c>
      <c r="AF76" s="251">
        <v>0.56000000000000005</v>
      </c>
      <c r="AG76" s="4">
        <f ca="1">+AG75/AG73</f>
        <v>0.61619988156913685</v>
      </c>
      <c r="AH76" s="145">
        <v>0.62</v>
      </c>
      <c r="AI76" s="145">
        <v>0.64</v>
      </c>
      <c r="AJ76" s="251">
        <v>0.65</v>
      </c>
      <c r="AK76" s="145">
        <v>0.70099999999999996</v>
      </c>
      <c r="AL76" s="145">
        <v>0.72099999999999997</v>
      </c>
      <c r="AM76" s="145">
        <v>0.73</v>
      </c>
      <c r="AN76" s="251">
        <v>0.76</v>
      </c>
      <c r="AO76" s="4">
        <f ca="1">(AO75+AO81)/AO73</f>
        <v>0.79951689513783819</v>
      </c>
      <c r="AP76" s="4">
        <f t="shared" ref="AP76:AZ76" ca="1" si="288">(AP75+AP81)/AP73</f>
        <v>0.7786782551083411</v>
      </c>
      <c r="AQ76" s="4">
        <f t="shared" ca="1" si="288"/>
        <v>0.81413959117005419</v>
      </c>
      <c r="AR76" s="215">
        <f t="shared" ca="1" si="288"/>
        <v>0.82579815444172666</v>
      </c>
      <c r="AS76" s="4">
        <f t="shared" ca="1" si="288"/>
        <v>0.85148543659860176</v>
      </c>
      <c r="AT76" s="4">
        <f t="shared" ca="1" si="288"/>
        <v>0.82844541068220956</v>
      </c>
      <c r="AU76" s="4">
        <f t="shared" ca="1" si="288"/>
        <v>0.8558220619195317</v>
      </c>
      <c r="AV76" s="215">
        <f t="shared" ca="1" si="288"/>
        <v>0.85683398610184514</v>
      </c>
      <c r="AW76" s="4">
        <f t="shared" ca="1" si="288"/>
        <v>0.88028083591625672</v>
      </c>
      <c r="AX76" s="4">
        <f t="shared" ca="1" si="288"/>
        <v>0.85902624838353603</v>
      </c>
      <c r="AY76" s="4">
        <f t="shared" ca="1" si="288"/>
        <v>0.88036673250154451</v>
      </c>
      <c r="AZ76" s="4">
        <f t="shared" ca="1" si="288"/>
        <v>0.8823157756833061</v>
      </c>
    </row>
    <row r="77" spans="2:52" outlineLevel="2">
      <c r="B77" s="52" t="s">
        <v>128</v>
      </c>
      <c r="G77" s="40"/>
      <c r="H77" s="4"/>
      <c r="I77" s="4">
        <f t="shared" ref="I77:N77" ca="1" si="289">+I75/H75-1</f>
        <v>0.85733138755284521</v>
      </c>
      <c r="J77" s="4">
        <f t="shared" ca="1" si="289"/>
        <v>0.17705829239870319</v>
      </c>
      <c r="K77" s="4">
        <f t="shared" ca="1" si="289"/>
        <v>0.15848901416283412</v>
      </c>
      <c r="L77" s="4">
        <f t="shared" ca="1" si="289"/>
        <v>0.23089680931322398</v>
      </c>
      <c r="M77" s="4">
        <f t="shared" ca="1" si="289"/>
        <v>0.20488209722340178</v>
      </c>
      <c r="N77" s="4">
        <f t="shared" ca="1" si="289"/>
        <v>0.13890856083941627</v>
      </c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4"/>
      <c r="Z77" s="4"/>
      <c r="AA77" s="4"/>
      <c r="AB77" s="215"/>
      <c r="AC77" s="4">
        <f t="shared" ref="AC77:AV77" ca="1" si="290">+AC75/Y75-1</f>
        <v>0.76076148467769822</v>
      </c>
      <c r="AD77" s="4">
        <f t="shared" si="290"/>
        <v>1.2522118017705579</v>
      </c>
      <c r="AE77" s="4">
        <f t="shared" si="290"/>
        <v>0.89392024288080574</v>
      </c>
      <c r="AF77" s="215">
        <f t="shared" si="290"/>
        <v>0.63268947317380264</v>
      </c>
      <c r="AG77" s="4">
        <f t="shared" ca="1" si="290"/>
        <v>0.4486137746976786</v>
      </c>
      <c r="AH77" s="4">
        <f t="shared" ca="1" si="290"/>
        <v>0.22604032318778722</v>
      </c>
      <c r="AI77" s="4">
        <f t="shared" ca="1" si="290"/>
        <v>6.1585665657661881E-2</v>
      </c>
      <c r="AJ77" s="215">
        <f t="shared" ca="1" si="290"/>
        <v>6.5840788383757731E-2</v>
      </c>
      <c r="AK77" s="4">
        <f t="shared" ca="1" si="290"/>
        <v>3.1465187083439927E-2</v>
      </c>
      <c r="AL77" s="4">
        <f t="shared" ca="1" si="290"/>
        <v>0.10074370840339908</v>
      </c>
      <c r="AM77" s="4">
        <f t="shared" ca="1" si="290"/>
        <v>0.20736417511495575</v>
      </c>
      <c r="AN77" s="215">
        <f t="shared" ca="1" si="290"/>
        <v>0.28549297864848189</v>
      </c>
      <c r="AO77" s="4">
        <f t="shared" ca="1" si="290"/>
        <v>0.23326630034374096</v>
      </c>
      <c r="AP77" s="4">
        <f t="shared" ca="1" si="290"/>
        <v>0.23011476469548109</v>
      </c>
      <c r="AQ77" s="4">
        <f t="shared" ca="1" si="290"/>
        <v>0.26123052517796652</v>
      </c>
      <c r="AR77" s="215">
        <f t="shared" ca="1" si="290"/>
        <v>0.20109607850819744</v>
      </c>
      <c r="AS77" s="4">
        <f t="shared" ca="1" si="290"/>
        <v>0.2578110354814398</v>
      </c>
      <c r="AT77" s="4">
        <f t="shared" ca="1" si="290"/>
        <v>0.22127381575823146</v>
      </c>
      <c r="AU77" s="4">
        <f t="shared" ca="1" si="290"/>
        <v>0.22121323104312185</v>
      </c>
      <c r="AV77" s="215">
        <f t="shared" ca="1" si="290"/>
        <v>0.13367799875024455</v>
      </c>
      <c r="AW77" s="4">
        <f t="shared" ref="AW77" ca="1" si="291">+AW75/AS75-1</f>
        <v>0.15895980336631443</v>
      </c>
      <c r="AX77" s="4">
        <f t="shared" ref="AX77" ca="1" si="292">+AX75/AT75-1</f>
        <v>0.13458839785088261</v>
      </c>
      <c r="AY77" s="4">
        <f t="shared" ref="AY77" ca="1" si="293">+AY75/AU75-1</f>
        <v>0.12048777935636346</v>
      </c>
      <c r="AZ77" s="4">
        <f t="shared" ref="AZ77" ca="1" si="294">+AZ75/AV75-1</f>
        <v>0.14585539236769862</v>
      </c>
    </row>
    <row r="78" spans="2:52" outlineLevel="2">
      <c r="B78" s="3" t="s">
        <v>318</v>
      </c>
      <c r="H78" s="2">
        <f t="shared" ref="H78:N78" ca="1" si="295">SUM(OFFSET($P78,0,H$1,1,4))</f>
        <v>27766.936465000002</v>
      </c>
      <c r="I78" s="2">
        <f t="shared" ca="1" si="295"/>
        <v>26668.341133999998</v>
      </c>
      <c r="J78" s="2">
        <f t="shared" ca="1" si="295"/>
        <v>20403.507143690615</v>
      </c>
      <c r="K78" s="2">
        <f t="shared" ca="1" si="295"/>
        <v>16753.023027597548</v>
      </c>
      <c r="L78" s="2">
        <f t="shared" ca="1" si="295"/>
        <v>14527.344670166243</v>
      </c>
      <c r="M78" s="2">
        <f t="shared" ca="1" si="295"/>
        <v>13611.812717695069</v>
      </c>
      <c r="N78" s="2">
        <f t="shared" ca="1" si="295"/>
        <v>12933.752129993019</v>
      </c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>
        <f t="shared" ref="Y78:AM78" ca="1" si="296">+Y73-Y75-Y81</f>
        <v>5453.3763693510482</v>
      </c>
      <c r="Z78" s="109">
        <f t="shared" si="296"/>
        <v>7603.778759946279</v>
      </c>
      <c r="AA78" s="109">
        <f t="shared" si="296"/>
        <v>7703.1161910394212</v>
      </c>
      <c r="AB78" s="249">
        <f t="shared" si="296"/>
        <v>7006.6651446632541</v>
      </c>
      <c r="AC78" s="109">
        <f t="shared" ca="1" si="296"/>
        <v>5676.6136663297366</v>
      </c>
      <c r="AD78" s="109">
        <f t="shared" si="296"/>
        <v>7339.4229690871325</v>
      </c>
      <c r="AE78" s="109">
        <f t="shared" si="296"/>
        <v>7143.5048781762107</v>
      </c>
      <c r="AF78" s="249">
        <f t="shared" si="296"/>
        <v>6508.7996204069168</v>
      </c>
      <c r="AG78" s="109">
        <f t="shared" ca="1" si="296"/>
        <v>5084.0846450179961</v>
      </c>
      <c r="AH78" s="109">
        <f t="shared" ca="1" si="296"/>
        <v>5515.1658603741198</v>
      </c>
      <c r="AI78" s="109">
        <f t="shared" ca="1" si="296"/>
        <v>5007.5448332561682</v>
      </c>
      <c r="AJ78" s="249">
        <f t="shared" ca="1" si="296"/>
        <v>4796.7118050423287</v>
      </c>
      <c r="AK78" s="109">
        <f t="shared" ca="1" si="296"/>
        <v>3713.7429549999997</v>
      </c>
      <c r="AL78" s="109">
        <f t="shared" ca="1" si="296"/>
        <v>4228.8756283029743</v>
      </c>
      <c r="AM78" s="109">
        <f t="shared" si="296"/>
        <v>4590.6085804638869</v>
      </c>
      <c r="AN78" s="249">
        <f t="shared" ref="AN78" si="297">+AN73-AN75-AN81</f>
        <v>4219.79586383069</v>
      </c>
      <c r="AO78" s="109">
        <f t="shared" ref="AO78:AV78" ca="1" si="298">+AO65*AO23</f>
        <v>3093.368053744287</v>
      </c>
      <c r="AP78" s="109">
        <f t="shared" ca="1" si="298"/>
        <v>4127.478882770939</v>
      </c>
      <c r="AQ78" s="109">
        <f t="shared" ca="1" si="298"/>
        <v>3753.4800349806592</v>
      </c>
      <c r="AR78" s="249">
        <f t="shared" ca="1" si="298"/>
        <v>3553.01769867036</v>
      </c>
      <c r="AS78" s="109">
        <f t="shared" ca="1" si="298"/>
        <v>2871.0612988712519</v>
      </c>
      <c r="AT78" s="109">
        <f t="shared" ca="1" si="298"/>
        <v>3847.5015835153517</v>
      </c>
      <c r="AU78" s="109">
        <f t="shared" ca="1" si="298"/>
        <v>3536.5471912471735</v>
      </c>
      <c r="AV78" s="249">
        <f t="shared" ca="1" si="298"/>
        <v>3356.7026440612908</v>
      </c>
      <c r="AW78" s="109">
        <f t="shared" ref="AW78:AZ78" ca="1" si="299">+AW65*AW23</f>
        <v>2721.5740975291387</v>
      </c>
      <c r="AX78" s="109">
        <f t="shared" ca="1" si="299"/>
        <v>3642.0986375897105</v>
      </c>
      <c r="AY78" s="109">
        <f t="shared" ca="1" si="299"/>
        <v>3356.6064084785553</v>
      </c>
      <c r="AZ78" s="109">
        <f t="shared" ca="1" si="299"/>
        <v>3213.4729863956145</v>
      </c>
    </row>
    <row r="79" spans="2:52" outlineLevel="2">
      <c r="B79" s="52" t="s">
        <v>317</v>
      </c>
      <c r="H79" s="4">
        <f t="shared" ref="H79:M79" ca="1" si="300">+H78/H$73</f>
        <v>0.63500000000000001</v>
      </c>
      <c r="I79" s="4">
        <f t="shared" ca="1" si="300"/>
        <v>0.47357915372430942</v>
      </c>
      <c r="J79" s="4">
        <f t="shared" ca="1" si="300"/>
        <v>0.36846041934839935</v>
      </c>
      <c r="K79" s="4">
        <f t="shared" ca="1" si="300"/>
        <v>0.26950350590410926</v>
      </c>
      <c r="L79" s="4">
        <f t="shared" ca="1" si="300"/>
        <v>0.19455414208442753</v>
      </c>
      <c r="M79" s="4">
        <f t="shared" ca="1" si="300"/>
        <v>0.15169002776778726</v>
      </c>
      <c r="N79" s="4">
        <f t="shared" ref="N79" ca="1" si="301">+N78/N$73</f>
        <v>0.12444479585057769</v>
      </c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4">
        <f t="shared" ref="Y79:AM79" ca="1" si="302">+Y78/Y$73</f>
        <v>0.63018810944738635</v>
      </c>
      <c r="Z79" s="4">
        <f t="shared" si="302"/>
        <v>0.7</v>
      </c>
      <c r="AA79" s="4">
        <f t="shared" si="302"/>
        <v>0.63500000000000001</v>
      </c>
      <c r="AB79" s="215">
        <f t="shared" si="302"/>
        <v>0.57999999999999996</v>
      </c>
      <c r="AC79" s="4">
        <f t="shared" ca="1" si="302"/>
        <v>0.50184935327706892</v>
      </c>
      <c r="AD79" s="4">
        <f t="shared" si="302"/>
        <v>0.5</v>
      </c>
      <c r="AE79" s="4">
        <f t="shared" si="302"/>
        <v>0.45999999999999991</v>
      </c>
      <c r="AF79" s="215">
        <f t="shared" si="302"/>
        <v>0.43999999999999995</v>
      </c>
      <c r="AG79" s="4">
        <f t="shared" ca="1" si="302"/>
        <v>0.38380011843086309</v>
      </c>
      <c r="AH79" s="4">
        <f t="shared" ca="1" si="302"/>
        <v>0.38000000000000006</v>
      </c>
      <c r="AI79" s="4">
        <f t="shared" ca="1" si="302"/>
        <v>0.35999999999999993</v>
      </c>
      <c r="AJ79" s="215">
        <f t="shared" ca="1" si="302"/>
        <v>0.34999999999999992</v>
      </c>
      <c r="AK79" s="4">
        <f t="shared" ca="1" si="302"/>
        <v>0.29899999999999999</v>
      </c>
      <c r="AL79" s="4">
        <f t="shared" ca="1" si="302"/>
        <v>0.27900000000000003</v>
      </c>
      <c r="AM79" s="4">
        <f t="shared" si="302"/>
        <v>0.27</v>
      </c>
      <c r="AN79" s="215">
        <f t="shared" ref="AN79" si="303">+AN78/AN$73</f>
        <v>0.24000000000000005</v>
      </c>
      <c r="AO79" s="4">
        <f t="shared" ref="AO79:AV79" ca="1" si="304">+AO78/AO73</f>
        <v>0.20048310486216178</v>
      </c>
      <c r="AP79" s="4">
        <f t="shared" ca="1" si="304"/>
        <v>0.22132174489165896</v>
      </c>
      <c r="AQ79" s="4">
        <f t="shared" ca="1" si="304"/>
        <v>0.18586040882994573</v>
      </c>
      <c r="AR79" s="215">
        <f t="shared" ca="1" si="304"/>
        <v>0.17420184555827339</v>
      </c>
      <c r="AS79" s="4">
        <f t="shared" ca="1" si="304"/>
        <v>0.14851456340139824</v>
      </c>
      <c r="AT79" s="4">
        <f t="shared" ca="1" si="304"/>
        <v>0.1715545893177905</v>
      </c>
      <c r="AU79" s="4">
        <f t="shared" ca="1" si="304"/>
        <v>0.1441779380804683</v>
      </c>
      <c r="AV79" s="215">
        <f t="shared" ca="1" si="304"/>
        <v>0.14316601389815489</v>
      </c>
      <c r="AW79" s="4">
        <f t="shared" ref="AW79:AZ79" ca="1" si="305">+AW78/AW73</f>
        <v>0.11971916408374315</v>
      </c>
      <c r="AX79" s="4">
        <f t="shared" ca="1" si="305"/>
        <v>0.14097375161646394</v>
      </c>
      <c r="AY79" s="4">
        <f t="shared" ca="1" si="305"/>
        <v>0.11963326749845549</v>
      </c>
      <c r="AZ79" s="4">
        <f t="shared" ca="1" si="305"/>
        <v>0.11768422431669386</v>
      </c>
    </row>
    <row r="80" spans="2:52" outlineLevel="2">
      <c r="B80" s="52" t="s">
        <v>128</v>
      </c>
      <c r="H80" s="4"/>
      <c r="I80" s="4">
        <f t="shared" ref="I80:N80" ca="1" si="306">+I78/H78-1</f>
        <v>-3.95648735821027E-2</v>
      </c>
      <c r="J80" s="4">
        <f t="shared" ca="1" si="306"/>
        <v>-0.23491652363491866</v>
      </c>
      <c r="K80" s="4">
        <f t="shared" ca="1" si="306"/>
        <v>-0.17891454103379023</v>
      </c>
      <c r="L80" s="4">
        <f t="shared" ca="1" si="306"/>
        <v>-0.13285234275419466</v>
      </c>
      <c r="M80" s="4">
        <f t="shared" ca="1" si="306"/>
        <v>-6.3021286632741313E-2</v>
      </c>
      <c r="N80" s="4">
        <f t="shared" ca="1" si="306"/>
        <v>-4.9814128490071385E-2</v>
      </c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4"/>
      <c r="Z80" s="4"/>
      <c r="AA80" s="4"/>
      <c r="AB80" s="215"/>
      <c r="AC80" s="4">
        <f t="shared" ref="AC80:AV80" ca="1" si="307">+AC78/Y78-1</f>
        <v>4.0935611602625155E-2</v>
      </c>
      <c r="AD80" s="4">
        <f t="shared" si="307"/>
        <v>-3.4766370669760849E-2</v>
      </c>
      <c r="AE80" s="4">
        <f t="shared" si="307"/>
        <v>-7.264739346839566E-2</v>
      </c>
      <c r="AF80" s="215">
        <f t="shared" si="307"/>
        <v>-7.1055989401112574E-2</v>
      </c>
      <c r="AG80" s="4">
        <f t="shared" ca="1" si="307"/>
        <v>-0.10438071993982379</v>
      </c>
      <c r="AH80" s="4">
        <f t="shared" ca="1" si="307"/>
        <v>-0.24855593094942063</v>
      </c>
      <c r="AI80" s="4">
        <f t="shared" ca="1" si="307"/>
        <v>-0.29900729142714166</v>
      </c>
      <c r="AJ80" s="215">
        <f t="shared" ca="1" si="307"/>
        <v>-0.26304202237179208</v>
      </c>
      <c r="AK80" s="4">
        <f t="shared" ca="1" si="307"/>
        <v>-0.26953557733560229</v>
      </c>
      <c r="AL80" s="4">
        <f t="shared" ca="1" si="307"/>
        <v>-0.23322784203336544</v>
      </c>
      <c r="AM80" s="4">
        <f t="shared" ca="1" si="307"/>
        <v>-8.326161156327927E-2</v>
      </c>
      <c r="AN80" s="215">
        <f t="shared" ca="1" si="307"/>
        <v>-0.12027321312178518</v>
      </c>
      <c r="AO80" s="4">
        <f t="shared" ca="1" si="307"/>
        <v>-0.16704842224485961</v>
      </c>
      <c r="AP80" s="4">
        <f t="shared" ca="1" si="307"/>
        <v>-2.3977235190698942E-2</v>
      </c>
      <c r="AQ80" s="4">
        <f t="shared" ca="1" si="307"/>
        <v>-0.1823567683478331</v>
      </c>
      <c r="AR80" s="215">
        <f t="shared" ca="1" si="307"/>
        <v>-0.1580119481313097</v>
      </c>
      <c r="AS80" s="4">
        <f t="shared" ca="1" si="307"/>
        <v>-7.1865601186366979E-2</v>
      </c>
      <c r="AT80" s="4">
        <f t="shared" ca="1" si="307"/>
        <v>-6.7832521305990934E-2</v>
      </c>
      <c r="AU80" s="4">
        <f t="shared" ca="1" si="307"/>
        <v>-5.7795123914813451E-2</v>
      </c>
      <c r="AV80" s="215">
        <f t="shared" ca="1" si="307"/>
        <v>-5.525304720056301E-2</v>
      </c>
      <c r="AW80" s="4">
        <f t="shared" ref="AW80" ca="1" si="308">+AW78/AS78-1</f>
        <v>-5.2066879032113822E-2</v>
      </c>
      <c r="AX80" s="4">
        <f t="shared" ref="AX80" ca="1" si="309">+AX78/AT78-1</f>
        <v>-5.3386058840285244E-2</v>
      </c>
      <c r="AY80" s="4">
        <f t="shared" ref="AY80" ca="1" si="310">+AY78/AU78-1</f>
        <v>-5.088035675417113E-2</v>
      </c>
      <c r="AZ80" s="4">
        <f t="shared" ref="AZ80" ca="1" si="311">+AZ78/AV78-1</f>
        <v>-4.2669748516175443E-2</v>
      </c>
    </row>
    <row r="81" spans="1:52" outlineLevel="2">
      <c r="B81" s="3" t="s">
        <v>61</v>
      </c>
      <c r="H81" s="2"/>
      <c r="I81" s="2"/>
      <c r="J81" s="2">
        <f ca="1">SUM(OFFSET($P81,0,J$1,1,4))</f>
        <v>78.832006157203068</v>
      </c>
      <c r="K81" s="2">
        <f ca="1">SUM(OFFSET($P81,0,K$1,1,4))</f>
        <v>4986.7188736094995</v>
      </c>
      <c r="L81" s="2">
        <f ca="1">SUM(OFFSET($P81,0,L$1,1,4))</f>
        <v>10386.292128579833</v>
      </c>
      <c r="M81" s="2">
        <f ca="1">SUM(OFFSET($P81,0,M$1,1,4))</f>
        <v>16172.111287138512</v>
      </c>
      <c r="N81" s="2">
        <f ca="1">SUM(OFFSET($P81,0,N$1,1,4))</f>
        <v>22719.787642115705</v>
      </c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249"/>
      <c r="AC81" s="109"/>
      <c r="AD81" s="109"/>
      <c r="AE81" s="109"/>
      <c r="AF81" s="249"/>
      <c r="AG81" s="109"/>
      <c r="AH81" s="109"/>
      <c r="AI81" s="109"/>
      <c r="AJ81" s="249">
        <f ca="1">AJ62*AJ21</f>
        <v>78.832006157203068</v>
      </c>
      <c r="AK81" s="109">
        <f ca="1">AK62*AK21</f>
        <v>287.34950224851514</v>
      </c>
      <c r="AL81" s="109">
        <f ca="1">AL62*AL21</f>
        <v>1023.4211213609847</v>
      </c>
      <c r="AM81" s="151">
        <f>250*6.6533</f>
        <v>1663.325</v>
      </c>
      <c r="AN81" s="253">
        <f>AM81*1.21</f>
        <v>2012.6232500000001</v>
      </c>
      <c r="AO81" s="109">
        <f t="shared" ref="AO81:AV81" ca="1" si="312">AO62*AO21</f>
        <v>1952.774625778776</v>
      </c>
      <c r="AP81" s="109">
        <f t="shared" ca="1" si="312"/>
        <v>2337.5035794439691</v>
      </c>
      <c r="AQ81" s="109">
        <f t="shared" ca="1" si="312"/>
        <v>2885.5666096384534</v>
      </c>
      <c r="AR81" s="249">
        <f t="shared" ca="1" si="312"/>
        <v>3210.4473137186346</v>
      </c>
      <c r="AS81" s="109">
        <f t="shared" ca="1" si="312"/>
        <v>3400.3997682830941</v>
      </c>
      <c r="AT81" s="109">
        <f t="shared" ca="1" si="312"/>
        <v>3699.4756370251898</v>
      </c>
      <c r="AU81" s="109">
        <f t="shared" ca="1" si="312"/>
        <v>4437.597564296143</v>
      </c>
      <c r="AV81" s="249">
        <f t="shared" ca="1" si="312"/>
        <v>4634.6383175340861</v>
      </c>
      <c r="AW81" s="109">
        <f t="shared" ref="AW81:AZ81" ca="1" si="313">AW62*AW21</f>
        <v>4874.9459667449182</v>
      </c>
      <c r="AX81" s="109">
        <f t="shared" ca="1" si="313"/>
        <v>5310.1868410431316</v>
      </c>
      <c r="AY81" s="109">
        <f t="shared" ca="1" si="313"/>
        <v>6151.2963239854516</v>
      </c>
      <c r="AZ81" s="109">
        <f t="shared" ca="1" si="313"/>
        <v>6383.3585103422065</v>
      </c>
    </row>
    <row r="82" spans="1:52" outlineLevel="2">
      <c r="B82" s="52" t="s">
        <v>317</v>
      </c>
      <c r="H82" s="4"/>
      <c r="I82" s="4"/>
      <c r="J82" s="4">
        <f ca="1">+J81/J$73</f>
        <v>1.4236020230345887E-3</v>
      </c>
      <c r="K82" s="4">
        <f ca="1">+K81/K$73</f>
        <v>8.0220639414275124E-2</v>
      </c>
      <c r="L82" s="4">
        <f ca="1">+L81/L$73</f>
        <v>0.13909604269690454</v>
      </c>
      <c r="M82" s="4">
        <f ca="1">+M81/M$73</f>
        <v>0.18022199255068697</v>
      </c>
      <c r="N82" s="4">
        <f ca="1">+N81/N$73</f>
        <v>0.21860317922244676</v>
      </c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4"/>
      <c r="Z82" s="4"/>
      <c r="AA82" s="4"/>
      <c r="AB82" s="215"/>
      <c r="AC82" s="4"/>
      <c r="AD82" s="4"/>
      <c r="AE82" s="4"/>
      <c r="AF82" s="215"/>
      <c r="AG82" s="4"/>
      <c r="AH82" s="4"/>
      <c r="AI82" s="4"/>
      <c r="AJ82" s="215">
        <f t="shared" ref="AJ82:AV82" ca="1" si="314">+AJ81/AJ$73</f>
        <v>5.752107542924937E-3</v>
      </c>
      <c r="AK82" s="4">
        <f t="shared" ca="1" si="314"/>
        <v>2.3135015592996536E-2</v>
      </c>
      <c r="AL82" s="4">
        <f t="shared" ca="1" si="314"/>
        <v>6.7520191643540547E-2</v>
      </c>
      <c r="AM82" s="4">
        <f t="shared" si="314"/>
        <v>9.7829675984838188E-2</v>
      </c>
      <c r="AN82" s="215">
        <f t="shared" si="314"/>
        <v>0.11446752297669455</v>
      </c>
      <c r="AO82" s="4">
        <f t="shared" ca="1" si="314"/>
        <v>0.1265605363701536</v>
      </c>
      <c r="AP82" s="4">
        <f t="shared" ca="1" si="314"/>
        <v>0.12534052519385075</v>
      </c>
      <c r="AQ82" s="4">
        <f t="shared" ca="1" si="314"/>
        <v>0.1428840928352525</v>
      </c>
      <c r="AR82" s="215">
        <f t="shared" ca="1" si="314"/>
        <v>0.15740587144462592</v>
      </c>
      <c r="AS82" s="4">
        <f t="shared" ca="1" si="314"/>
        <v>0.17589623989404962</v>
      </c>
      <c r="AT82" s="4">
        <f t="shared" ca="1" si="314"/>
        <v>0.16495432420879091</v>
      </c>
      <c r="AU82" s="4">
        <f t="shared" ca="1" si="314"/>
        <v>0.18091195515066708</v>
      </c>
      <c r="AV82" s="215">
        <f t="shared" ca="1" si="314"/>
        <v>0.19767097778378334</v>
      </c>
      <c r="AW82" s="4">
        <f t="shared" ref="AW82:AZ82" ca="1" si="315">+AW81/AW$73</f>
        <v>0.21444371351931127</v>
      </c>
      <c r="AX82" s="4">
        <f t="shared" ca="1" si="315"/>
        <v>0.20554000186596832</v>
      </c>
      <c r="AY82" s="4">
        <f t="shared" ca="1" si="315"/>
        <v>0.2192391925162229</v>
      </c>
      <c r="AZ82" s="4">
        <f t="shared" ca="1" si="315"/>
        <v>0.23377218293270735</v>
      </c>
    </row>
    <row r="83" spans="1:52" outlineLevel="2">
      <c r="B83" s="52" t="s">
        <v>128</v>
      </c>
      <c r="H83" s="4"/>
      <c r="I83" s="4"/>
      <c r="J83" s="4"/>
      <c r="K83" s="4">
        <f ca="1">+K81/J81-1</f>
        <v>62.25754115232359</v>
      </c>
      <c r="L83" s="4">
        <f ca="1">+L81/K81-1</f>
        <v>1.0827907872540647</v>
      </c>
      <c r="M83" s="4">
        <f ca="1">+M81/L81-1</f>
        <v>0.55706301025732863</v>
      </c>
      <c r="N83" s="4">
        <f ca="1">+N81/M81-1</f>
        <v>0.40487455464052369</v>
      </c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4"/>
      <c r="Z83" s="4"/>
      <c r="AA83" s="4"/>
      <c r="AB83" s="215"/>
      <c r="AC83" s="4"/>
      <c r="AD83" s="4"/>
      <c r="AE83" s="4"/>
      <c r="AF83" s="215"/>
      <c r="AG83" s="4"/>
      <c r="AH83" s="4"/>
      <c r="AI83" s="4"/>
      <c r="AJ83" s="215"/>
      <c r="AK83" s="4"/>
      <c r="AL83" s="4"/>
      <c r="AM83" s="4"/>
      <c r="AN83" s="215">
        <f t="shared" ref="AN83:AV83" ca="1" si="316">AN81/AJ81-1</f>
        <v>24.530534463204219</v>
      </c>
      <c r="AO83" s="4">
        <f t="shared" ca="1" si="316"/>
        <v>5.7958169772290491</v>
      </c>
      <c r="AP83" s="4">
        <f t="shared" ca="1" si="316"/>
        <v>1.2840095153942759</v>
      </c>
      <c r="AQ83" s="4">
        <f t="shared" ca="1" si="316"/>
        <v>0.73481827642730879</v>
      </c>
      <c r="AR83" s="215">
        <f t="shared" ca="1" si="316"/>
        <v>0.59515563268914562</v>
      </c>
      <c r="AS83" s="4">
        <f t="shared" ca="1" si="316"/>
        <v>0.74131705901647416</v>
      </c>
      <c r="AT83" s="4">
        <f t="shared" ca="1" si="316"/>
        <v>0.58266095057924927</v>
      </c>
      <c r="AU83" s="4">
        <f t="shared" ca="1" si="316"/>
        <v>0.53786003396128534</v>
      </c>
      <c r="AV83" s="215">
        <f t="shared" ca="1" si="316"/>
        <v>0.44361139263357763</v>
      </c>
      <c r="AW83" s="4">
        <f t="shared" ref="AW83" ca="1" si="317">AW81/AS81-1</f>
        <v>0.43363907156314796</v>
      </c>
      <c r="AX83" s="4">
        <f t="shared" ref="AX83" ca="1" si="318">AX81/AT81-1</f>
        <v>0.43538905565361197</v>
      </c>
      <c r="AY83" s="4">
        <f t="shared" ref="AY83" ca="1" si="319">AY81/AU81-1</f>
        <v>0.38617714537192871</v>
      </c>
      <c r="AZ83" s="4">
        <f t="shared" ref="AZ83" ca="1" si="320">AZ81/AV81-1</f>
        <v>0.37731535300009078</v>
      </c>
    </row>
    <row r="84" spans="1:52" outlineLevel="2">
      <c r="B84" s="52"/>
      <c r="H84" s="4"/>
      <c r="I84" s="4"/>
      <c r="J84" s="4"/>
      <c r="K84" s="4"/>
      <c r="L84" s="4"/>
      <c r="M84" s="4"/>
      <c r="N84" s="4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4"/>
      <c r="Z84" s="4"/>
      <c r="AA84" s="4"/>
      <c r="AB84" s="215"/>
      <c r="AC84" s="4"/>
      <c r="AD84" s="4"/>
      <c r="AE84" s="4"/>
      <c r="AF84" s="215"/>
      <c r="AG84" s="4"/>
      <c r="AH84" s="4"/>
      <c r="AI84" s="4"/>
      <c r="AJ84" s="215"/>
      <c r="AK84" s="4"/>
      <c r="AL84" s="4"/>
      <c r="AM84" s="4"/>
      <c r="AN84" s="215"/>
      <c r="AO84" s="4"/>
      <c r="AP84" s="4"/>
      <c r="AQ84" s="4"/>
      <c r="AR84" s="215"/>
      <c r="AS84" s="4"/>
      <c r="AT84" s="4"/>
      <c r="AU84" s="4"/>
      <c r="AV84" s="215"/>
      <c r="AW84" s="4"/>
      <c r="AX84" s="4"/>
      <c r="AY84" s="4"/>
      <c r="AZ84" s="4"/>
    </row>
    <row r="85" spans="1:52">
      <c r="B85" s="6" t="s">
        <v>601</v>
      </c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254"/>
      <c r="AC85" s="6"/>
      <c r="AD85" s="6"/>
      <c r="AE85" s="6"/>
      <c r="AF85" s="254"/>
      <c r="AG85" s="6"/>
      <c r="AH85" s="6"/>
      <c r="AI85" s="6"/>
      <c r="AJ85" s="254"/>
      <c r="AK85" s="6"/>
      <c r="AL85" s="6"/>
      <c r="AM85" s="6"/>
      <c r="AN85" s="254"/>
      <c r="AO85" s="6"/>
      <c r="AP85" s="6"/>
      <c r="AQ85" s="6"/>
      <c r="AR85" s="254"/>
      <c r="AS85" s="6"/>
      <c r="AT85" s="6"/>
      <c r="AU85" s="6"/>
      <c r="AV85" s="254"/>
      <c r="AW85" s="6"/>
      <c r="AX85" s="6"/>
      <c r="AY85" s="6"/>
      <c r="AZ85" s="6"/>
    </row>
    <row r="86" spans="1:52">
      <c r="B86" s="8" t="s">
        <v>292</v>
      </c>
      <c r="F86" s="10"/>
      <c r="G86" s="2"/>
      <c r="H86" s="2"/>
      <c r="I86" s="2"/>
      <c r="J86" s="2"/>
      <c r="K86" s="2"/>
      <c r="L86" s="2"/>
      <c r="M86" s="2"/>
      <c r="N86" s="2"/>
      <c r="Q86" s="10"/>
      <c r="R86" s="10"/>
      <c r="S86" s="10"/>
      <c r="T86" s="10"/>
      <c r="U86" s="2"/>
      <c r="V86" s="2"/>
      <c r="W86" s="2"/>
      <c r="X86" s="2"/>
      <c r="Y86" s="2"/>
      <c r="Z86" s="2"/>
      <c r="AA86" s="2"/>
      <c r="AB86" s="221"/>
      <c r="AC86" s="2"/>
      <c r="AD86" s="2"/>
      <c r="AE86" s="2"/>
      <c r="AF86" s="221"/>
      <c r="AG86" s="2"/>
      <c r="AH86" s="2"/>
      <c r="AI86" s="2"/>
      <c r="AJ86" s="221"/>
      <c r="AK86" s="2"/>
      <c r="AL86" s="2"/>
      <c r="AM86" s="2"/>
      <c r="AN86" s="221"/>
      <c r="AO86" s="2"/>
      <c r="AP86" s="2"/>
      <c r="AQ86" s="2"/>
      <c r="AR86" s="221"/>
      <c r="AS86" s="2"/>
      <c r="AT86" s="2"/>
      <c r="AU86" s="2"/>
      <c r="AV86" s="221"/>
      <c r="AW86" s="2"/>
      <c r="AX86" s="2"/>
      <c r="AY86" s="2"/>
      <c r="AZ86" s="2"/>
    </row>
    <row r="87" spans="1:52">
      <c r="A87" s="3"/>
      <c r="B87" s="3" t="s">
        <v>136</v>
      </c>
      <c r="G87" s="58">
        <f t="shared" ref="G87:N87" ca="1" si="321">SUM(OFFSET($P87,0,G$1,1,4))</f>
        <v>1319.1869999999985</v>
      </c>
      <c r="H87" s="58">
        <f t="shared" ca="1" si="321"/>
        <v>2920.0260281170672</v>
      </c>
      <c r="I87" s="58">
        <f t="shared" ca="1" si="321"/>
        <v>5370.6200068213475</v>
      </c>
      <c r="J87" s="58">
        <f t="shared" ca="1" si="321"/>
        <v>4894.4859999999999</v>
      </c>
      <c r="K87" s="58">
        <f t="shared" ca="1" si="321"/>
        <v>6122.3167896783161</v>
      </c>
      <c r="L87" s="58">
        <f t="shared" ca="1" si="321"/>
        <v>6539.2762734472126</v>
      </c>
      <c r="M87" s="58">
        <f t="shared" ca="1" si="321"/>
        <v>7479.0389689758922</v>
      </c>
      <c r="N87" s="58">
        <f t="shared" ca="1" si="321"/>
        <v>10639.281458237821</v>
      </c>
      <c r="O87" s="58"/>
      <c r="P87" s="58"/>
      <c r="Q87" s="58"/>
      <c r="R87" s="58"/>
      <c r="S87" s="58"/>
      <c r="T87" s="58"/>
      <c r="U87" s="58">
        <f ca="1">BIDU_IS!U306</f>
        <v>249.10219772103477</v>
      </c>
      <c r="V87" s="58">
        <f ca="1">BIDU_IS!V306</f>
        <v>276.34486966228076</v>
      </c>
      <c r="W87" s="58">
        <f ca="1">BIDU_IS!W306</f>
        <v>373.28195721580227</v>
      </c>
      <c r="X87" s="58">
        <f ca="1">BIDU_IS!X306</f>
        <v>420.45797540088074</v>
      </c>
      <c r="Y87" s="58">
        <f ca="1">BIDU_IS!Y306</f>
        <v>605.33205258030762</v>
      </c>
      <c r="Z87" s="58">
        <f ca="1">BIDU_IS!Z306</f>
        <v>724.61370945496924</v>
      </c>
      <c r="AA87" s="58">
        <f ca="1">BIDU_IS!AA306</f>
        <v>762.49391085154309</v>
      </c>
      <c r="AB87" s="212">
        <f ca="1">BIDU_IS!AB306</f>
        <v>827.58635523024714</v>
      </c>
      <c r="AC87" s="58">
        <f ca="1">BIDU_IS!AC306</f>
        <v>738.62768578449663</v>
      </c>
      <c r="AD87" s="58">
        <f ca="1">BIDU_IS!AD306</f>
        <v>1023.4594288136989</v>
      </c>
      <c r="AE87" s="58">
        <f ca="1">BIDU_IS!AE306</f>
        <v>1644.607229226342</v>
      </c>
      <c r="AF87" s="212">
        <f ca="1">BIDU_IS!AF306</f>
        <v>1963.9256629968097</v>
      </c>
      <c r="AG87" s="58">
        <f>BIDU_IS!AG306</f>
        <v>900.06200000000001</v>
      </c>
      <c r="AH87" s="58">
        <f>BIDU_IS!AH306</f>
        <v>1089.07502</v>
      </c>
      <c r="AI87" s="58">
        <f>BIDU_IS!AI306</f>
        <v>1317.7807742</v>
      </c>
      <c r="AJ87" s="212">
        <f>BIDU_IS!AJ306</f>
        <v>1587.5682057999998</v>
      </c>
      <c r="AK87" s="58">
        <f>BIDU_IS!AK306</f>
        <v>1362.0060000000001</v>
      </c>
      <c r="AL87" s="58">
        <f>BIDU_IS!AL306</f>
        <v>1601.4906312786081</v>
      </c>
      <c r="AM87" s="58">
        <f>BIDU_IS!AM306</f>
        <v>1769.6471475628618</v>
      </c>
      <c r="AN87" s="212">
        <f>BIDU_IS!AN306</f>
        <v>1389.1730108368465</v>
      </c>
      <c r="AO87" s="58">
        <f t="shared" ref="AO87:AV87" si="322">+AO91+AO95+AO103</f>
        <v>1562.8196371914523</v>
      </c>
      <c r="AP87" s="58">
        <f t="shared" si="322"/>
        <v>1640.9606190510251</v>
      </c>
      <c r="AQ87" s="58">
        <f t="shared" si="322"/>
        <v>1727.2301809729086</v>
      </c>
      <c r="AR87" s="212">
        <f t="shared" si="322"/>
        <v>1608.2658362318257</v>
      </c>
      <c r="AS87" s="58">
        <f t="shared" si="322"/>
        <v>1787.1364437515058</v>
      </c>
      <c r="AT87" s="58">
        <f t="shared" si="322"/>
        <v>1865.8157616978358</v>
      </c>
      <c r="AU87" s="58">
        <f t="shared" si="322"/>
        <v>1935.9777126214726</v>
      </c>
      <c r="AV87" s="212">
        <f t="shared" si="322"/>
        <v>1890.1090509050769</v>
      </c>
      <c r="AW87" s="58">
        <f t="shared" ref="AW87:AZ87" si="323">+AW91+AW95+AW103</f>
        <v>2287.7840410770004</v>
      </c>
      <c r="AX87" s="58">
        <f t="shared" si="323"/>
        <v>2512.6645782663281</v>
      </c>
      <c r="AY87" s="58">
        <f t="shared" si="323"/>
        <v>2728.6870537520549</v>
      </c>
      <c r="AZ87" s="58">
        <f t="shared" si="323"/>
        <v>3110.1457851424379</v>
      </c>
    </row>
    <row r="88" spans="1:52">
      <c r="A88" s="3"/>
      <c r="B88" s="52" t="s">
        <v>128</v>
      </c>
      <c r="H88" s="4">
        <f t="shared" ref="H88:N88" ca="1" si="324">+H87/G87-1</f>
        <v>1.2135042477806941</v>
      </c>
      <c r="I88" s="4">
        <f t="shared" ca="1" si="324"/>
        <v>0.83923703251525716</v>
      </c>
      <c r="J88" s="4">
        <f t="shared" ca="1" si="324"/>
        <v>-8.8655314696738707E-2</v>
      </c>
      <c r="K88" s="4">
        <f t="shared" ca="1" si="324"/>
        <v>0.25086000648041828</v>
      </c>
      <c r="L88" s="4">
        <f t="shared" ca="1" si="324"/>
        <v>6.8104852802104876E-2</v>
      </c>
      <c r="M88" s="4">
        <f t="shared" ca="1" si="324"/>
        <v>0.14371050499037552</v>
      </c>
      <c r="N88" s="4">
        <f t="shared" ca="1" si="324"/>
        <v>0.42254660022110602</v>
      </c>
      <c r="Y88" s="71">
        <f t="shared" ref="Y88:AV88" ca="1" si="325">Y87/U87-1</f>
        <v>1.4300550461550263</v>
      </c>
      <c r="Z88" s="71">
        <f t="shared" ca="1" si="325"/>
        <v>1.6221355596017211</v>
      </c>
      <c r="AA88" s="71">
        <f t="shared" ca="1" si="325"/>
        <v>1.0426755060404087</v>
      </c>
      <c r="AB88" s="241">
        <f t="shared" ca="1" si="325"/>
        <v>0.96829743672050594</v>
      </c>
      <c r="AC88" s="71">
        <f t="shared" ca="1" si="325"/>
        <v>0.22020250313195677</v>
      </c>
      <c r="AD88" s="71">
        <f t="shared" ca="1" si="325"/>
        <v>0.41242073598567663</v>
      </c>
      <c r="AE88" s="71">
        <f t="shared" ca="1" si="325"/>
        <v>1.1568791643065928</v>
      </c>
      <c r="AF88" s="241">
        <f t="shared" ca="1" si="325"/>
        <v>1.3730764174457852</v>
      </c>
      <c r="AG88" s="71">
        <f t="shared" ca="1" si="325"/>
        <v>0.21855979314401663</v>
      </c>
      <c r="AH88" s="71">
        <f t="shared" ca="1" si="325"/>
        <v>6.4111570365184667E-2</v>
      </c>
      <c r="AI88" s="71">
        <f t="shared" ca="1" si="325"/>
        <v>-0.19872614519643583</v>
      </c>
      <c r="AJ88" s="241">
        <f t="shared" ca="1" si="325"/>
        <v>-0.19163528655280948</v>
      </c>
      <c r="AK88" s="71">
        <f t="shared" si="325"/>
        <v>0.51323575487022022</v>
      </c>
      <c r="AL88" s="71">
        <f t="shared" si="325"/>
        <v>0.47050533881367351</v>
      </c>
      <c r="AM88" s="71">
        <f t="shared" si="325"/>
        <v>0.34289950362736277</v>
      </c>
      <c r="AN88" s="241">
        <f t="shared" si="325"/>
        <v>-0.12496798199808923</v>
      </c>
      <c r="AO88" s="71">
        <f t="shared" si="325"/>
        <v>0.14743961274139195</v>
      </c>
      <c r="AP88" s="71">
        <f t="shared" si="325"/>
        <v>2.4645781250000054E-2</v>
      </c>
      <c r="AQ88" s="71">
        <f t="shared" si="325"/>
        <v>-2.3969166196984193E-2</v>
      </c>
      <c r="AR88" s="241">
        <f t="shared" si="325"/>
        <v>0.15771457096117669</v>
      </c>
      <c r="AS88" s="71">
        <f t="shared" si="325"/>
        <v>0.14353339388745701</v>
      </c>
      <c r="AT88" s="71">
        <f t="shared" si="325"/>
        <v>0.13702653192058034</v>
      </c>
      <c r="AU88" s="71">
        <f t="shared" si="325"/>
        <v>0.12085681106555324</v>
      </c>
      <c r="AV88" s="241">
        <f t="shared" si="325"/>
        <v>0.1752466590558257</v>
      </c>
      <c r="AW88" s="71">
        <f t="shared" ref="AW88" si="326">AW87/AS87-1</f>
        <v>0.2801395489840437</v>
      </c>
      <c r="AX88" s="71">
        <f t="shared" ref="AX88" si="327">AX87/AT87-1</f>
        <v>0.34668418492717601</v>
      </c>
      <c r="AY88" s="71">
        <f t="shared" ref="AY88" si="328">AY87/AU87-1</f>
        <v>0.40946201806072913</v>
      </c>
      <c r="AZ88" s="71">
        <f t="shared" ref="AZ88" si="329">AZ87/AV87-1</f>
        <v>0.64548483784739696</v>
      </c>
    </row>
    <row r="89" spans="1:52">
      <c r="B89" s="52"/>
      <c r="G89" s="10"/>
      <c r="H89" s="38"/>
      <c r="I89" s="38"/>
      <c r="J89" s="38"/>
      <c r="AG89" s="148"/>
      <c r="AH89" s="148"/>
      <c r="AI89" s="148"/>
      <c r="AJ89" s="259"/>
    </row>
    <row r="90" spans="1:52">
      <c r="B90" s="8" t="s">
        <v>59</v>
      </c>
      <c r="F90" s="10"/>
      <c r="G90" s="2"/>
      <c r="H90" s="2"/>
      <c r="I90" s="2"/>
      <c r="J90" s="2"/>
      <c r="K90" s="2"/>
      <c r="L90" s="2"/>
      <c r="M90" s="2"/>
      <c r="N90" s="2"/>
      <c r="Q90" s="10"/>
      <c r="R90" s="10"/>
      <c r="S90" s="10"/>
      <c r="T90" s="10"/>
      <c r="U90" s="2"/>
      <c r="V90" s="2"/>
      <c r="W90" s="2"/>
      <c r="X90" s="2"/>
      <c r="Y90" s="2"/>
      <c r="Z90" s="2"/>
      <c r="AA90" s="2"/>
      <c r="AB90" s="221"/>
      <c r="AC90" s="2"/>
      <c r="AD90" s="2"/>
      <c r="AE90" s="2"/>
      <c r="AF90" s="221"/>
      <c r="AG90" s="2"/>
      <c r="AH90" s="2"/>
      <c r="AI90" s="2"/>
      <c r="AJ90" s="221"/>
      <c r="AK90" s="2"/>
      <c r="AL90" s="2"/>
      <c r="AM90" s="2"/>
      <c r="AN90" s="221"/>
      <c r="AO90" s="2"/>
      <c r="AP90" s="2"/>
      <c r="AQ90" s="2"/>
      <c r="AR90" s="221"/>
      <c r="AS90" s="2"/>
      <c r="AT90" s="2"/>
      <c r="AU90" s="2"/>
      <c r="AV90" s="221"/>
      <c r="AW90" s="2"/>
      <c r="AX90" s="2"/>
      <c r="AY90" s="2"/>
      <c r="AZ90" s="2"/>
    </row>
    <row r="91" spans="1:52">
      <c r="B91" s="3" t="s">
        <v>136</v>
      </c>
      <c r="G91" s="58">
        <f t="shared" ref="G91:N91" ca="1" si="330">SUM(OFFSET($P91,0,G$1,1,4))</f>
        <v>468.26499999999857</v>
      </c>
      <c r="H91" s="58">
        <f t="shared" ca="1" si="330"/>
        <v>1163.2710281170671</v>
      </c>
      <c r="I91" s="58">
        <f t="shared" ca="1" si="330"/>
        <v>1199.408006821347</v>
      </c>
      <c r="J91" s="58">
        <f t="shared" ca="1" si="330"/>
        <v>4894.4859999999999</v>
      </c>
      <c r="K91" s="58">
        <f t="shared" ca="1" si="330"/>
        <v>6122.3167896783161</v>
      </c>
      <c r="L91" s="58">
        <f t="shared" ca="1" si="330"/>
        <v>6405.6503995950543</v>
      </c>
      <c r="M91" s="58">
        <f t="shared" ca="1" si="330"/>
        <v>6765.0034105045934</v>
      </c>
      <c r="N91" s="58">
        <f t="shared" ca="1" si="330"/>
        <v>7035.6035469247772</v>
      </c>
      <c r="O91" s="58"/>
      <c r="P91" s="58"/>
      <c r="Q91" s="58"/>
      <c r="R91" s="58"/>
      <c r="S91" s="58"/>
      <c r="T91" s="58"/>
      <c r="U91" s="58">
        <f t="shared" ref="U91:AM91" ca="1" si="331">U87-U95</f>
        <v>66.424197721034773</v>
      </c>
      <c r="V91" s="58">
        <f t="shared" ca="1" si="331"/>
        <v>100.21586966228077</v>
      </c>
      <c r="W91" s="58">
        <f t="shared" ca="1" si="331"/>
        <v>132.13595721580228</v>
      </c>
      <c r="X91" s="58">
        <f t="shared" ca="1" si="331"/>
        <v>169.48897540088075</v>
      </c>
      <c r="Y91" s="58">
        <f t="shared" ca="1" si="331"/>
        <v>269.86005258030764</v>
      </c>
      <c r="Z91" s="58">
        <f t="shared" ca="1" si="331"/>
        <v>324.21570945496921</v>
      </c>
      <c r="AA91" s="58">
        <f t="shared" ca="1" si="331"/>
        <v>261.36691085154308</v>
      </c>
      <c r="AB91" s="212">
        <f t="shared" ca="1" si="331"/>
        <v>307.8283552302471</v>
      </c>
      <c r="AC91" s="58">
        <f t="shared" ca="1" si="331"/>
        <v>67.551685784496613</v>
      </c>
      <c r="AD91" s="58">
        <f t="shared" ca="1" si="331"/>
        <v>142.49742881369889</v>
      </c>
      <c r="AE91" s="58">
        <f t="shared" ca="1" si="331"/>
        <v>319.47022922634187</v>
      </c>
      <c r="AF91" s="212">
        <f t="shared" ca="1" si="331"/>
        <v>669.88866299680967</v>
      </c>
      <c r="AG91" s="58">
        <f t="shared" si="331"/>
        <v>900.06200000000001</v>
      </c>
      <c r="AH91" s="58">
        <f t="shared" si="331"/>
        <v>1089.07502</v>
      </c>
      <c r="AI91" s="58">
        <f t="shared" si="331"/>
        <v>1317.7807742</v>
      </c>
      <c r="AJ91" s="212">
        <f t="shared" si="331"/>
        <v>1587.5682057999998</v>
      </c>
      <c r="AK91" s="58">
        <f t="shared" si="331"/>
        <v>1362.0060000000001</v>
      </c>
      <c r="AL91" s="58">
        <f t="shared" si="331"/>
        <v>1601.4906312786081</v>
      </c>
      <c r="AM91" s="58">
        <f t="shared" si="331"/>
        <v>1769.6471475628618</v>
      </c>
      <c r="AN91" s="212">
        <f t="shared" ref="AN91" si="332">AN87-AN95</f>
        <v>1389.1730108368465</v>
      </c>
      <c r="AO91" s="58">
        <f t="shared" ref="AO91:AV91" si="333">AK91*(1+AO92)</f>
        <v>1562.8196371914523</v>
      </c>
      <c r="AP91" s="58">
        <f t="shared" si="333"/>
        <v>1640.9606190510251</v>
      </c>
      <c r="AQ91" s="58">
        <f t="shared" si="333"/>
        <v>1673.7798314320457</v>
      </c>
      <c r="AR91" s="212">
        <f t="shared" si="333"/>
        <v>1528.0903119205313</v>
      </c>
      <c r="AS91" s="58">
        <f t="shared" si="333"/>
        <v>1680.0311099808112</v>
      </c>
      <c r="AT91" s="58">
        <f t="shared" si="333"/>
        <v>1723.0086500035763</v>
      </c>
      <c r="AU91" s="58">
        <f t="shared" si="333"/>
        <v>1757.4688230036481</v>
      </c>
      <c r="AV91" s="212">
        <f t="shared" si="333"/>
        <v>1604.494827516558</v>
      </c>
      <c r="AW91" s="58">
        <f t="shared" ref="AW91" si="334">AS91*(1+AW92)</f>
        <v>1747.2323543800437</v>
      </c>
      <c r="AX91" s="58">
        <f t="shared" ref="AX91" si="335">AT91*(1+AX92)</f>
        <v>1791.9289960037195</v>
      </c>
      <c r="AY91" s="58">
        <f t="shared" ref="AY91" si="336">AU91*(1+AY92)</f>
        <v>1827.7675759237941</v>
      </c>
      <c r="AZ91" s="58">
        <f t="shared" ref="AZ91" si="337">AV91*(1+AZ92)</f>
        <v>1668.6746206172204</v>
      </c>
    </row>
    <row r="92" spans="1:52">
      <c r="B92" s="52" t="s">
        <v>128</v>
      </c>
      <c r="G92" s="40"/>
      <c r="H92" s="4">
        <f t="shared" ref="H92:N92" ca="1" si="338">+H91/G91-1</f>
        <v>1.4842151946378026</v>
      </c>
      <c r="I92" s="4">
        <f t="shared" ca="1" si="338"/>
        <v>3.1064969238315143E-2</v>
      </c>
      <c r="J92" s="4">
        <f t="shared" ca="1" si="338"/>
        <v>3.0807514808670424</v>
      </c>
      <c r="K92" s="4">
        <f t="shared" ca="1" si="338"/>
        <v>0.25086000648041828</v>
      </c>
      <c r="L92" s="4">
        <f t="shared" ca="1" si="338"/>
        <v>4.6278822160005451E-2</v>
      </c>
      <c r="M92" s="4">
        <f t="shared" ca="1" si="338"/>
        <v>5.60993792187372E-2</v>
      </c>
      <c r="N92" s="4">
        <f t="shared" ca="1" si="338"/>
        <v>4.0000000000000036E-2</v>
      </c>
      <c r="Y92" s="4">
        <f t="shared" ref="Y92:AN92" ca="1" si="339">Y91/U91-1</f>
        <v>3.0626768834100675</v>
      </c>
      <c r="Z92" s="4">
        <f t="shared" ca="1" si="339"/>
        <v>2.2351733367933591</v>
      </c>
      <c r="AA92" s="4">
        <f t="shared" ca="1" si="339"/>
        <v>0.97801504116463112</v>
      </c>
      <c r="AB92" s="215">
        <f t="shared" ca="1" si="339"/>
        <v>0.81621462105226383</v>
      </c>
      <c r="AC92" s="4">
        <f t="shared" ca="1" si="339"/>
        <v>-0.74967882375108519</v>
      </c>
      <c r="AD92" s="4">
        <f t="shared" ca="1" si="339"/>
        <v>-0.56048573632274734</v>
      </c>
      <c r="AE92" s="4">
        <f t="shared" ca="1" si="339"/>
        <v>0.22230556341464958</v>
      </c>
      <c r="AF92" s="215">
        <f t="shared" ca="1" si="339"/>
        <v>1.1761759487547905</v>
      </c>
      <c r="AG92" s="4">
        <f t="shared" ca="1" si="339"/>
        <v>12.324049423005931</v>
      </c>
      <c r="AH92" s="4">
        <f t="shared" ca="1" si="339"/>
        <v>6.6427696209442235</v>
      </c>
      <c r="AI92" s="4">
        <f t="shared" ca="1" si="339"/>
        <v>3.1248938199695715</v>
      </c>
      <c r="AJ92" s="215">
        <f t="shared" ca="1" si="339"/>
        <v>1.3698986018032677</v>
      </c>
      <c r="AK92" s="4">
        <f t="shared" si="339"/>
        <v>0.51323575487022022</v>
      </c>
      <c r="AL92" s="4">
        <f t="shared" si="339"/>
        <v>0.47050533881367351</v>
      </c>
      <c r="AM92" s="4">
        <f t="shared" si="339"/>
        <v>0.34289950362736277</v>
      </c>
      <c r="AN92" s="215">
        <f t="shared" si="339"/>
        <v>-0.12496798199808923</v>
      </c>
      <c r="AO92" s="234">
        <f>(AN91*1.125)/AK91-1</f>
        <v>0.14743961274139195</v>
      </c>
      <c r="AP92" s="66">
        <f>(AO91*1.05)/AL91-1</f>
        <v>2.4645781250000054E-2</v>
      </c>
      <c r="AQ92" s="66">
        <f>(AP91*1.02)/AM91-1</f>
        <v>-5.4173124999999822E-2</v>
      </c>
      <c r="AR92" s="246">
        <v>0.1</v>
      </c>
      <c r="AS92" s="234">
        <v>7.4999999999999997E-2</v>
      </c>
      <c r="AT92" s="66">
        <v>0.05</v>
      </c>
      <c r="AU92" s="66">
        <v>0.05</v>
      </c>
      <c r="AV92" s="246">
        <v>0.05</v>
      </c>
      <c r="AW92" s="234">
        <v>0.04</v>
      </c>
      <c r="AX92" s="66">
        <v>0.04</v>
      </c>
      <c r="AY92" s="66">
        <v>0.04</v>
      </c>
      <c r="AZ92" s="66">
        <v>0.04</v>
      </c>
    </row>
    <row r="93" spans="1:52">
      <c r="B93" s="3"/>
      <c r="G93" s="40"/>
      <c r="H93" s="40"/>
      <c r="I93" s="40"/>
      <c r="J93" s="147"/>
    </row>
    <row r="94" spans="1:52">
      <c r="B94" s="8" t="s">
        <v>291</v>
      </c>
      <c r="F94" s="10"/>
      <c r="G94" s="2"/>
      <c r="H94" s="2"/>
      <c r="I94" s="2"/>
      <c r="J94" s="2"/>
      <c r="K94" s="2"/>
      <c r="L94" s="2"/>
      <c r="M94" s="2"/>
      <c r="N94" s="2"/>
      <c r="Q94" s="10"/>
      <c r="R94" s="10"/>
      <c r="S94" s="10"/>
      <c r="T94" s="10"/>
      <c r="U94" s="2"/>
      <c r="V94" s="2"/>
      <c r="W94" s="2"/>
      <c r="X94" s="2"/>
      <c r="Y94" s="2"/>
      <c r="Z94" s="2"/>
      <c r="AA94" s="2"/>
      <c r="AB94" s="221"/>
      <c r="AC94" s="2"/>
      <c r="AD94" s="2"/>
      <c r="AE94" s="2"/>
      <c r="AF94" s="221"/>
      <c r="AG94" s="2"/>
      <c r="AH94" s="2"/>
      <c r="AI94" s="2"/>
      <c r="AJ94" s="221"/>
      <c r="AK94" s="2"/>
      <c r="AL94" s="2"/>
      <c r="AM94" s="2"/>
      <c r="AN94" s="221"/>
      <c r="AO94" s="2"/>
      <c r="AP94" s="2"/>
      <c r="AQ94" s="2"/>
      <c r="AR94" s="221"/>
      <c r="AS94" s="2"/>
      <c r="AT94" s="2"/>
      <c r="AU94" s="2"/>
      <c r="AV94" s="221"/>
      <c r="AW94" s="2"/>
      <c r="AX94" s="2"/>
      <c r="AY94" s="2"/>
      <c r="AZ94" s="2"/>
    </row>
    <row r="95" spans="1:52">
      <c r="B95" s="3" t="s">
        <v>82</v>
      </c>
      <c r="F95" s="58">
        <f ca="1">SUM(OFFSET($P95,0,F$1,1,4))</f>
        <v>501.72500000000002</v>
      </c>
      <c r="G95" s="58">
        <f ca="1">SUM(OFFSET($P95,0,G$1,1,4))</f>
        <v>850.92200000000003</v>
      </c>
      <c r="H95" s="58">
        <f ca="1">SUM(OFFSET($P95,0,H$1,1,4))</f>
        <v>1756.7550000000001</v>
      </c>
      <c r="I95" s="58">
        <f ca="1">SUM(OFFSET($P95,0,I$1,1,4))</f>
        <v>4171.2120000000004</v>
      </c>
      <c r="J95" s="67"/>
      <c r="K95" s="58"/>
      <c r="L95" s="58"/>
      <c r="M95" s="58"/>
      <c r="N95" s="58"/>
      <c r="O95" s="58"/>
      <c r="P95" s="58"/>
      <c r="Q95" s="67">
        <v>95.174000000000007</v>
      </c>
      <c r="R95" s="67">
        <v>109.39</v>
      </c>
      <c r="S95" s="67">
        <v>153.06200000000001</v>
      </c>
      <c r="T95" s="67">
        <v>144.09899999999999</v>
      </c>
      <c r="U95" s="67">
        <v>182.678</v>
      </c>
      <c r="V95" s="67">
        <v>176.12899999999999</v>
      </c>
      <c r="W95" s="67">
        <v>241.14599999999999</v>
      </c>
      <c r="X95" s="67">
        <v>250.96899999999999</v>
      </c>
      <c r="Y95" s="67">
        <v>335.47199999999998</v>
      </c>
      <c r="Z95" s="67">
        <v>400.39800000000002</v>
      </c>
      <c r="AA95" s="67">
        <v>501.12700000000001</v>
      </c>
      <c r="AB95" s="217">
        <v>519.75800000000004</v>
      </c>
      <c r="AC95" s="67">
        <v>671.07600000000002</v>
      </c>
      <c r="AD95" s="67">
        <v>880.96199999999999</v>
      </c>
      <c r="AE95" s="67">
        <v>1325.1370000000002</v>
      </c>
      <c r="AF95" s="217">
        <v>1294.037</v>
      </c>
    </row>
    <row r="96" spans="1:52">
      <c r="B96" s="52" t="s">
        <v>128</v>
      </c>
      <c r="G96" s="4">
        <f ca="1">+G95/F95-1</f>
        <v>0.69599282475459656</v>
      </c>
      <c r="H96" s="4">
        <f ca="1">+H95/G95-1</f>
        <v>1.0645311791210004</v>
      </c>
      <c r="I96" s="4">
        <f ca="1">+I95/H95-1</f>
        <v>1.3743845897692051</v>
      </c>
      <c r="J96" s="147"/>
      <c r="U96" s="71">
        <f t="shared" ref="U96:AF96" si="340">U95/Q95-1</f>
        <v>0.91941076344379757</v>
      </c>
      <c r="V96" s="71">
        <f t="shared" si="340"/>
        <v>0.61010147179815322</v>
      </c>
      <c r="W96" s="71">
        <f t="shared" si="340"/>
        <v>0.57547921757196407</v>
      </c>
      <c r="X96" s="71">
        <f t="shared" si="340"/>
        <v>0.7416428982852068</v>
      </c>
      <c r="Y96" s="71">
        <f t="shared" si="340"/>
        <v>0.83641160949868065</v>
      </c>
      <c r="Z96" s="71">
        <f t="shared" si="340"/>
        <v>1.2733223943813914</v>
      </c>
      <c r="AA96" s="71">
        <f t="shared" si="340"/>
        <v>1.078106209516227</v>
      </c>
      <c r="AB96" s="241">
        <f t="shared" si="340"/>
        <v>1.0710047854515898</v>
      </c>
      <c r="AC96" s="71">
        <f t="shared" si="340"/>
        <v>1.0003934754614394</v>
      </c>
      <c r="AD96" s="71">
        <f t="shared" si="340"/>
        <v>1.2002157852936328</v>
      </c>
      <c r="AE96" s="71">
        <f t="shared" si="340"/>
        <v>1.6443137168821478</v>
      </c>
      <c r="AF96" s="241">
        <f t="shared" si="340"/>
        <v>1.4896913563619991</v>
      </c>
    </row>
    <row r="97" spans="2:52">
      <c r="B97" s="52" t="s">
        <v>290</v>
      </c>
      <c r="F97" s="58">
        <f ca="1">SUM(OFFSET($P97,0,F$1,1,4))</f>
        <v>468.904</v>
      </c>
      <c r="G97" s="58">
        <f ca="1">SUM(OFFSET($P97,0,G$1,1,4))</f>
        <v>813.21900000000005</v>
      </c>
      <c r="H97" s="58">
        <f ca="1">SUM(OFFSET($P97,0,H$1,1,4))</f>
        <v>1754.5469999999998</v>
      </c>
      <c r="I97" s="58">
        <f ca="1">SUM(OFFSET($P97,0,I$1,1,4))</f>
        <v>3819.4727257709956</v>
      </c>
      <c r="J97" s="147"/>
      <c r="Q97" s="67">
        <f>78.605+8.968</f>
        <v>87.573000000000008</v>
      </c>
      <c r="R97" s="67">
        <f>91.449+9.721</f>
        <v>101.17</v>
      </c>
      <c r="S97" s="67">
        <f>131.034+13.074</f>
        <v>144.108</v>
      </c>
      <c r="T97" s="67">
        <f>121.146+14.907</f>
        <v>136.053</v>
      </c>
      <c r="U97" s="67">
        <f>162.827+11.629</f>
        <v>174.45599999999999</v>
      </c>
      <c r="V97" s="67">
        <f>153.33+14.183</f>
        <v>167.51300000000001</v>
      </c>
      <c r="W97" s="67">
        <f>210.909+18.147</f>
        <v>229.05599999999998</v>
      </c>
      <c r="X97" s="67">
        <f>222.65+19.544</f>
        <v>242.19400000000002</v>
      </c>
      <c r="Y97" s="67">
        <f>319.097+15.566</f>
        <v>334.66299999999995</v>
      </c>
      <c r="Z97" s="67">
        <f>378.639+21.221</f>
        <v>399.86</v>
      </c>
      <c r="AA97" s="67">
        <f>476.397+24.365</f>
        <v>500.762</v>
      </c>
      <c r="AB97" s="217">
        <f>492.52+26.742</f>
        <v>519.26199999999994</v>
      </c>
      <c r="AC97" s="67">
        <f>457.266+128.288+21.135</f>
        <v>606.68900000000008</v>
      </c>
      <c r="AD97" s="67">
        <f>516.974+258.8+65+25.931</f>
        <v>866.70500000000015</v>
      </c>
      <c r="AE97" s="67">
        <f>596.555+550.673+39.74</f>
        <v>1186.9680000000001</v>
      </c>
      <c r="AF97" s="217">
        <f>AF95*AE97/AE95</f>
        <v>1159.1107257709957</v>
      </c>
    </row>
    <row r="98" spans="2:52">
      <c r="B98" s="61" t="s">
        <v>128</v>
      </c>
      <c r="G98" s="4">
        <f ca="1">+G97/F97-1</f>
        <v>0.73429742548581389</v>
      </c>
      <c r="H98" s="4">
        <f ca="1">+H97/G97-1</f>
        <v>1.1575332106111635</v>
      </c>
      <c r="I98" s="4">
        <f ca="1">+I97/H97-1</f>
        <v>1.1768996360718726</v>
      </c>
      <c r="J98" s="147"/>
      <c r="U98" s="71">
        <f t="shared" ref="U98:AF98" si="341">U97/Q97-1</f>
        <v>0.99212085916892168</v>
      </c>
      <c r="V98" s="71">
        <f t="shared" si="341"/>
        <v>0.65575763566274592</v>
      </c>
      <c r="W98" s="71">
        <f t="shared" si="341"/>
        <v>0.58947456074610693</v>
      </c>
      <c r="X98" s="71">
        <f t="shared" si="341"/>
        <v>0.7801445025100513</v>
      </c>
      <c r="Y98" s="71">
        <f t="shared" si="341"/>
        <v>0.91832324482964167</v>
      </c>
      <c r="Z98" s="71">
        <f t="shared" si="341"/>
        <v>1.3870386178983125</v>
      </c>
      <c r="AA98" s="71">
        <f t="shared" si="341"/>
        <v>1.1861990081028222</v>
      </c>
      <c r="AB98" s="241">
        <f t="shared" si="341"/>
        <v>1.1439920064080855</v>
      </c>
      <c r="AC98" s="71">
        <f t="shared" si="341"/>
        <v>0.81283559879640155</v>
      </c>
      <c r="AD98" s="71">
        <f t="shared" si="341"/>
        <v>1.167521132396339</v>
      </c>
      <c r="AE98" s="71">
        <f t="shared" si="341"/>
        <v>1.3703236267927679</v>
      </c>
      <c r="AF98" s="241">
        <f t="shared" si="341"/>
        <v>1.2322271334528541</v>
      </c>
    </row>
    <row r="99" spans="2:52">
      <c r="B99" s="52" t="s">
        <v>289</v>
      </c>
      <c r="F99" s="58">
        <f ca="1">SUM(OFFSET($P99,0,F$1,1,4))</f>
        <v>32.820999999999998</v>
      </c>
      <c r="G99" s="58">
        <f ca="1">SUM(OFFSET($P99,0,G$1,1,4))</f>
        <v>37.702999999999975</v>
      </c>
      <c r="H99" s="58">
        <f ca="1">SUM(OFFSET($P99,0,H$1,1,4))</f>
        <v>2.2080000000001405</v>
      </c>
      <c r="I99" s="58">
        <f ca="1">SUM(OFFSET($P99,0,I$1,1,4))</f>
        <v>351.7392742290042</v>
      </c>
      <c r="J99" s="147"/>
      <c r="Q99" s="58">
        <f t="shared" ref="Q99:AF99" si="342">Q95-Q97</f>
        <v>7.6009999999999991</v>
      </c>
      <c r="R99" s="58">
        <f t="shared" si="342"/>
        <v>8.2199999999999989</v>
      </c>
      <c r="S99" s="58">
        <f t="shared" si="342"/>
        <v>8.9540000000000077</v>
      </c>
      <c r="T99" s="58">
        <f t="shared" si="342"/>
        <v>8.0459999999999923</v>
      </c>
      <c r="U99" s="58">
        <f t="shared" si="342"/>
        <v>8.2220000000000084</v>
      </c>
      <c r="V99" s="58">
        <f t="shared" si="342"/>
        <v>8.6159999999999854</v>
      </c>
      <c r="W99" s="58">
        <f t="shared" si="342"/>
        <v>12.090000000000003</v>
      </c>
      <c r="X99" s="58">
        <f t="shared" si="342"/>
        <v>8.7749999999999773</v>
      </c>
      <c r="Y99" s="58">
        <f t="shared" si="342"/>
        <v>0.80900000000002592</v>
      </c>
      <c r="Z99" s="58">
        <f t="shared" si="342"/>
        <v>0.53800000000001091</v>
      </c>
      <c r="AA99" s="58">
        <f t="shared" si="342"/>
        <v>0.36500000000000909</v>
      </c>
      <c r="AB99" s="212">
        <f t="shared" si="342"/>
        <v>0.49600000000009459</v>
      </c>
      <c r="AC99" s="58">
        <f t="shared" si="342"/>
        <v>64.386999999999944</v>
      </c>
      <c r="AD99" s="58">
        <f t="shared" si="342"/>
        <v>14.256999999999834</v>
      </c>
      <c r="AE99" s="58">
        <f t="shared" si="342"/>
        <v>138.1690000000001</v>
      </c>
      <c r="AF99" s="212">
        <f t="shared" si="342"/>
        <v>134.92627422900432</v>
      </c>
    </row>
    <row r="100" spans="2:52">
      <c r="B100" s="61" t="s">
        <v>128</v>
      </c>
      <c r="G100" s="4">
        <f ca="1">+G99/F99-1</f>
        <v>0.14874622954815453</v>
      </c>
      <c r="H100" s="4">
        <f ca="1">+H99/G99-1</f>
        <v>-0.94143702092671289</v>
      </c>
      <c r="I100" s="4">
        <f ca="1">+I99/H99-1</f>
        <v>158.30220753124175</v>
      </c>
      <c r="J100" s="147"/>
      <c r="U100" s="71">
        <f t="shared" ref="U100:AF100" si="343">U99/Q99-1</f>
        <v>8.1699776345218966E-2</v>
      </c>
      <c r="V100" s="71">
        <f t="shared" si="343"/>
        <v>4.8175182481750234E-2</v>
      </c>
      <c r="W100" s="71">
        <f t="shared" si="343"/>
        <v>0.35023453205271315</v>
      </c>
      <c r="X100" s="71">
        <f t="shared" si="343"/>
        <v>9.0604026845635843E-2</v>
      </c>
      <c r="Y100" s="71">
        <f t="shared" si="343"/>
        <v>-0.90160544879591031</v>
      </c>
      <c r="Z100" s="71">
        <f t="shared" si="343"/>
        <v>-0.93755803156917228</v>
      </c>
      <c r="AA100" s="71">
        <f t="shared" si="343"/>
        <v>-0.96980976013233999</v>
      </c>
      <c r="AB100" s="241">
        <f t="shared" si="343"/>
        <v>-0.94347578347577254</v>
      </c>
      <c r="AC100" s="71">
        <f t="shared" si="343"/>
        <v>78.588380716931866</v>
      </c>
      <c r="AD100" s="71">
        <f t="shared" si="343"/>
        <v>25.499999999999154</v>
      </c>
      <c r="AE100" s="71">
        <f t="shared" si="343"/>
        <v>377.54520547944287</v>
      </c>
      <c r="AF100" s="241">
        <f t="shared" si="343"/>
        <v>271.02877868745685</v>
      </c>
    </row>
    <row r="101" spans="2:52">
      <c r="B101" s="52"/>
      <c r="G101" s="4"/>
      <c r="H101" s="4"/>
      <c r="I101" s="4"/>
      <c r="J101" s="147"/>
      <c r="U101" s="71"/>
      <c r="V101" s="71"/>
      <c r="W101" s="71"/>
      <c r="X101" s="71"/>
      <c r="Y101" s="71"/>
      <c r="Z101" s="71"/>
      <c r="AA101" s="71"/>
      <c r="AB101" s="241"/>
      <c r="AC101" s="71"/>
      <c r="AD101" s="71"/>
      <c r="AE101" s="71"/>
      <c r="AF101" s="241"/>
    </row>
    <row r="102" spans="2:52">
      <c r="B102" s="8" t="s">
        <v>288</v>
      </c>
      <c r="G102" s="4"/>
      <c r="H102" s="4"/>
      <c r="I102" s="4"/>
      <c r="J102" s="147"/>
      <c r="U102" s="71"/>
      <c r="V102" s="71"/>
      <c r="W102" s="71"/>
      <c r="X102" s="71"/>
      <c r="Y102" s="71"/>
      <c r="Z102" s="71"/>
      <c r="AA102" s="71"/>
      <c r="AB102" s="241"/>
      <c r="AC102" s="71"/>
      <c r="AD102" s="71"/>
      <c r="AE102" s="71"/>
      <c r="AF102" s="241"/>
    </row>
    <row r="103" spans="2:52">
      <c r="B103" s="3" t="s">
        <v>82</v>
      </c>
      <c r="G103" s="4"/>
      <c r="H103" s="4"/>
      <c r="I103" s="4"/>
      <c r="J103" s="147"/>
      <c r="L103" s="58">
        <v>133.6258738521571</v>
      </c>
      <c r="M103" s="58">
        <v>714.03555847129746</v>
      </c>
      <c r="N103" s="58">
        <v>3603.6779113130438</v>
      </c>
      <c r="U103" s="71"/>
      <c r="V103" s="71"/>
      <c r="W103" s="71"/>
      <c r="X103" s="71"/>
      <c r="Y103" s="71"/>
      <c r="Z103" s="71"/>
      <c r="AA103" s="71"/>
      <c r="AB103" s="241"/>
      <c r="AC103" s="71"/>
      <c r="AD103" s="71"/>
      <c r="AE103" s="71"/>
      <c r="AF103" s="241"/>
      <c r="AN103" s="212"/>
      <c r="AQ103" s="58">
        <v>53.450349540862845</v>
      </c>
      <c r="AR103" s="212">
        <v>80.175524311294254</v>
      </c>
      <c r="AS103" s="58">
        <f>$M103*0.15</f>
        <v>107.10533377069461</v>
      </c>
      <c r="AT103" s="58">
        <f>$M103*0.2</f>
        <v>142.8071116942595</v>
      </c>
      <c r="AU103" s="58">
        <f>$M103*0.25</f>
        <v>178.50888961782437</v>
      </c>
      <c r="AV103" s="212">
        <f>$M103*0.4</f>
        <v>285.61422338851901</v>
      </c>
      <c r="AW103" s="58">
        <f>$N103*0.15</f>
        <v>540.55168669695649</v>
      </c>
      <c r="AX103" s="58">
        <f>$N103*0.2</f>
        <v>720.73558226260877</v>
      </c>
      <c r="AY103" s="58">
        <f>$N103*0.25</f>
        <v>900.91947782826094</v>
      </c>
      <c r="AZ103" s="58">
        <f>$N103*0.4</f>
        <v>1441.4711645252175</v>
      </c>
    </row>
    <row r="104" spans="2:52">
      <c r="B104" s="52" t="s">
        <v>128</v>
      </c>
      <c r="G104" s="4"/>
      <c r="H104" s="4"/>
      <c r="I104" s="4"/>
      <c r="J104" s="147"/>
      <c r="M104" s="4">
        <f>+M103/L103-1</f>
        <v>4.3435426679514348</v>
      </c>
      <c r="N104" s="4">
        <f>+N103/M103-1</f>
        <v>4.0469165975827286</v>
      </c>
      <c r="U104" s="71"/>
      <c r="V104" s="71"/>
      <c r="W104" s="71"/>
      <c r="X104" s="71"/>
      <c r="Y104" s="71"/>
      <c r="Z104" s="71"/>
      <c r="AA104" s="71"/>
      <c r="AB104" s="241"/>
      <c r="AC104" s="71"/>
      <c r="AD104" s="71"/>
      <c r="AE104" s="71"/>
      <c r="AF104" s="241"/>
      <c r="AU104" s="71">
        <f>AU103/AQ103-1</f>
        <v>2.3397141674696464</v>
      </c>
      <c r="AV104" s="241">
        <f>AV103/AR103-1</f>
        <v>2.5623617786342905</v>
      </c>
      <c r="AW104" s="71">
        <f t="shared" ref="AW104:AZ104" si="344">AW103/AS103-1</f>
        <v>4.0469165975827277</v>
      </c>
      <c r="AX104" s="71">
        <f t="shared" si="344"/>
        <v>4.0469165975827277</v>
      </c>
      <c r="AY104" s="71">
        <f t="shared" si="344"/>
        <v>4.0469165975827286</v>
      </c>
      <c r="AZ104" s="71">
        <f t="shared" si="344"/>
        <v>4.0469165975827277</v>
      </c>
    </row>
    <row r="105" spans="2:52">
      <c r="B105" s="52"/>
      <c r="G105" s="4"/>
      <c r="H105" s="4"/>
      <c r="I105" s="4"/>
      <c r="J105" s="147"/>
      <c r="U105" s="71"/>
      <c r="V105" s="71"/>
      <c r="W105" s="71"/>
      <c r="X105" s="71"/>
      <c r="Y105" s="71"/>
      <c r="Z105" s="71"/>
      <c r="AA105" s="71"/>
      <c r="AB105" s="241"/>
      <c r="AC105" s="71"/>
      <c r="AD105" s="71"/>
      <c r="AE105" s="71"/>
      <c r="AF105" s="241"/>
    </row>
    <row r="106" spans="2:52">
      <c r="B106" s="8" t="s">
        <v>73</v>
      </c>
      <c r="F106" s="10"/>
      <c r="G106" s="2"/>
      <c r="H106" s="2"/>
      <c r="I106" s="2"/>
      <c r="J106" s="2"/>
      <c r="K106" s="2"/>
      <c r="L106" s="2"/>
      <c r="M106" s="2"/>
      <c r="N106" s="2"/>
      <c r="Q106" s="10"/>
      <c r="R106" s="10"/>
      <c r="S106" s="10"/>
      <c r="T106" s="10"/>
      <c r="U106" s="2"/>
      <c r="V106" s="2"/>
      <c r="W106" s="2"/>
      <c r="X106" s="2"/>
      <c r="Y106" s="2"/>
      <c r="Z106" s="2"/>
      <c r="AA106" s="2"/>
      <c r="AB106" s="221"/>
      <c r="AC106" s="2"/>
      <c r="AD106" s="2"/>
      <c r="AE106" s="2"/>
      <c r="AF106" s="221"/>
      <c r="AG106" s="2"/>
      <c r="AH106" s="2"/>
      <c r="AI106" s="2"/>
      <c r="AJ106" s="221"/>
      <c r="AK106" s="2"/>
      <c r="AL106" s="2"/>
      <c r="AM106" s="2"/>
      <c r="AN106" s="221"/>
      <c r="AO106" s="2"/>
      <c r="AP106" s="2"/>
      <c r="AQ106" s="2"/>
      <c r="AR106" s="221"/>
      <c r="AS106" s="2"/>
      <c r="AT106" s="2"/>
      <c r="AU106" s="2"/>
      <c r="AV106" s="221"/>
      <c r="AW106" s="2"/>
      <c r="AX106" s="2"/>
      <c r="AY106" s="2"/>
      <c r="AZ106" s="2"/>
    </row>
    <row r="107" spans="2:52">
      <c r="B107" s="3" t="s">
        <v>82</v>
      </c>
      <c r="G107" s="58">
        <f t="shared" ref="G107:N107" ca="1" si="345">SUM(OFFSET($P107,0,G$1,1,4))</f>
        <v>0</v>
      </c>
      <c r="H107" s="58">
        <f t="shared" ca="1" si="345"/>
        <v>-310.5809999999982</v>
      </c>
      <c r="I107" s="58">
        <f t="shared" ca="1" si="345"/>
        <v>-468.71802811707039</v>
      </c>
      <c r="J107" s="58">
        <f t="shared" ca="1" si="345"/>
        <v>-619.79560682135036</v>
      </c>
      <c r="K107" s="58">
        <f t="shared" ca="1" si="345"/>
        <v>-957.55999999999767</v>
      </c>
      <c r="L107" s="58">
        <f t="shared" ca="1" si="345"/>
        <v>-1005.0874237609028</v>
      </c>
      <c r="M107" s="58">
        <f t="shared" ca="1" si="345"/>
        <v>-1196.295199973199</v>
      </c>
      <c r="N107" s="58">
        <f t="shared" ca="1" si="345"/>
        <v>-1375.6519552523812</v>
      </c>
      <c r="O107" s="58"/>
      <c r="P107" s="58"/>
      <c r="Q107" s="58"/>
      <c r="R107" s="58"/>
      <c r="S107" s="58"/>
      <c r="T107" s="58"/>
      <c r="U107" s="58">
        <f>BIDU_IS!Q316</f>
        <v>0</v>
      </c>
      <c r="V107" s="58">
        <f>BIDU_IS!R316</f>
        <v>0</v>
      </c>
      <c r="W107" s="58">
        <f>BIDU_IS!S316</f>
        <v>0</v>
      </c>
      <c r="X107" s="58">
        <f>BIDU_IS!T316</f>
        <v>0</v>
      </c>
      <c r="Y107" s="58">
        <f ca="1">BIDU_IS!U316</f>
        <v>-59.006197721034681</v>
      </c>
      <c r="Z107" s="58">
        <f ca="1">BIDU_IS!V316</f>
        <v>-74.26594966228059</v>
      </c>
      <c r="AA107" s="58">
        <f ca="1">BIDU_IS!W316</f>
        <v>-86.597377215801188</v>
      </c>
      <c r="AB107" s="212">
        <f ca="1">BIDU_IS!X316</f>
        <v>-90.711475400881767</v>
      </c>
      <c r="AC107" s="58">
        <f ca="1">BIDU_IS!Y316</f>
        <v>-93.034252580308433</v>
      </c>
      <c r="AD107" s="58">
        <f ca="1">BIDU_IS!Z316</f>
        <v>-116.42874945496811</v>
      </c>
      <c r="AE107" s="58">
        <f ca="1">BIDU_IS!AA316</f>
        <v>-129.55387085154601</v>
      </c>
      <c r="AF107" s="212">
        <f ca="1">BIDU_IS!AB316</f>
        <v>-129.70115523024785</v>
      </c>
      <c r="AG107" s="58">
        <f ca="1">BIDU_IS!AC316</f>
        <v>-121.07963465014518</v>
      </c>
      <c r="AH107" s="58">
        <f ca="1">BIDU_IS!AD316</f>
        <v>-157.77814396789947</v>
      </c>
      <c r="AI107" s="58">
        <f ca="1">BIDU_IS!AE316</f>
        <v>-172.56551589596225</v>
      </c>
      <c r="AJ107" s="212">
        <f ca="1">BIDU_IS!AF316</f>
        <v>-168.37231230734344</v>
      </c>
      <c r="AK107" s="58">
        <f>BIDU_IS!AG316</f>
        <v>-251.59400000000096</v>
      </c>
      <c r="AL107" s="58">
        <f ca="1">BIDU_IS!AH316</f>
        <v>-238.25138940557616</v>
      </c>
      <c r="AM107" s="58">
        <f ca="1">BIDU_IS!AI316</f>
        <v>-232.52453324491196</v>
      </c>
      <c r="AN107" s="212">
        <f ca="1">BIDU_IS!AJ316</f>
        <v>-235.19007734950856</v>
      </c>
      <c r="AO107" s="58">
        <f t="shared" ref="AO107:AZ107" ca="1" si="346">-AO108*SUM(AO91+AO73)</f>
        <v>-210.65327273175217</v>
      </c>
      <c r="AP107" s="58">
        <f t="shared" ca="1" si="346"/>
        <v>-251.53577725379463</v>
      </c>
      <c r="AQ107" s="58">
        <f t="shared" ca="1" si="346"/>
        <v>-271.10742874023106</v>
      </c>
      <c r="AR107" s="212">
        <f t="shared" ca="1" si="346"/>
        <v>-271.79094503512493</v>
      </c>
      <c r="AS107" s="58">
        <f t="shared" ca="1" si="346"/>
        <v>-260.48258830263086</v>
      </c>
      <c r="AT107" s="58">
        <f t="shared" ca="1" si="346"/>
        <v>-299.38908027417341</v>
      </c>
      <c r="AU107" s="58">
        <f t="shared" ca="1" si="346"/>
        <v>-325.87178420249359</v>
      </c>
      <c r="AV107" s="212">
        <f t="shared" ca="1" si="346"/>
        <v>-310.55174719390118</v>
      </c>
      <c r="AW107" s="58">
        <f t="shared" ca="1" si="346"/>
        <v>-303.47928237868211</v>
      </c>
      <c r="AX107" s="58">
        <f t="shared" ca="1" si="346"/>
        <v>-342.49246986385771</v>
      </c>
      <c r="AY107" s="58">
        <f t="shared" ca="1" si="346"/>
        <v>-370.48482340565067</v>
      </c>
      <c r="AZ107" s="58">
        <f t="shared" ca="1" si="346"/>
        <v>-359.19537960419058</v>
      </c>
    </row>
    <row r="108" spans="2:52">
      <c r="B108" s="52" t="s">
        <v>287</v>
      </c>
      <c r="G108" s="4">
        <f ca="1">-G107/SUM(BIDU_IS!G85:G86)</f>
        <v>0</v>
      </c>
      <c r="H108" s="4">
        <f ca="1">-H107/SUM(BIDU_IS!H85:H86)</f>
        <v>6.5316836002755879E-3</v>
      </c>
      <c r="I108" s="4">
        <f ca="1">-I107/SUM(BIDU_IS!I85:I86)</f>
        <v>7.4787371679382987E-3</v>
      </c>
      <c r="J108" s="4">
        <f ca="1">-J107/SUM(BIDU_IS!J85:J86)</f>
        <v>1.0283732766953324E-2</v>
      </c>
      <c r="K108" s="4">
        <f ca="1">-K107/SUM(BIDU_IS!K85:K86)</f>
        <v>1.4023020853992265E-2</v>
      </c>
      <c r="L108" s="4">
        <f ca="1">-L107/SUM(BIDU_IS!L85:L86)</f>
        <v>1.2376520324558144E-2</v>
      </c>
      <c r="M108" s="4">
        <f ca="1">-M107/SUM(BIDU_IS!M85:M86)</f>
        <v>1.2305863124349222E-2</v>
      </c>
      <c r="N108" s="4">
        <f ca="1">-N107/SUM(BIDU_IS!N85:N86)</f>
        <v>1.2006990066931114E-2</v>
      </c>
      <c r="O108" s="71"/>
      <c r="P108" s="71"/>
      <c r="Q108" s="71"/>
      <c r="R108" s="71"/>
      <c r="S108" s="71"/>
      <c r="T108" s="71"/>
      <c r="U108" s="4">
        <f ca="1">-U107/SUM(BIDU_IS!U85:U86)</f>
        <v>0</v>
      </c>
      <c r="V108" s="4">
        <f ca="1">-V107/SUM(BIDU_IS!V85:V86)</f>
        <v>0</v>
      </c>
      <c r="W108" s="4">
        <f ca="1">-W107/SUM(BIDU_IS!W85:W86)</f>
        <v>0</v>
      </c>
      <c r="X108" s="4">
        <f ca="1">-X107/SUM(BIDU_IS!X85:X86)</f>
        <v>0</v>
      </c>
      <c r="Y108" s="4">
        <f ca="1">-Y107/SUM(BIDU_IS!Y85:Y86)</f>
        <v>6.3729158097811872E-3</v>
      </c>
      <c r="Z108" s="4">
        <f ca="1">-Z107/SUM(BIDU_IS!Z85:Z86)</f>
        <v>6.4093343858437389E-3</v>
      </c>
      <c r="AA108" s="4">
        <f ca="1">-AA107/SUM(BIDU_IS!AA85:AA86)</f>
        <v>6.7164188085491426E-3</v>
      </c>
      <c r="AB108" s="215">
        <f ca="1">-AB107/SUM(BIDU_IS!AB85:AB86)</f>
        <v>7.0275154706783477E-3</v>
      </c>
      <c r="AC108" s="4">
        <f ca="1">-AC107/SUM(BIDU_IS!AC85:AC86)</f>
        <v>7.7206736444978665E-3</v>
      </c>
      <c r="AD108" s="4">
        <f ca="1">-AD107/SUM(BIDU_IS!AD85:AD86)</f>
        <v>7.4147551416076946E-3</v>
      </c>
      <c r="AE108" s="4">
        <f ca="1">-AE107/SUM(BIDU_IS!AE85:AE86)</f>
        <v>7.5436200011135121E-3</v>
      </c>
      <c r="AF108" s="215">
        <f ca="1">-AF107/SUM(BIDU_IS!AF85:AF86)</f>
        <v>7.7402785869820833E-3</v>
      </c>
      <c r="AG108" s="4">
        <f ca="1">-AG107/SUM(BIDU_IS!AG85:AG86)</f>
        <v>8.5588237936687541E-3</v>
      </c>
      <c r="AH108" s="4">
        <f ca="1">-AH107/SUM(BIDU_IS!AH85:AH86)</f>
        <v>1.0112253232452195E-2</v>
      </c>
      <c r="AI108" s="4">
        <f ca="1">-AI107/SUM(BIDU_IS!AI85:AI86)</f>
        <v>1.1332396692736127E-2</v>
      </c>
      <c r="AJ108" s="215">
        <f ca="1">-AJ107/SUM(BIDU_IS!AJ85:AJ86)</f>
        <v>1.101015287703001E-2</v>
      </c>
      <c r="AK108" s="4">
        <f>-AK107/SUM(BIDU_IS!AK85:AK86)</f>
        <v>1.8254530674328792E-2</v>
      </c>
      <c r="AL108" s="4">
        <f ca="1">-AL107/SUM(BIDU_IS!AL85:AL86)</f>
        <v>1.4216536193419799E-2</v>
      </c>
      <c r="AM108" s="4">
        <f ca="1">-AM107/SUM(BIDU_IS!AM85:AM86)</f>
        <v>1.2386839851530895E-2</v>
      </c>
      <c r="AN108" s="215">
        <f ca="1">-AN107/SUM(BIDU_IS!AN85:AN86)</f>
        <v>1.2396918862355768E-2</v>
      </c>
      <c r="AO108" s="234">
        <f t="shared" ref="AO108:AV108" ca="1" si="347">AN108</f>
        <v>1.2396918862355768E-2</v>
      </c>
      <c r="AP108" s="66">
        <f t="shared" ca="1" si="347"/>
        <v>1.2396918862355768E-2</v>
      </c>
      <c r="AQ108" s="66">
        <f t="shared" ca="1" si="347"/>
        <v>1.2396918862355768E-2</v>
      </c>
      <c r="AR108" s="246">
        <f t="shared" ca="1" si="347"/>
        <v>1.2396918862355768E-2</v>
      </c>
      <c r="AS108" s="234">
        <f t="shared" ca="1" si="347"/>
        <v>1.2396918862355768E-2</v>
      </c>
      <c r="AT108" s="66">
        <f t="shared" ca="1" si="347"/>
        <v>1.2396918862355768E-2</v>
      </c>
      <c r="AU108" s="66">
        <f t="shared" ca="1" si="347"/>
        <v>1.2396918862355768E-2</v>
      </c>
      <c r="AV108" s="246">
        <f t="shared" ca="1" si="347"/>
        <v>1.2396918862355768E-2</v>
      </c>
      <c r="AW108" s="234">
        <f t="shared" ref="AW108" ca="1" si="348">AV108</f>
        <v>1.2396918862355768E-2</v>
      </c>
      <c r="AX108" s="66">
        <f t="shared" ref="AX108" ca="1" si="349">AW108</f>
        <v>1.2396918862355768E-2</v>
      </c>
      <c r="AY108" s="66">
        <f t="shared" ref="AY108" ca="1" si="350">AX108</f>
        <v>1.2396918862355768E-2</v>
      </c>
      <c r="AZ108" s="66">
        <f t="shared" ref="AZ108" ca="1" si="351">AY108</f>
        <v>1.2396918862355768E-2</v>
      </c>
    </row>
    <row r="109" spans="2:52">
      <c r="G109" s="10"/>
      <c r="H109" s="10"/>
      <c r="I109" s="10"/>
      <c r="J109" s="10"/>
    </row>
    <row r="110" spans="2:52">
      <c r="B110" s="6" t="s">
        <v>401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254"/>
      <c r="AC110" s="6"/>
      <c r="AD110" s="6"/>
      <c r="AE110" s="6"/>
      <c r="AF110" s="254"/>
      <c r="AG110" s="6"/>
      <c r="AH110" s="6"/>
      <c r="AI110" s="6"/>
      <c r="AJ110" s="254"/>
      <c r="AK110" s="6"/>
      <c r="AL110" s="6"/>
      <c r="AM110" s="6"/>
      <c r="AN110" s="254"/>
      <c r="AO110" s="6"/>
      <c r="AP110" s="6"/>
      <c r="AQ110" s="6"/>
      <c r="AR110" s="254"/>
      <c r="AS110" s="6"/>
      <c r="AT110" s="6"/>
      <c r="AU110" s="6"/>
      <c r="AV110" s="254"/>
      <c r="AW110" s="6"/>
      <c r="AX110" s="6"/>
      <c r="AY110" s="6"/>
      <c r="AZ110" s="6"/>
    </row>
    <row r="111" spans="2:52">
      <c r="B111" s="1" t="s">
        <v>136</v>
      </c>
      <c r="E111" s="109">
        <f>E73+E87+E107</f>
        <v>14489.767</v>
      </c>
      <c r="F111" s="109">
        <f>F73+F87+F107</f>
        <v>22245.643</v>
      </c>
      <c r="G111" s="58">
        <f t="shared" ref="G111:N111" ca="1" si="352">SUM(OFFSET($P111,0,G$1,1,4))</f>
        <v>30909.462999999996</v>
      </c>
      <c r="H111" s="58">
        <f t="shared" ca="1" si="352"/>
        <v>46336.904028117075</v>
      </c>
      <c r="I111" s="58">
        <f t="shared" ca="1" si="352"/>
        <v>61214.222578704284</v>
      </c>
      <c r="J111" s="58">
        <f t="shared" ca="1" si="352"/>
        <v>59649.721393178654</v>
      </c>
      <c r="K111" s="58">
        <f t="shared" ca="1" si="352"/>
        <v>67327.298873855732</v>
      </c>
      <c r="L111" s="58">
        <f t="shared" ca="1" si="352"/>
        <v>80204.121417156624</v>
      </c>
      <c r="M111" s="58">
        <f t="shared" ca="1" si="352"/>
        <v>96017.137769724592</v>
      </c>
      <c r="N111" s="58">
        <f t="shared" ca="1" si="352"/>
        <v>113195.27277975794</v>
      </c>
      <c r="Q111" s="109">
        <f>Q73+Q87+Q107</f>
        <v>4172.9569999999994</v>
      </c>
      <c r="R111" s="109">
        <f t="shared" ref="R111:AZ111" si="353">R73+R87+R107</f>
        <v>5350.3850000000002</v>
      </c>
      <c r="S111" s="109">
        <f t="shared" si="353"/>
        <v>6101.9009999999998</v>
      </c>
      <c r="T111" s="109">
        <f t="shared" si="353"/>
        <v>6151.4960000000001</v>
      </c>
      <c r="U111" s="109">
        <f t="shared" ca="1" si="353"/>
        <v>5872.3807484328272</v>
      </c>
      <c r="V111" s="109">
        <f t="shared" ca="1" si="353"/>
        <v>7391.0529724810513</v>
      </c>
      <c r="W111" s="109">
        <f t="shared" ca="1" si="353"/>
        <v>8618.294187181009</v>
      </c>
      <c r="X111" s="109">
        <f t="shared" ca="1" si="353"/>
        <v>9027.7350919051096</v>
      </c>
      <c r="Y111" s="109">
        <f t="shared" ca="1" si="353"/>
        <v>9199.8949838184471</v>
      </c>
      <c r="Z111" s="109">
        <f t="shared" ca="1" si="353"/>
        <v>11512.888845430231</v>
      </c>
      <c r="AA111" s="109">
        <f t="shared" ca="1" si="353"/>
        <v>12806.7881730679</v>
      </c>
      <c r="AB111" s="249">
        <f t="shared" ca="1" si="353"/>
        <v>12817.332025800493</v>
      </c>
      <c r="AC111" s="109">
        <f t="shared" ca="1" si="353"/>
        <v>11956.98325419635</v>
      </c>
      <c r="AD111" s="109">
        <f t="shared" ca="1" si="353"/>
        <v>15585.876617532997</v>
      </c>
      <c r="AE111" s="109">
        <f t="shared" ca="1" si="353"/>
        <v>17044.411789192651</v>
      </c>
      <c r="AF111" s="249">
        <f t="shared" ca="1" si="353"/>
        <v>16626.950917782287</v>
      </c>
      <c r="AG111" s="109">
        <f t="shared" ca="1" si="353"/>
        <v>14025.681365349856</v>
      </c>
      <c r="AH111" s="109">
        <f t="shared" ca="1" si="353"/>
        <v>15444.891245437677</v>
      </c>
      <c r="AI111" s="109">
        <f t="shared" ca="1" si="353"/>
        <v>15055.062017348953</v>
      </c>
      <c r="AJ111" s="249">
        <f t="shared" ca="1" si="353"/>
        <v>15124.08676504217</v>
      </c>
      <c r="AK111" s="109">
        <f t="shared" si="353"/>
        <v>13530.956999999999</v>
      </c>
      <c r="AL111" s="109">
        <f t="shared" ca="1" si="353"/>
        <v>16520.499558371146</v>
      </c>
      <c r="AM111" s="109">
        <f t="shared" ca="1" si="353"/>
        <v>18539.376616036046</v>
      </c>
      <c r="AN111" s="249">
        <f t="shared" ca="1" si="353"/>
        <v>18736.465699448545</v>
      </c>
      <c r="AO111" s="109">
        <f t="shared" ca="1" si="353"/>
        <v>16781.73613230159</v>
      </c>
      <c r="AP111" s="109">
        <f t="shared" ca="1" si="353"/>
        <v>20038.649231345647</v>
      </c>
      <c r="AQ111" s="109">
        <f t="shared" ca="1" si="353"/>
        <v>21651.279206531301</v>
      </c>
      <c r="AR111" s="249">
        <f t="shared" ca="1" si="353"/>
        <v>21732.456846978086</v>
      </c>
      <c r="AS111" s="109">
        <f t="shared" ca="1" si="353"/>
        <v>20858.504100407557</v>
      </c>
      <c r="AT111" s="109">
        <f t="shared" ca="1" si="353"/>
        <v>23993.699532680224</v>
      </c>
      <c r="AU111" s="109">
        <f t="shared" ca="1" si="353"/>
        <v>26139.151345016369</v>
      </c>
      <c r="AV111" s="249">
        <f t="shared" ca="1" si="353"/>
        <v>25025.782791620437</v>
      </c>
      <c r="AW111" s="109">
        <f t="shared" ca="1" si="353"/>
        <v>24717.290896368031</v>
      </c>
      <c r="AX111" s="109">
        <f t="shared" ca="1" si="353"/>
        <v>28005.468366236895</v>
      </c>
      <c r="AY111" s="109">
        <f t="shared" ca="1" si="353"/>
        <v>30415.668841980081</v>
      </c>
      <c r="AZ111" s="109">
        <f t="shared" ca="1" si="353"/>
        <v>30056.844675172943</v>
      </c>
    </row>
    <row r="112" spans="2:52">
      <c r="B112" s="3" t="s">
        <v>128</v>
      </c>
      <c r="F112" s="4">
        <f>+F111/E111-1</f>
        <v>0.53526574995995446</v>
      </c>
      <c r="G112" s="4">
        <f t="shared" ref="G112:N112" ca="1" si="354">+G111/F111-1</f>
        <v>0.38946143296464819</v>
      </c>
      <c r="H112" s="4">
        <f t="shared" ca="1" si="354"/>
        <v>0.49911708359724916</v>
      </c>
      <c r="I112" s="4">
        <f t="shared" ca="1" si="354"/>
        <v>0.32106846287269653</v>
      </c>
      <c r="J112" s="4">
        <f t="shared" ca="1" si="354"/>
        <v>-2.5557805353390251E-2</v>
      </c>
      <c r="K112" s="4">
        <f t="shared" ca="1" si="354"/>
        <v>0.12871103672170814</v>
      </c>
      <c r="L112" s="4">
        <f t="shared" ca="1" si="354"/>
        <v>0.19125707935241665</v>
      </c>
      <c r="M112" s="4">
        <f t="shared" ca="1" si="354"/>
        <v>0.19715964807246644</v>
      </c>
      <c r="N112" s="4">
        <f t="shared" ca="1" si="354"/>
        <v>0.17890696816261298</v>
      </c>
      <c r="U112" s="71">
        <f t="shared" ref="U112" ca="1" si="355">U111/Q111-1</f>
        <v>0.40724688714329615</v>
      </c>
      <c r="V112" s="71">
        <f t="shared" ref="V112" ca="1" si="356">V111/R111-1</f>
        <v>0.38140581892350744</v>
      </c>
      <c r="W112" s="71">
        <f t="shared" ref="W112" ca="1" si="357">W111/S111-1</f>
        <v>0.41239495481506649</v>
      </c>
      <c r="X112" s="71">
        <f t="shared" ref="X112" ca="1" si="358">X111/T111-1</f>
        <v>0.46756741643091515</v>
      </c>
      <c r="Y112" s="71">
        <f t="shared" ref="Y112" ca="1" si="359">Y111/U111-1</f>
        <v>0.56663802602950075</v>
      </c>
      <c r="Z112" s="71">
        <f t="shared" ref="Z112" ca="1" si="360">Z111/V111-1</f>
        <v>0.55767911396331793</v>
      </c>
      <c r="AA112" s="71">
        <f t="shared" ref="AA112" ca="1" si="361">AA111/W111-1</f>
        <v>0.48600034936344194</v>
      </c>
      <c r="AB112" s="241">
        <f t="shared" ref="AB112" ca="1" si="362">AB111/X111-1</f>
        <v>0.41977272209653083</v>
      </c>
      <c r="AC112" s="71">
        <f t="shared" ref="AC112" ca="1" si="363">AC111/Y111-1</f>
        <v>0.29968692851682577</v>
      </c>
      <c r="AD112" s="71">
        <f t="shared" ref="AD112" ca="1" si="364">AD111/Z111-1</f>
        <v>0.3537763481247751</v>
      </c>
      <c r="AE112" s="71">
        <f t="shared" ref="AE112" ca="1" si="365">AE111/AA111-1</f>
        <v>0.33088886603405232</v>
      </c>
      <c r="AF112" s="241">
        <f t="shared" ref="AF112" ca="1" si="366">AF111/AB111-1</f>
        <v>0.29722401544356258</v>
      </c>
      <c r="AG112" s="71">
        <f t="shared" ref="AG112" ca="1" si="367">AG111/AC111-1</f>
        <v>0.17301170932287535</v>
      </c>
      <c r="AH112" s="71">
        <f t="shared" ref="AH112" ca="1" si="368">AH111/AD111-1</f>
        <v>-9.0457133438821558E-3</v>
      </c>
      <c r="AI112" s="71">
        <f t="shared" ref="AI112" ca="1" si="369">AI111/AE111-1</f>
        <v>-0.116715660032638</v>
      </c>
      <c r="AJ112" s="241">
        <f t="shared" ref="AJ112" ca="1" si="370">AJ111/AF111-1</f>
        <v>-9.0387236972764851E-2</v>
      </c>
      <c r="AK112" s="71">
        <f t="shared" ref="AK112" ca="1" si="371">AK111/AG111-1</f>
        <v>-3.5272750924747465E-2</v>
      </c>
      <c r="AL112" s="71">
        <f t="shared" ref="AL112" ca="1" si="372">AL111/AH111-1</f>
        <v>6.9641689011646246E-2</v>
      </c>
      <c r="AM112" s="71">
        <f t="shared" ref="AM112" ca="1" si="373">AM111/AI111-1</f>
        <v>0.23143807675264871</v>
      </c>
      <c r="AN112" s="241">
        <f t="shared" ref="AN112" ca="1" si="374">AN111/AJ111-1</f>
        <v>0.23884939239809388</v>
      </c>
      <c r="AO112" s="71">
        <f t="shared" ref="AO112" ca="1" si="375">AO111/AK111-1</f>
        <v>0.24024753994130577</v>
      </c>
      <c r="AP112" s="71">
        <f t="shared" ref="AP112" ca="1" si="376">AP111/AL111-1</f>
        <v>0.21295661553961964</v>
      </c>
      <c r="AQ112" s="71">
        <f t="shared" ref="AQ112" ca="1" si="377">AQ111/AM111-1</f>
        <v>0.16785368003169765</v>
      </c>
      <c r="AR112" s="241">
        <f t="shared" ref="AR112" ca="1" si="378">AR111/AN111-1</f>
        <v>0.15990161621664423</v>
      </c>
      <c r="AS112" s="71">
        <f t="shared" ref="AS112" ca="1" si="379">AS111/AO111-1</f>
        <v>0.24292885646431883</v>
      </c>
      <c r="AT112" s="71">
        <f t="shared" ref="AT112" ca="1" si="380">AT111/AP111-1</f>
        <v>0.19737110299569749</v>
      </c>
      <c r="AU112" s="71">
        <f t="shared" ref="AU112" ca="1" si="381">AU111/AQ111-1</f>
        <v>0.20727976835342199</v>
      </c>
      <c r="AV112" s="241">
        <f t="shared" ref="AV112" ca="1" si="382">AV111/AR111-1</f>
        <v>0.15153951381710851</v>
      </c>
      <c r="AW112" s="71">
        <f t="shared" ref="AW112" ca="1" si="383">AW111/AS111-1</f>
        <v>0.18499825190652452</v>
      </c>
      <c r="AX112" s="71">
        <f t="shared" ref="AX112" ca="1" si="384">AX111/AT111-1</f>
        <v>0.16720092823086774</v>
      </c>
      <c r="AY112" s="71">
        <f t="shared" ref="AY112" ca="1" si="385">AY111/AU111-1</f>
        <v>0.16360582792138212</v>
      </c>
      <c r="AZ112" s="71">
        <f t="shared" ref="AZ112" ca="1" si="386">AZ111/AV111-1</f>
        <v>0.20103514545155776</v>
      </c>
    </row>
    <row r="113" spans="2:52">
      <c r="G113" s="10"/>
      <c r="H113" s="10"/>
      <c r="I113" s="10"/>
      <c r="J113" s="10"/>
    </row>
    <row r="114" spans="2:52">
      <c r="B114" s="1" t="s">
        <v>38</v>
      </c>
      <c r="G114" s="10"/>
      <c r="H114" s="10"/>
      <c r="I114" s="10">
        <f>I265-I235</f>
        <v>4195.9269999999997</v>
      </c>
      <c r="J114" s="10">
        <f t="shared" ref="J114:K114" si="387">J265-J235</f>
        <v>3894.7190000000001</v>
      </c>
      <c r="K114" s="10">
        <f t="shared" si="387"/>
        <v>4908.7049999999999</v>
      </c>
      <c r="L114" s="58">
        <f ca="1">SUM(OFFSET($P114,0,L$1,1,4))</f>
        <v>5823.0011629659584</v>
      </c>
      <c r="M114" s="58">
        <f ca="1">SUM(OFFSET($P114,0,M$1,1,4))</f>
        <v>6971.0620229818887</v>
      </c>
      <c r="N114" s="58">
        <f ca="1">SUM(OFFSET($P114,0,N$1,1,4))</f>
        <v>8218.2335943871112</v>
      </c>
      <c r="AI114" s="10">
        <f t="shared" ref="AI114:AN114" ca="1" si="388">AI265-AI235</f>
        <v>981.57717079171368</v>
      </c>
      <c r="AJ114" s="255">
        <f t="shared" ca="1" si="388"/>
        <v>1007.6817822715684</v>
      </c>
      <c r="AK114" s="10">
        <f t="shared" ca="1" si="388"/>
        <v>1018.0789582307872</v>
      </c>
      <c r="AL114" s="10">
        <f t="shared" ca="1" si="388"/>
        <v>1192.263714213087</v>
      </c>
      <c r="AM114" s="10">
        <f t="shared" ca="1" si="388"/>
        <v>1337.5604129284427</v>
      </c>
      <c r="AN114" s="255">
        <f t="shared" ca="1" si="388"/>
        <v>1360.3099146276834</v>
      </c>
      <c r="AO114" s="10">
        <f ca="1">AO116+AO118</f>
        <v>1218.392113626177</v>
      </c>
      <c r="AP114" s="10">
        <f t="shared" ref="AP114:AZ114" ca="1" si="389">AP116+AP118</f>
        <v>1454.8513931284367</v>
      </c>
      <c r="AQ114" s="10">
        <f t="shared" ca="1" si="389"/>
        <v>1571.9319876791692</v>
      </c>
      <c r="AR114" s="255">
        <f t="shared" ca="1" si="389"/>
        <v>1577.8256685321753</v>
      </c>
      <c r="AS114" s="10">
        <f t="shared" ca="1" si="389"/>
        <v>1514.3747165145289</v>
      </c>
      <c r="AT114" s="10">
        <f t="shared" ca="1" si="389"/>
        <v>1741.9970172850235</v>
      </c>
      <c r="AU114" s="10">
        <f t="shared" ca="1" si="389"/>
        <v>1897.7616859526413</v>
      </c>
      <c r="AV114" s="255">
        <f t="shared" ca="1" si="389"/>
        <v>1816.928603229695</v>
      </c>
      <c r="AW114" s="10">
        <f t="shared" ca="1" si="389"/>
        <v>1794.5313918011555</v>
      </c>
      <c r="AX114" s="10">
        <f t="shared" ca="1" si="389"/>
        <v>2033.2605355504825</v>
      </c>
      <c r="AY114" s="10">
        <f t="shared" ca="1" si="389"/>
        <v>2208.2465577804014</v>
      </c>
      <c r="AZ114" s="10">
        <f t="shared" ca="1" si="389"/>
        <v>2182.1951092550726</v>
      </c>
    </row>
    <row r="115" spans="2:52">
      <c r="B115" s="3" t="s">
        <v>284</v>
      </c>
      <c r="G115" s="10"/>
      <c r="H115" s="10"/>
      <c r="I115" s="4">
        <f ca="1">I114/I$111</f>
        <v>6.8544969179429122E-2</v>
      </c>
      <c r="J115" s="4">
        <f t="shared" ref="J115:K115" ca="1" si="390">J114/J$111</f>
        <v>6.529316330462169E-2</v>
      </c>
      <c r="K115" s="4">
        <f t="shared" ca="1" si="390"/>
        <v>7.2908093479242916E-2</v>
      </c>
      <c r="L115" s="4">
        <f t="shared" ref="L115" ca="1" si="391">L114/L$111</f>
        <v>7.2602268562726863E-2</v>
      </c>
      <c r="M115" s="4">
        <f t="shared" ref="M115" ca="1" si="392">M114/M$111</f>
        <v>7.2602268562726849E-2</v>
      </c>
      <c r="N115" s="4">
        <f t="shared" ref="N115" ca="1" si="393">N114/N$111</f>
        <v>7.2602268562726863E-2</v>
      </c>
      <c r="AI115" s="4">
        <f ca="1">AI114/AI$111</f>
        <v>6.5199144956067059E-2</v>
      </c>
      <c r="AJ115" s="215">
        <f t="shared" ref="AJ115:AN115" ca="1" si="394">AJ114/AJ$111</f>
        <v>6.6627611830469335E-2</v>
      </c>
      <c r="AK115" s="4">
        <f t="shared" ca="1" si="394"/>
        <v>7.5240720832294952E-2</v>
      </c>
      <c r="AL115" s="4">
        <f t="shared" ca="1" si="394"/>
        <v>7.2168744655723926E-2</v>
      </c>
      <c r="AM115" s="4">
        <f t="shared" ca="1" si="394"/>
        <v>7.2147000442910794E-2</v>
      </c>
      <c r="AN115" s="215">
        <f t="shared" ca="1" si="394"/>
        <v>7.2602268562726863E-2</v>
      </c>
      <c r="AO115" s="4">
        <f t="shared" ref="AO115" ca="1" si="395">AO114/AO$111</f>
        <v>7.2602268562726849E-2</v>
      </c>
      <c r="AP115" s="4">
        <f t="shared" ref="AP115" ca="1" si="396">AP114/AP$111</f>
        <v>7.2602268562726849E-2</v>
      </c>
      <c r="AQ115" s="4">
        <f t="shared" ref="AQ115" ca="1" si="397">AQ114/AQ$111</f>
        <v>7.2602268562726863E-2</v>
      </c>
      <c r="AR115" s="215">
        <f t="shared" ref="AR115" ca="1" si="398">AR114/AR$111</f>
        <v>7.2602268562726863E-2</v>
      </c>
      <c r="AS115" s="4">
        <f t="shared" ref="AS115" ca="1" si="399">AS114/AS$111</f>
        <v>7.2602268562726863E-2</v>
      </c>
      <c r="AT115" s="4">
        <f t="shared" ref="AT115" ca="1" si="400">AT114/AT$111</f>
        <v>7.2602268562726849E-2</v>
      </c>
      <c r="AU115" s="4">
        <f t="shared" ref="AU115" ca="1" si="401">AU114/AU$111</f>
        <v>7.2602268562726849E-2</v>
      </c>
      <c r="AV115" s="215">
        <f t="shared" ref="AV115" ca="1" si="402">AV114/AV$111</f>
        <v>7.2602268562726849E-2</v>
      </c>
      <c r="AW115" s="4">
        <f t="shared" ref="AW115" ca="1" si="403">AW114/AW$111</f>
        <v>7.2602268562726863E-2</v>
      </c>
      <c r="AX115" s="4">
        <f t="shared" ref="AX115" ca="1" si="404">AX114/AX$111</f>
        <v>7.2602268562726863E-2</v>
      </c>
      <c r="AY115" s="4">
        <f t="shared" ref="AY115" ca="1" si="405">AY114/AY$111</f>
        <v>7.2602268562726863E-2</v>
      </c>
      <c r="AZ115" s="4">
        <f t="shared" ref="AZ115" ca="1" si="406">AZ114/AZ$111</f>
        <v>7.2602268562726849E-2</v>
      </c>
    </row>
    <row r="116" spans="2:52">
      <c r="B116" s="3" t="s">
        <v>397</v>
      </c>
      <c r="G116" s="10"/>
      <c r="H116" s="10"/>
      <c r="I116" s="10">
        <f ca="1">I267-I237</f>
        <v>3419.5361200000002</v>
      </c>
      <c r="J116" s="10">
        <f t="shared" ref="J116:K116" ca="1" si="407">J267-J237</f>
        <v>3321.4695920000004</v>
      </c>
      <c r="K116" s="10">
        <f t="shared" ca="1" si="407"/>
        <v>3776.1603599999999</v>
      </c>
      <c r="L116" s="58">
        <f ca="1">SUM(OFFSET($P116,0,L$1,1,4))</f>
        <v>4491.9390693490095</v>
      </c>
      <c r="M116" s="58">
        <f ca="1">SUM(OFFSET($P116,0,M$1,1,4))</f>
        <v>5377.568195424823</v>
      </c>
      <c r="N116" s="58">
        <f ca="1">SUM(OFFSET($P116,0,N$1,1,4))</f>
        <v>6339.6526173559723</v>
      </c>
      <c r="AI116" s="10">
        <f t="shared" ref="AI116:AN116" si="408">AI267-AI237</f>
        <v>839.72576800000002</v>
      </c>
      <c r="AJ116" s="255">
        <f t="shared" si="408"/>
        <v>843.20706400000006</v>
      </c>
      <c r="AK116" s="10">
        <f t="shared" si="408"/>
        <v>761.97805599999992</v>
      </c>
      <c r="AL116" s="10">
        <f t="shared" si="408"/>
        <v>926.67013599999996</v>
      </c>
      <c r="AM116" s="10">
        <f t="shared" si="408"/>
        <v>1038.1513520000001</v>
      </c>
      <c r="AN116" s="255">
        <f t="shared" si="408"/>
        <v>1049.3608159999999</v>
      </c>
      <c r="AO116" s="10">
        <f ca="1">AO$111*AO117</f>
        <v>939.88357271707764</v>
      </c>
      <c r="AP116" s="10">
        <f t="shared" ref="AP116:AZ116" ca="1" si="409">AP$111*AP117</f>
        <v>1122.2913459906972</v>
      </c>
      <c r="AQ116" s="10">
        <f t="shared" ca="1" si="409"/>
        <v>1212.6088441684183</v>
      </c>
      <c r="AR116" s="255">
        <f t="shared" ca="1" si="409"/>
        <v>1217.1553064728166</v>
      </c>
      <c r="AS116" s="10">
        <f t="shared" ca="1" si="409"/>
        <v>1168.2084142468359</v>
      </c>
      <c r="AT116" s="10">
        <f t="shared" ca="1" si="409"/>
        <v>1343.7992268314072</v>
      </c>
      <c r="AU116" s="10">
        <f t="shared" ca="1" si="409"/>
        <v>1463.9581244909587</v>
      </c>
      <c r="AV116" s="255">
        <f t="shared" ca="1" si="409"/>
        <v>1401.6024298556208</v>
      </c>
      <c r="AW116" s="10">
        <f t="shared" ca="1" si="409"/>
        <v>1384.3249287449937</v>
      </c>
      <c r="AX116" s="10">
        <f t="shared" ca="1" si="409"/>
        <v>1568.4837049135408</v>
      </c>
      <c r="AY116" s="10">
        <f t="shared" ca="1" si="409"/>
        <v>1703.4702054905358</v>
      </c>
      <c r="AZ116" s="10">
        <f t="shared" ca="1" si="409"/>
        <v>1683.3737782069024</v>
      </c>
    </row>
    <row r="117" spans="2:52">
      <c r="B117" s="52" t="s">
        <v>284</v>
      </c>
      <c r="G117" s="10"/>
      <c r="H117" s="10"/>
      <c r="I117" s="4">
        <f ca="1">I116/I$111</f>
        <v>5.5861791197355126E-2</v>
      </c>
      <c r="J117" s="4">
        <f t="shared" ref="J117" ca="1" si="410">J116/J$111</f>
        <v>5.5682902022402954E-2</v>
      </c>
      <c r="K117" s="4">
        <f t="shared" ref="K117" ca="1" si="411">K116/K$111</f>
        <v>5.6086616025915505E-2</v>
      </c>
      <c r="L117" s="4">
        <f t="shared" ref="L117" ca="1" si="412">L116/L$111</f>
        <v>5.6006337205361245E-2</v>
      </c>
      <c r="M117" s="4">
        <f t="shared" ref="M117" ca="1" si="413">M116/M$111</f>
        <v>5.6006337205361245E-2</v>
      </c>
      <c r="N117" s="4">
        <f t="shared" ref="N117" ca="1" si="414">N116/N$111</f>
        <v>5.6006337205361245E-2</v>
      </c>
      <c r="AI117" s="4">
        <f ca="1">AI116/AI$111</f>
        <v>5.5776971694459172E-2</v>
      </c>
      <c r="AJ117" s="215">
        <f t="shared" ref="AJ117" ca="1" si="415">AJ116/AJ$111</f>
        <v>5.5752593667274496E-2</v>
      </c>
      <c r="AK117" s="4">
        <f t="shared" ref="AK117" si="416">AK116/AK$111</f>
        <v>5.6313685425206803E-2</v>
      </c>
      <c r="AL117" s="4">
        <f t="shared" ref="AL117" ca="1" si="417">AL116/AL$111</f>
        <v>5.60921376938898E-2</v>
      </c>
      <c r="AM117" s="4">
        <f t="shared" ref="AM117" ca="1" si="418">AM116/AM$111</f>
        <v>5.599710138592405E-2</v>
      </c>
      <c r="AN117" s="215">
        <f t="shared" ref="AN117" ca="1" si="419">AN116/AN$111</f>
        <v>5.6006337205361245E-2</v>
      </c>
      <c r="AO117" s="234">
        <f t="shared" ref="AO117" ca="1" si="420">AN117</f>
        <v>5.6006337205361245E-2</v>
      </c>
      <c r="AP117" s="66">
        <f t="shared" ref="AP117" ca="1" si="421">AO117</f>
        <v>5.6006337205361245E-2</v>
      </c>
      <c r="AQ117" s="66">
        <f t="shared" ref="AQ117" ca="1" si="422">AP117</f>
        <v>5.6006337205361245E-2</v>
      </c>
      <c r="AR117" s="246">
        <f t="shared" ref="AR117" ca="1" si="423">AQ117</f>
        <v>5.6006337205361245E-2</v>
      </c>
      <c r="AS117" s="234">
        <f t="shared" ref="AS117" ca="1" si="424">AR117</f>
        <v>5.6006337205361245E-2</v>
      </c>
      <c r="AT117" s="66">
        <f t="shared" ref="AT117" ca="1" si="425">AS117</f>
        <v>5.6006337205361245E-2</v>
      </c>
      <c r="AU117" s="66">
        <f t="shared" ref="AU117" ca="1" si="426">AT117</f>
        <v>5.6006337205361245E-2</v>
      </c>
      <c r="AV117" s="246">
        <f t="shared" ref="AV117" ca="1" si="427">AU117</f>
        <v>5.6006337205361245E-2</v>
      </c>
      <c r="AW117" s="234">
        <f t="shared" ref="AW117" ca="1" si="428">AV117</f>
        <v>5.6006337205361245E-2</v>
      </c>
      <c r="AX117" s="66">
        <f t="shared" ref="AX117" ca="1" si="429">AW117</f>
        <v>5.6006337205361245E-2</v>
      </c>
      <c r="AY117" s="66">
        <f t="shared" ref="AY117" ca="1" si="430">AX117</f>
        <v>5.6006337205361245E-2</v>
      </c>
      <c r="AZ117" s="66">
        <f t="shared" ref="AZ117" ca="1" si="431">AY117</f>
        <v>5.6006337205361245E-2</v>
      </c>
    </row>
    <row r="118" spans="2:52">
      <c r="B118" s="3" t="s">
        <v>396</v>
      </c>
      <c r="G118" s="10"/>
      <c r="H118" s="10"/>
      <c r="I118" s="10">
        <f ca="1">I269-I239</f>
        <v>776.39087999999958</v>
      </c>
      <c r="J118" s="10">
        <f t="shared" ref="J118:K118" ca="1" si="432">J269-J239</f>
        <v>573.24940799999968</v>
      </c>
      <c r="K118" s="10">
        <f t="shared" ca="1" si="432"/>
        <v>1132.5446400000001</v>
      </c>
      <c r="L118" s="58">
        <f ca="1">SUM(OFFSET($P118,0,L$1,1,4))</f>
        <v>1331.0620936169485</v>
      </c>
      <c r="M118" s="58">
        <f ca="1">SUM(OFFSET($P118,0,M$1,1,4))</f>
        <v>1593.4938275570662</v>
      </c>
      <c r="N118" s="58">
        <f ca="1">SUM(OFFSET($P118,0,N$1,1,4))</f>
        <v>1878.5809770311389</v>
      </c>
      <c r="AI118" s="10">
        <f t="shared" ref="AI118:AN118" ca="1" si="433">AI269-AI239</f>
        <v>141.85140279171361</v>
      </c>
      <c r="AJ118" s="255">
        <f t="shared" ca="1" si="433"/>
        <v>164.47471827156832</v>
      </c>
      <c r="AK118" s="10">
        <f t="shared" ca="1" si="433"/>
        <v>256.10090223078726</v>
      </c>
      <c r="AL118" s="10">
        <f t="shared" ca="1" si="433"/>
        <v>265.59357821308708</v>
      </c>
      <c r="AM118" s="10">
        <f t="shared" ca="1" si="433"/>
        <v>299.40906092844261</v>
      </c>
      <c r="AN118" s="255">
        <f t="shared" ca="1" si="433"/>
        <v>310.94909862768333</v>
      </c>
      <c r="AO118" s="10">
        <f ca="1">AO$111*AO119</f>
        <v>278.50854090909945</v>
      </c>
      <c r="AP118" s="10">
        <f t="shared" ref="AP118" ca="1" si="434">AP$111*AP119</f>
        <v>332.5600471377395</v>
      </c>
      <c r="AQ118" s="10">
        <f t="shared" ref="AQ118" ca="1" si="435">AQ$111*AQ119</f>
        <v>359.32314351075081</v>
      </c>
      <c r="AR118" s="255">
        <f t="shared" ref="AR118" ca="1" si="436">AR$111*AR119</f>
        <v>360.67036205935858</v>
      </c>
      <c r="AS118" s="10">
        <f t="shared" ref="AS118" ca="1" si="437">AS$111*AS119</f>
        <v>346.16630226769297</v>
      </c>
      <c r="AT118" s="10">
        <f t="shared" ref="AT118" ca="1" si="438">AT$111*AT119</f>
        <v>398.19779045361634</v>
      </c>
      <c r="AU118" s="10">
        <f t="shared" ref="AU118" ca="1" si="439">AU$111*AU119</f>
        <v>433.80356146168265</v>
      </c>
      <c r="AV118" s="255">
        <f t="shared" ref="AV118" ca="1" si="440">AV$111*AV119</f>
        <v>415.3261733740743</v>
      </c>
      <c r="AW118" s="10">
        <f t="shared" ref="AW118" ca="1" si="441">AW$111*AW119</f>
        <v>410.20646305616174</v>
      </c>
      <c r="AX118" s="10">
        <f t="shared" ref="AX118" ca="1" si="442">AX$111*AX119</f>
        <v>464.77683063694155</v>
      </c>
      <c r="AY118" s="10">
        <f t="shared" ref="AY118" ca="1" si="443">AY$111*AY119</f>
        <v>504.77635228986537</v>
      </c>
      <c r="AZ118" s="10">
        <f t="shared" ref="AZ118" ca="1" si="444">AZ$111*AZ119</f>
        <v>498.82133104817024</v>
      </c>
    </row>
    <row r="119" spans="2:52">
      <c r="B119" s="52" t="s">
        <v>284</v>
      </c>
      <c r="G119" s="10"/>
      <c r="H119" s="10"/>
      <c r="I119" s="4">
        <f ca="1">I118/I$111</f>
        <v>1.2683177982074004E-2</v>
      </c>
      <c r="J119" s="4">
        <f t="shared" ref="J119" ca="1" si="445">J118/J$111</f>
        <v>9.6102612822187398E-3</v>
      </c>
      <c r="K119" s="4">
        <f t="shared" ref="K119" ca="1" si="446">K118/K$111</f>
        <v>1.6821477453327408E-2</v>
      </c>
      <c r="L119" s="4">
        <f t="shared" ref="L119" ca="1" si="447">L118/L$111</f>
        <v>1.6595931357365611E-2</v>
      </c>
      <c r="M119" s="4">
        <f t="shared" ref="M119" ca="1" si="448">M118/M$111</f>
        <v>1.6595931357365611E-2</v>
      </c>
      <c r="N119" s="4">
        <f t="shared" ref="N119" ca="1" si="449">N118/N$111</f>
        <v>1.6595931357365611E-2</v>
      </c>
      <c r="AI119" s="4">
        <f ca="1">AI118/AI$111</f>
        <v>9.422173261607875E-3</v>
      </c>
      <c r="AJ119" s="215">
        <f t="shared" ref="AJ119" ca="1" si="450">AJ118/AJ$111</f>
        <v>1.0875018163194842E-2</v>
      </c>
      <c r="AK119" s="4">
        <f t="shared" ref="AK119" ca="1" si="451">AK118/AK$111</f>
        <v>1.8927035407088153E-2</v>
      </c>
      <c r="AL119" s="4">
        <f t="shared" ref="AL119" ca="1" si="452">AL118/AL$111</f>
        <v>1.607660696183412E-2</v>
      </c>
      <c r="AM119" s="4">
        <f t="shared" ref="AM119" ca="1" si="453">AM118/AM$111</f>
        <v>1.6149899056986744E-2</v>
      </c>
      <c r="AN119" s="215">
        <f t="shared" ref="AN119" ca="1" si="454">AN118/AN$111</f>
        <v>1.6595931357365611E-2</v>
      </c>
      <c r="AO119" s="234">
        <f t="shared" ref="AO119" ca="1" si="455">AN119</f>
        <v>1.6595931357365611E-2</v>
      </c>
      <c r="AP119" s="66">
        <f t="shared" ref="AP119" ca="1" si="456">AO119</f>
        <v>1.6595931357365611E-2</v>
      </c>
      <c r="AQ119" s="66">
        <f t="shared" ref="AQ119" ca="1" si="457">AP119</f>
        <v>1.6595931357365611E-2</v>
      </c>
      <c r="AR119" s="246">
        <f t="shared" ref="AR119" ca="1" si="458">AQ119</f>
        <v>1.6595931357365611E-2</v>
      </c>
      <c r="AS119" s="234">
        <f t="shared" ref="AS119" ca="1" si="459">AR119</f>
        <v>1.6595931357365611E-2</v>
      </c>
      <c r="AT119" s="66">
        <f t="shared" ref="AT119" ca="1" si="460">AS119</f>
        <v>1.6595931357365611E-2</v>
      </c>
      <c r="AU119" s="66">
        <f t="shared" ref="AU119" ca="1" si="461">AT119</f>
        <v>1.6595931357365611E-2</v>
      </c>
      <c r="AV119" s="246">
        <f t="shared" ref="AV119" ca="1" si="462">AU119</f>
        <v>1.6595931357365611E-2</v>
      </c>
      <c r="AW119" s="234">
        <f t="shared" ref="AW119" ca="1" si="463">AV119</f>
        <v>1.6595931357365611E-2</v>
      </c>
      <c r="AX119" s="66">
        <f t="shared" ref="AX119" ca="1" si="464">AW119</f>
        <v>1.6595931357365611E-2</v>
      </c>
      <c r="AY119" s="66">
        <f t="shared" ref="AY119" ca="1" si="465">AX119</f>
        <v>1.6595931357365611E-2</v>
      </c>
      <c r="AZ119" s="66">
        <f t="shared" ref="AZ119" ca="1" si="466">AY119</f>
        <v>1.6595931357365611E-2</v>
      </c>
    </row>
    <row r="120" spans="2:52">
      <c r="B120" s="1" t="s">
        <v>31</v>
      </c>
      <c r="G120" s="10"/>
      <c r="H120" s="10"/>
      <c r="I120" s="10">
        <f>I271-I241</f>
        <v>7693.8610000000008</v>
      </c>
      <c r="J120" s="10">
        <f t="shared" ref="J120:K120" si="467">J271-J241</f>
        <v>8497.9159999999993</v>
      </c>
      <c r="K120" s="10">
        <f t="shared" ca="1" si="467"/>
        <v>7467.1040000000003</v>
      </c>
      <c r="L120" s="58">
        <f ca="1">SUM(OFFSET($P120,0,L$1,1,4))</f>
        <v>8983.1708530913238</v>
      </c>
      <c r="M120" s="58">
        <f ca="1">SUM(OFFSET($P120,0,M$1,1,4))</f>
        <v>9184.1790108115056</v>
      </c>
      <c r="N120" s="58">
        <f ca="1">SUM(OFFSET($P120,0,N$1,1,4))</f>
        <v>10714.953058659157</v>
      </c>
      <c r="AI120" s="10">
        <f t="shared" ref="AI120:AN120" si="468">AI271</f>
        <v>2594.4520000000002</v>
      </c>
      <c r="AJ120" s="255">
        <f t="shared" si="468"/>
        <v>2636.4549999999999</v>
      </c>
      <c r="AK120" s="10">
        <f t="shared" si="468"/>
        <v>2185.3040000000001</v>
      </c>
      <c r="AL120" s="10">
        <f t="shared" si="468"/>
        <v>2478</v>
      </c>
      <c r="AM120" s="10">
        <f t="shared" si="468"/>
        <v>2476</v>
      </c>
      <c r="AN120" s="255">
        <f t="shared" si="468"/>
        <v>2518</v>
      </c>
      <c r="AO120" s="10">
        <f ca="1">AO$111*AO121</f>
        <v>2038.9809400746431</v>
      </c>
      <c r="AP120" s="10">
        <f t="shared" ref="AP120" ca="1" si="469">AP$111*AP121</f>
        <v>2332.4987705286335</v>
      </c>
      <c r="AQ120" s="10">
        <f t="shared" ref="AQ120" ca="1" si="470">AQ$111*AQ121</f>
        <v>2301.5309796542774</v>
      </c>
      <c r="AR120" s="255">
        <f t="shared" ref="AR120" ca="1" si="471">AR$111*AR121</f>
        <v>2310.1601628337708</v>
      </c>
      <c r="AS120" s="10">
        <f t="shared" ref="AS120" ca="1" si="472">AS$111*AS121</f>
        <v>2217.2589858733236</v>
      </c>
      <c r="AT120" s="10">
        <f t="shared" ref="AT120" ca="1" si="473">AT$111*AT121</f>
        <v>2305.7945250905696</v>
      </c>
      <c r="AU120" s="10">
        <f t="shared" ref="AU120" ca="1" si="474">AU$111*AU121</f>
        <v>2381.2766875309912</v>
      </c>
      <c r="AV120" s="255">
        <f t="shared" ref="AV120" ca="1" si="475">AV$111*AV121</f>
        <v>2279.8488123166217</v>
      </c>
      <c r="AW120" s="10">
        <f t="shared" ref="AW120" ca="1" si="476">AW$111*AW121</f>
        <v>2600.259002297917</v>
      </c>
      <c r="AX120" s="10">
        <f t="shared" ref="AX120" ca="1" si="477">AX$111*AX121</f>
        <v>2666.1205884657525</v>
      </c>
      <c r="AY120" s="10">
        <f t="shared" ref="AY120" ca="1" si="478">AY$111*AY121</f>
        <v>2740.4517626624051</v>
      </c>
      <c r="AZ120" s="10">
        <f t="shared" ref="AZ120" ca="1" si="479">AZ$111*AZ121</f>
        <v>2708.1217052330821</v>
      </c>
    </row>
    <row r="121" spans="2:52">
      <c r="B121" s="3" t="s">
        <v>284</v>
      </c>
      <c r="G121" s="10"/>
      <c r="H121" s="10"/>
      <c r="I121" s="4">
        <f ca="1">I120/I$111</f>
        <v>0.12568747385638784</v>
      </c>
      <c r="J121" s="4">
        <f t="shared" ref="J121" ca="1" si="480">J120/J$111</f>
        <v>0.14246363271315787</v>
      </c>
      <c r="K121" s="4">
        <f t="shared" ref="K121" ca="1" si="481">K120/K$111</f>
        <v>0.11090752376670196</v>
      </c>
      <c r="L121" s="4">
        <f t="shared" ref="L121" ca="1" si="482">L120/L$111</f>
        <v>0.11200385584137471</v>
      </c>
      <c r="M121" s="4">
        <f t="shared" ref="M121" ca="1" si="483">M120/M$111</f>
        <v>9.5651455814457664E-2</v>
      </c>
      <c r="N121" s="4">
        <f t="shared" ref="N121" ca="1" si="484">N120/N$111</f>
        <v>9.4659015306293337E-2</v>
      </c>
      <c r="AI121" s="4">
        <f ca="1">AI120/AI$111</f>
        <v>0.17233087429399094</v>
      </c>
      <c r="AJ121" s="215">
        <f t="shared" ref="AJ121" ca="1" si="485">AJ120/AJ$111</f>
        <v>0.17432159977380618</v>
      </c>
      <c r="AK121" s="4">
        <f t="shared" ref="AK121" si="486">AK120/AK$111</f>
        <v>0.16150402369913675</v>
      </c>
      <c r="AL121" s="4">
        <f t="shared" ref="AL121" ca="1" si="487">AL120/AL$111</f>
        <v>0.14999546419553433</v>
      </c>
      <c r="AM121" s="4">
        <f t="shared" ref="AM121" ca="1" si="488">AM120/AM$111</f>
        <v>0.13355357363301681</v>
      </c>
      <c r="AN121" s="215">
        <f t="shared" ref="AN121" ca="1" si="489">AN120/AN$111</f>
        <v>0.13439034022697835</v>
      </c>
      <c r="AO121" s="234">
        <v>0.1215</v>
      </c>
      <c r="AP121" s="66">
        <v>0.1164</v>
      </c>
      <c r="AQ121" s="66">
        <v>0.10630000000000001</v>
      </c>
      <c r="AR121" s="246">
        <v>0.10630000000000001</v>
      </c>
      <c r="AS121" s="234">
        <v>0.10630000000000001</v>
      </c>
      <c r="AT121" s="66">
        <v>9.6100000000000005E-2</v>
      </c>
      <c r="AU121" s="66">
        <v>9.11E-2</v>
      </c>
      <c r="AV121" s="246">
        <v>9.11E-2</v>
      </c>
      <c r="AW121" s="234">
        <v>0.1052</v>
      </c>
      <c r="AX121" s="66">
        <v>9.5200000000000007E-2</v>
      </c>
      <c r="AY121" s="66">
        <v>9.01E-2</v>
      </c>
      <c r="AZ121" s="66">
        <v>9.01E-2</v>
      </c>
    </row>
    <row r="122" spans="2:52">
      <c r="B122" s="1" t="s">
        <v>37</v>
      </c>
      <c r="G122" s="10"/>
      <c r="H122" s="10"/>
      <c r="I122" s="10">
        <f>I273-I241</f>
        <v>2549.7469999999998</v>
      </c>
      <c r="J122" s="10">
        <f t="shared" ref="J122:K122" si="490">J273-J241</f>
        <v>2841.8160000000003</v>
      </c>
      <c r="K122" s="10">
        <f t="shared" ca="1" si="490"/>
        <v>3367.3150000000005</v>
      </c>
      <c r="L122" s="58">
        <f ca="1">SUM(OFFSET($P122,0,L$1,1,4))</f>
        <v>3691.8906005016079</v>
      </c>
      <c r="M122" s="58">
        <f ca="1">SUM(OFFSET($P122,0,M$1,1,4))</f>
        <v>3864.4065079757188</v>
      </c>
      <c r="N122" s="58">
        <f ca="1">SUM(OFFSET($P122,0,N$1,1,4))</f>
        <v>3982.8123908673056</v>
      </c>
      <c r="AI122" s="10">
        <f t="shared" ref="AI122:AN122" si="491">AI273-AI241</f>
        <v>719.76104000000009</v>
      </c>
      <c r="AJ122" s="255">
        <f t="shared" si="491"/>
        <v>750.34803500000021</v>
      </c>
      <c r="AK122" s="10">
        <f t="shared" si="491"/>
        <v>859.33006999999998</v>
      </c>
      <c r="AL122" s="10">
        <f t="shared" si="491"/>
        <v>819.57852999999989</v>
      </c>
      <c r="AM122" s="10">
        <f t="shared" si="491"/>
        <v>845.93004000000008</v>
      </c>
      <c r="AN122" s="255">
        <f t="shared" si="491"/>
        <v>842.47636000000011</v>
      </c>
      <c r="AO122" s="10">
        <f>AO124*AO36</f>
        <v>979.08921217060765</v>
      </c>
      <c r="AP122" s="10">
        <f t="shared" ref="AP122:AZ122" si="492">AP124*AP36</f>
        <v>904.15903429600007</v>
      </c>
      <c r="AQ122" s="10">
        <f t="shared" si="492"/>
        <v>916.56519833999994</v>
      </c>
      <c r="AR122" s="255">
        <f t="shared" si="492"/>
        <v>892.0771556950001</v>
      </c>
      <c r="AS122" s="10">
        <f t="shared" si="492"/>
        <v>1031.9110751672117</v>
      </c>
      <c r="AT122" s="10">
        <f t="shared" si="492"/>
        <v>948.48543095236141</v>
      </c>
      <c r="AU122" s="10">
        <f t="shared" si="492"/>
        <v>956.98572358679394</v>
      </c>
      <c r="AV122" s="255">
        <f t="shared" si="492"/>
        <v>927.02427826935173</v>
      </c>
      <c r="AW122" s="10">
        <f t="shared" si="492"/>
        <v>1067.2540294916889</v>
      </c>
      <c r="AX122" s="10">
        <f t="shared" si="492"/>
        <v>976.29976621503943</v>
      </c>
      <c r="AY122" s="10">
        <f t="shared" si="492"/>
        <v>985.04932993097668</v>
      </c>
      <c r="AZ122" s="10">
        <f t="shared" si="492"/>
        <v>954.20926522960042</v>
      </c>
    </row>
    <row r="123" spans="2:52">
      <c r="B123" s="3" t="s">
        <v>284</v>
      </c>
      <c r="G123" s="10"/>
      <c r="H123" s="10"/>
      <c r="I123" s="4">
        <f ca="1">I122/I$111</f>
        <v>4.165285276181923E-2</v>
      </c>
      <c r="J123" s="4">
        <f t="shared" ref="J123" ca="1" si="493">J122/J$111</f>
        <v>4.7641731321229286E-2</v>
      </c>
      <c r="K123" s="4">
        <f t="shared" ref="K123" ca="1" si="494">K122/K$111</f>
        <v>5.0014111011775386E-2</v>
      </c>
      <c r="L123" s="4">
        <f t="shared" ref="L123" ca="1" si="495">L122/L$111</f>
        <v>4.6031183127103845E-2</v>
      </c>
      <c r="M123" s="4">
        <f t="shared" ref="M123" ca="1" si="496">M122/M$111</f>
        <v>4.0247049617784116E-2</v>
      </c>
      <c r="N123" s="4">
        <f t="shared" ref="N123" ca="1" si="497">N122/N$111</f>
        <v>3.5185324378488786E-2</v>
      </c>
      <c r="AI123" s="4">
        <f ca="1">AI122/AI$111</f>
        <v>4.7808573566191316E-2</v>
      </c>
      <c r="AJ123" s="215">
        <f t="shared" ref="AJ123" ca="1" si="498">AJ122/AJ$111</f>
        <v>4.9612783016714471E-2</v>
      </c>
      <c r="AK123" s="4">
        <f t="shared" ref="AK123" si="499">AK122/AK$111</f>
        <v>6.3508447333030474E-2</v>
      </c>
      <c r="AL123" s="4">
        <f t="shared" ref="AL123" ca="1" si="500">AL122/AL$111</f>
        <v>4.9609790981454252E-2</v>
      </c>
      <c r="AM123" s="4">
        <f t="shared" ref="AM123" ca="1" si="501">AM122/AM$111</f>
        <v>4.5628828709822641E-2</v>
      </c>
      <c r="AN123" s="215">
        <f t="shared" ref="AN123" ca="1" si="502">AN122/AN$111</f>
        <v>4.4964529250828562E-2</v>
      </c>
      <c r="AO123" s="4">
        <f t="shared" ref="AO123" ca="1" si="503">AO122/AO$111</f>
        <v>5.834254599475263E-2</v>
      </c>
      <c r="AP123" s="4">
        <f t="shared" ref="AP123" ca="1" si="504">AP122/AP$111</f>
        <v>4.5120757584880558E-2</v>
      </c>
      <c r="AQ123" s="4">
        <f t="shared" ref="AQ123" ca="1" si="505">AQ122/AQ$111</f>
        <v>4.2333073699567361E-2</v>
      </c>
      <c r="AR123" s="215">
        <f t="shared" ref="AR123" ca="1" si="506">AR122/AR$111</f>
        <v>4.1048150330000269E-2</v>
      </c>
      <c r="AS123" s="4">
        <f t="shared" ref="AS123" ca="1" si="507">AS122/AS$111</f>
        <v>4.9471959743606402E-2</v>
      </c>
      <c r="AT123" s="4">
        <f t="shared" ref="AT123" ca="1" si="508">AT122/AT$111</f>
        <v>3.9530603842916866E-2</v>
      </c>
      <c r="AU123" s="4">
        <f t="shared" ref="AU123" ca="1" si="509">AU122/AU$111</f>
        <v>3.6611200989478593E-2</v>
      </c>
      <c r="AV123" s="215">
        <f t="shared" ref="AV123" ca="1" si="510">AV122/AV$111</f>
        <v>3.7042768491531618E-2</v>
      </c>
      <c r="AW123" s="4">
        <f t="shared" ref="AW123" ca="1" si="511">AW122/AW$111</f>
        <v>4.3178438687571201E-2</v>
      </c>
      <c r="AX123" s="4">
        <f t="shared" ref="AX123" ca="1" si="512">AX122/AX$111</f>
        <v>3.4861040474225967E-2</v>
      </c>
      <c r="AY123" s="4">
        <f t="shared" ref="AY123" ca="1" si="513">AY122/AY$111</f>
        <v>3.2386245886902851E-2</v>
      </c>
      <c r="AZ123" s="4">
        <f t="shared" ref="AZ123" ca="1" si="514">AZ122/AZ$111</f>
        <v>3.1746820916893535E-2</v>
      </c>
    </row>
    <row r="124" spans="2:52">
      <c r="B124" s="3" t="s">
        <v>553</v>
      </c>
      <c r="G124" s="10"/>
      <c r="H124" s="10"/>
      <c r="I124" s="10">
        <f ca="1">I122/I36</f>
        <v>9.4163331776806736</v>
      </c>
      <c r="J124" s="10">
        <f t="shared" ref="J124:K124" ca="1" si="515">J122/J36</f>
        <v>8.4922524222005489</v>
      </c>
      <c r="K124" s="10">
        <f t="shared" ca="1" si="515"/>
        <v>8.2031974746941945</v>
      </c>
      <c r="L124" s="10">
        <f t="shared" ref="L124:N124" ca="1" si="516">L122/L36</f>
        <v>8.0885386575161284</v>
      </c>
      <c r="M124" s="10">
        <f t="shared" ca="1" si="516"/>
        <v>7.9687592292081399</v>
      </c>
      <c r="N124" s="10">
        <f t="shared" ca="1" si="516"/>
        <v>7.8498854386037253</v>
      </c>
      <c r="AI124" s="10">
        <f>AI122/AI36</f>
        <v>2.0135703373788516</v>
      </c>
      <c r="AJ124" s="255">
        <f t="shared" ref="AJ124:AN124" si="517">AJ122/AJ36</f>
        <v>1.9983778789460558</v>
      </c>
      <c r="AK124" s="10">
        <f t="shared" si="517"/>
        <v>2.1976013865502346</v>
      </c>
      <c r="AL124" s="10">
        <f t="shared" si="517"/>
        <v>2.0200699635562867</v>
      </c>
      <c r="AM124" s="10">
        <f t="shared" si="517"/>
        <v>2.0275708848827407</v>
      </c>
      <c r="AN124" s="255">
        <f t="shared" si="517"/>
        <v>1.9684483494605638</v>
      </c>
      <c r="AO124" s="10">
        <f>AK124*(1+AO125)</f>
        <v>2.1646373657519811</v>
      </c>
      <c r="AP124" s="10">
        <f t="shared" ref="AP124:AZ124" si="518">AL124*(1+AP125)</f>
        <v>1.9897689141029424</v>
      </c>
      <c r="AQ124" s="10">
        <f t="shared" si="518"/>
        <v>1.9971573216094995</v>
      </c>
      <c r="AR124" s="255">
        <f t="shared" si="518"/>
        <v>1.9389216242186553</v>
      </c>
      <c r="AS124" s="10">
        <f t="shared" si="518"/>
        <v>2.1321678052657012</v>
      </c>
      <c r="AT124" s="10">
        <f t="shared" si="518"/>
        <v>1.9599223803913983</v>
      </c>
      <c r="AU124" s="10">
        <f t="shared" si="518"/>
        <v>1.9671999617853571</v>
      </c>
      <c r="AV124" s="255">
        <f t="shared" si="518"/>
        <v>1.9098377998553755</v>
      </c>
      <c r="AW124" s="10">
        <f t="shared" si="518"/>
        <v>2.1001852881867156</v>
      </c>
      <c r="AX124" s="10">
        <f t="shared" si="518"/>
        <v>1.9305235446855273</v>
      </c>
      <c r="AY124" s="10">
        <f t="shared" si="518"/>
        <v>1.9376919623585767</v>
      </c>
      <c r="AZ124" s="10">
        <f t="shared" si="518"/>
        <v>1.8811902328575449</v>
      </c>
    </row>
    <row r="125" spans="2:52">
      <c r="B125" s="52" t="s">
        <v>128</v>
      </c>
      <c r="G125" s="10"/>
      <c r="H125" s="10"/>
      <c r="I125" s="4"/>
      <c r="J125" s="4">
        <f ca="1">J124/I124-1</f>
        <v>-9.8135945069409036E-2</v>
      </c>
      <c r="K125" s="4">
        <f ca="1">K124/J124-1</f>
        <v>-3.4037488894077539E-2</v>
      </c>
      <c r="L125" s="4">
        <f t="shared" ref="L125:N125" ca="1" si="519">L124/K124-1</f>
        <v>-1.3977332318498181E-2</v>
      </c>
      <c r="M125" s="4">
        <f t="shared" ca="1" si="519"/>
        <v>-1.4808537534364841E-2</v>
      </c>
      <c r="N125" s="4">
        <f t="shared" ca="1" si="519"/>
        <v>-1.4917478014482177E-2</v>
      </c>
      <c r="AI125" s="4"/>
      <c r="AJ125" s="215"/>
      <c r="AK125" s="4"/>
      <c r="AL125" s="4"/>
      <c r="AM125" s="4">
        <f>AM124/AI124-1</f>
        <v>6.9530958238659402E-3</v>
      </c>
      <c r="AN125" s="215">
        <f>AN124/AJ124-1</f>
        <v>-1.4976911924824199E-2</v>
      </c>
      <c r="AO125" s="234">
        <v>-1.4999999999999999E-2</v>
      </c>
      <c r="AP125" s="66">
        <v>-1.4999999999999999E-2</v>
      </c>
      <c r="AQ125" s="66">
        <v>-1.4999999999999999E-2</v>
      </c>
      <c r="AR125" s="246">
        <v>-1.4999999999999999E-2</v>
      </c>
      <c r="AS125" s="234">
        <v>-1.4999999999999999E-2</v>
      </c>
      <c r="AT125" s="66">
        <v>-1.4999999999999999E-2</v>
      </c>
      <c r="AU125" s="66">
        <v>-1.4999999999999999E-2</v>
      </c>
      <c r="AV125" s="246">
        <v>-1.4999999999999999E-2</v>
      </c>
      <c r="AW125" s="234">
        <v>-1.4999999999999999E-2</v>
      </c>
      <c r="AX125" s="66">
        <v>-1.4999999999999999E-2</v>
      </c>
      <c r="AY125" s="66">
        <v>-1.4999999999999999E-2</v>
      </c>
      <c r="AZ125" s="66">
        <v>-1.4999999999999999E-2</v>
      </c>
    </row>
    <row r="126" spans="2:52">
      <c r="B126" s="1" t="s">
        <v>36</v>
      </c>
      <c r="G126" s="10"/>
      <c r="H126" s="10"/>
      <c r="I126" s="10">
        <f>I275</f>
        <v>2559.623</v>
      </c>
      <c r="J126" s="10">
        <f t="shared" ref="J126:K126" si="520">J275</f>
        <v>3074.893</v>
      </c>
      <c r="K126" s="10">
        <f t="shared" ca="1" si="520"/>
        <v>3388.01</v>
      </c>
      <c r="L126" s="58">
        <f ca="1">SUM(OFFSET($P126,0,L$1,1,4))</f>
        <v>3819.0107201926417</v>
      </c>
      <c r="M126" s="58">
        <f ca="1">SUM(OFFSET($P126,0,M$1,1,4))</f>
        <v>4410.0050997604467</v>
      </c>
      <c r="N126" s="58">
        <f ca="1">SUM(OFFSET($P126,0,N$1,1,4))</f>
        <v>5179.8625297606613</v>
      </c>
      <c r="AI126" s="10">
        <f t="shared" ref="AI126:AN126" si="521">AI275</f>
        <v>802.25699999999995</v>
      </c>
      <c r="AJ126" s="255">
        <f t="shared" si="521"/>
        <v>811.529</v>
      </c>
      <c r="AK126" s="10">
        <f t="shared" si="521"/>
        <v>823.01</v>
      </c>
      <c r="AL126" s="10">
        <f t="shared" si="521"/>
        <v>828</v>
      </c>
      <c r="AM126" s="10">
        <f t="shared" si="521"/>
        <v>852</v>
      </c>
      <c r="AN126" s="255">
        <f t="shared" si="521"/>
        <v>885</v>
      </c>
      <c r="AO126" s="10">
        <f>'BIDU_BS + CFS'!AO199</f>
        <v>915.60582186100521</v>
      </c>
      <c r="AP126" s="10">
        <f ca="1">'BIDU_BS + CFS'!AP199</f>
        <v>932.09393749294713</v>
      </c>
      <c r="AQ126" s="10">
        <f ca="1">'BIDU_BS + CFS'!AQ199</f>
        <v>965.3368290169708</v>
      </c>
      <c r="AR126" s="255">
        <f ca="1">'BIDU_BS + CFS'!AR199</f>
        <v>1005.9741318217189</v>
      </c>
      <c r="AS126" s="10">
        <f ca="1">'BIDU_BS + CFS'!AS199</f>
        <v>1042.990417298038</v>
      </c>
      <c r="AT126" s="10">
        <f ca="1">'BIDU_BS + CFS'!AT199</f>
        <v>1073.5136262370975</v>
      </c>
      <c r="AU126" s="10">
        <f ca="1">'BIDU_BS + CFS'!AU199</f>
        <v>1119.3637736413798</v>
      </c>
      <c r="AV126" s="255">
        <f ca="1">'BIDU_BS + CFS'!AV199</f>
        <v>1174.137282583931</v>
      </c>
      <c r="AW126" s="10">
        <f ca="1">'BIDU_BS + CFS'!AW199</f>
        <v>1219.5251120331689</v>
      </c>
      <c r="AX126" s="10">
        <f ca="1">'BIDU_BS + CFS'!AX199</f>
        <v>1260.4556124038602</v>
      </c>
      <c r="AY126" s="10">
        <f ca="1">'BIDU_BS + CFS'!AY199</f>
        <v>1316.9690322300742</v>
      </c>
      <c r="AZ126" s="10">
        <f ca="1">'BIDU_BS + CFS'!AZ199</f>
        <v>1382.9127730935581</v>
      </c>
    </row>
    <row r="127" spans="2:52">
      <c r="B127" s="3" t="s">
        <v>284</v>
      </c>
      <c r="G127" s="10"/>
      <c r="H127" s="10"/>
      <c r="I127" s="4">
        <f ca="1">I126/I$111</f>
        <v>4.1814187817366205E-2</v>
      </c>
      <c r="J127" s="4">
        <f t="shared" ref="J127" ca="1" si="522">J126/J$111</f>
        <v>5.1549159462656514E-2</v>
      </c>
      <c r="K127" s="4">
        <f t="shared" ref="K127" ca="1" si="523">K126/K$111</f>
        <v>5.0321490044443452E-2</v>
      </c>
      <c r="L127" s="4">
        <f t="shared" ref="L127" ca="1" si="524">L126/L$111</f>
        <v>4.7616140576233645E-2</v>
      </c>
      <c r="M127" s="4">
        <f t="shared" ref="M127" ca="1" si="525">M126/M$111</f>
        <v>4.5929353886145274E-2</v>
      </c>
      <c r="N127" s="4">
        <f t="shared" ref="N127" ca="1" si="526">N126/N$111</f>
        <v>4.5760413863209899E-2</v>
      </c>
      <c r="AI127" s="4">
        <f ca="1">AI126/AI$111</f>
        <v>5.3288189651793237E-2</v>
      </c>
      <c r="AJ127" s="215">
        <f t="shared" ref="AJ127" ca="1" si="527">AJ126/AJ$111</f>
        <v>5.3658049745903928E-2</v>
      </c>
      <c r="AK127" s="4">
        <f t="shared" ref="AK127" si="528">AK126/AK$111</f>
        <v>6.0824226992961403E-2</v>
      </c>
      <c r="AL127" s="4">
        <f t="shared" ref="AL127" ca="1" si="529">AL126/AL$111</f>
        <v>5.0119549779621644E-2</v>
      </c>
      <c r="AM127" s="4">
        <f t="shared" ref="AM127" ca="1" si="530">AM126/AM$111</f>
        <v>4.5956237776789303E-2</v>
      </c>
      <c r="AN127" s="215">
        <f t="shared" ref="AN127" ca="1" si="531">AN126/AN$111</f>
        <v>4.7234094956662372E-2</v>
      </c>
      <c r="AO127" s="4">
        <f t="shared" ref="AO127" ca="1" si="532">AO126/AO$111</f>
        <v>5.4559660254617004E-2</v>
      </c>
      <c r="AP127" s="4">
        <f t="shared" ref="AP127" ca="1" si="533">AP126/AP$111</f>
        <v>4.6514808794342805E-2</v>
      </c>
      <c r="AQ127" s="4">
        <f t="shared" ref="AQ127" ca="1" si="534">AQ126/AQ$111</f>
        <v>4.4585671812211833E-2</v>
      </c>
      <c r="AR127" s="215">
        <f t="shared" ref="AR127" ca="1" si="535">AR126/AR$111</f>
        <v>4.6289020100440247E-2</v>
      </c>
      <c r="AS127" s="4">
        <f t="shared" ref="AS127" ca="1" si="536">AS126/AS$111</f>
        <v>5.0003126412006639E-2</v>
      </c>
      <c r="AT127" s="4">
        <f t="shared" ref="AT127" ca="1" si="537">AT126/AT$111</f>
        <v>4.4741479936219748E-2</v>
      </c>
      <c r="AU127" s="4">
        <f t="shared" ref="AU127" ca="1" si="538">AU126/AU$111</f>
        <v>4.2823263803275509E-2</v>
      </c>
      <c r="AV127" s="215">
        <f t="shared" ref="AV127" ca="1" si="539">AV126/AV$111</f>
        <v>4.6917105145541177E-2</v>
      </c>
      <c r="AW127" s="4">
        <f t="shared" ref="AW127" ca="1" si="540">AW126/AW$111</f>
        <v>4.933894726352743E-2</v>
      </c>
      <c r="AX127" s="4">
        <f t="shared" ref="AX127" ca="1" si="541">AX126/AX$111</f>
        <v>4.5007481964609901E-2</v>
      </c>
      <c r="AY127" s="4">
        <f t="shared" ref="AY127" ca="1" si="542">AY126/AY$111</f>
        <v>4.3299032451733471E-2</v>
      </c>
      <c r="AZ127" s="4">
        <f t="shared" ref="AZ127" ca="1" si="543">AZ126/AZ$111</f>
        <v>4.6009911820047059E-2</v>
      </c>
    </row>
    <row r="128" spans="2:52">
      <c r="B128" s="1" t="s">
        <v>35</v>
      </c>
      <c r="G128" s="10"/>
      <c r="H128" s="10"/>
      <c r="I128" s="10">
        <f>I277-I247</f>
        <v>3155.5120000000002</v>
      </c>
      <c r="J128" s="10">
        <f t="shared" ref="J128:K128" si="544">J277-J247</f>
        <v>3241.9459999999999</v>
      </c>
      <c r="K128" s="10">
        <f t="shared" ca="1" si="544"/>
        <v>3424.4310000000005</v>
      </c>
      <c r="L128" s="58">
        <f ca="1">SUM(OFFSET($P128,0,L$1,1,4))</f>
        <v>3953.660118786338</v>
      </c>
      <c r="M128" s="58">
        <f ca="1">SUM(OFFSET($P128,0,M$1,1,4))</f>
        <v>4594.7735697255584</v>
      </c>
      <c r="N128" s="58">
        <f ca="1">SUM(OFFSET($P128,0,N$1,1,4))</f>
        <v>5252.1733501951148</v>
      </c>
      <c r="AI128" s="10">
        <f t="shared" ref="AI128:AN128" ca="1" si="545">AI277-AI247</f>
        <v>967.16986283470169</v>
      </c>
      <c r="AJ128" s="255">
        <f t="shared" ca="1" si="545"/>
        <v>901.53652982336189</v>
      </c>
      <c r="AK128" s="10">
        <f t="shared" ca="1" si="545"/>
        <v>692.42006630500578</v>
      </c>
      <c r="AL128" s="10">
        <f t="shared" ca="1" si="545"/>
        <v>750.18383229139499</v>
      </c>
      <c r="AM128" s="10">
        <f t="shared" ca="1" si="545"/>
        <v>1069.0410588096174</v>
      </c>
      <c r="AN128" s="255">
        <f t="shared" ca="1" si="545"/>
        <v>912.78604259398071</v>
      </c>
      <c r="AO128" s="10">
        <f ca="1">AO$111*AO129</f>
        <v>833.00911532555585</v>
      </c>
      <c r="AP128" s="10">
        <f t="shared" ref="AP128" ca="1" si="546">AP$111*AP129</f>
        <v>882.6422289812507</v>
      </c>
      <c r="AQ128" s="10">
        <f t="shared" ref="AQ128" ca="1" si="547">AQ$111*AQ129</f>
        <v>1211.0290285967205</v>
      </c>
      <c r="AR128" s="255">
        <f t="shared" ref="AR128" ca="1" si="548">AR$111*AR129</f>
        <v>1026.9797458828104</v>
      </c>
      <c r="AS128" s="10">
        <f t="shared" ref="AS128" ca="1" si="549">AS$111*AS129</f>
        <v>1004.3099351218688</v>
      </c>
      <c r="AT128" s="10">
        <f t="shared" ref="AT128" ca="1" si="550">AT$111*AT129</f>
        <v>1025.1447902878854</v>
      </c>
      <c r="AU128" s="10">
        <f t="shared" ref="AU128" ca="1" si="551">AU$111*AU129</f>
        <v>1418.1893197601125</v>
      </c>
      <c r="AV128" s="255">
        <f t="shared" ref="AV128" ca="1" si="552">AV$111*AV129</f>
        <v>1147.1295245556919</v>
      </c>
      <c r="AW128" s="10">
        <f t="shared" ref="AW128" ca="1" si="553">AW$111*AW129</f>
        <v>1154.4023519670166</v>
      </c>
      <c r="AX128" s="10">
        <f t="shared" ref="AX128" ca="1" si="554">AX$111*AX129</f>
        <v>1160.6534522712061</v>
      </c>
      <c r="AY128" s="10">
        <f t="shared" ref="AY128" ca="1" si="555">AY$111*AY129</f>
        <v>1600.7069568416657</v>
      </c>
      <c r="AZ128" s="10">
        <f t="shared" ref="AZ128" ca="1" si="556">AZ$111*AZ129</f>
        <v>1336.4105891152262</v>
      </c>
    </row>
    <row r="129" spans="2:52">
      <c r="B129" s="3" t="s">
        <v>284</v>
      </c>
      <c r="G129" s="10"/>
      <c r="H129" s="10"/>
      <c r="I129" s="4">
        <f ca="1">I128/I$111</f>
        <v>5.1548673936729308E-2</v>
      </c>
      <c r="J129" s="4">
        <f t="shared" ref="J129" ca="1" si="557">J128/J$111</f>
        <v>5.4349725770399628E-2</v>
      </c>
      <c r="K129" s="4">
        <f t="shared" ref="K129" ca="1" si="558">K128/K$111</f>
        <v>5.0862444465743478E-2</v>
      </c>
      <c r="L129" s="4">
        <f t="shared" ref="L129" ca="1" si="559">L128/L$111</f>
        <v>4.9294974484199047E-2</v>
      </c>
      <c r="M129" s="4">
        <f t="shared" ref="M129" ca="1" si="560">M128/M$111</f>
        <v>4.7853681920253494E-2</v>
      </c>
      <c r="N129" s="4">
        <f t="shared" ref="N129" ca="1" si="561">N128/N$111</f>
        <v>4.6399228706433496E-2</v>
      </c>
      <c r="AI129" s="4">
        <f ca="1">AI128/AI$111</f>
        <v>6.4242170621427355E-2</v>
      </c>
      <c r="AJ129" s="215">
        <f t="shared" ref="AJ129" ca="1" si="562">AJ128/AJ$111</f>
        <v>5.9609320141377022E-2</v>
      </c>
      <c r="AK129" s="4">
        <f t="shared" ref="AK129" ca="1" si="563">AK128/AK$111</f>
        <v>5.1173029838540308E-2</v>
      </c>
      <c r="AL129" s="4">
        <f t="shared" ref="AL129" ca="1" si="564">AL128/AL$111</f>
        <v>4.540927044250713E-2</v>
      </c>
      <c r="AM129" s="4">
        <f t="shared" ref="AM129" ca="1" si="565">AM128/AM$111</f>
        <v>5.7663268887095512E-2</v>
      </c>
      <c r="AN129" s="215">
        <f t="shared" ref="AN129" ca="1" si="566">AN128/AN$111</f>
        <v>4.8717087696045366E-2</v>
      </c>
      <c r="AO129" s="234">
        <f ca="1">AK129*0.97</f>
        <v>4.9637838943384097E-2</v>
      </c>
      <c r="AP129" s="66">
        <f t="shared" ref="AP129:AZ129" ca="1" si="567">AL129*0.97</f>
        <v>4.4046992329231913E-2</v>
      </c>
      <c r="AQ129" s="66">
        <f t="shared" ca="1" si="567"/>
        <v>5.5933370820482643E-2</v>
      </c>
      <c r="AR129" s="246">
        <f t="shared" ca="1" si="567"/>
        <v>4.7255575065164007E-2</v>
      </c>
      <c r="AS129" s="234">
        <f t="shared" ca="1" si="567"/>
        <v>4.8148703775082576E-2</v>
      </c>
      <c r="AT129" s="66">
        <f t="shared" ca="1" si="567"/>
        <v>4.2725582559354956E-2</v>
      </c>
      <c r="AU129" s="66">
        <f t="shared" ca="1" si="567"/>
        <v>5.4255369695868159E-2</v>
      </c>
      <c r="AV129" s="246">
        <f t="shared" ca="1" si="567"/>
        <v>4.5837907813209088E-2</v>
      </c>
      <c r="AW129" s="234">
        <f t="shared" ca="1" si="567"/>
        <v>4.6704242661830098E-2</v>
      </c>
      <c r="AX129" s="66">
        <f t="shared" ca="1" si="567"/>
        <v>4.1443815082574303E-2</v>
      </c>
      <c r="AY129" s="66">
        <f t="shared" ca="1" si="567"/>
        <v>5.2627708604992114E-2</v>
      </c>
      <c r="AZ129" s="66">
        <f t="shared" ca="1" si="567"/>
        <v>4.4462770578812816E-2</v>
      </c>
    </row>
    <row r="130" spans="2:52">
      <c r="B130" s="1" t="s">
        <v>30</v>
      </c>
      <c r="G130" s="10"/>
      <c r="H130" s="10"/>
      <c r="I130" s="10">
        <f>I279-I245</f>
        <v>50.663000000000011</v>
      </c>
      <c r="J130" s="10">
        <f t="shared" ref="J130:K130" si="568">J279-J245</f>
        <v>322.58500000000004</v>
      </c>
      <c r="K130" s="10">
        <f t="shared" ca="1" si="568"/>
        <v>781.96399999999994</v>
      </c>
      <c r="L130" s="58">
        <f ca="1">SUM(OFFSET($P130,0,L$1,1,4))</f>
        <v>1671.2093728723389</v>
      </c>
      <c r="M130" s="58">
        <f ca="1">SUM(OFFSET($P130,0,M$1,1,4))</f>
        <v>2063.8900749500058</v>
      </c>
      <c r="N130" s="58">
        <f ca="1">SUM(OFFSET($P130,0,N$1,1,4))</f>
        <v>2506.6675934887317</v>
      </c>
      <c r="AI130" s="10">
        <f t="shared" ref="AI130:AN130" ca="1" si="569">AI279-AI245</f>
        <v>25.28292637358436</v>
      </c>
      <c r="AJ130" s="255">
        <f t="shared" ca="1" si="569"/>
        <v>453.44965290506934</v>
      </c>
      <c r="AK130" s="10">
        <f t="shared" ca="1" si="569"/>
        <v>70.828905464206855</v>
      </c>
      <c r="AL130" s="10">
        <f t="shared" ca="1" si="569"/>
        <v>78.980923495518255</v>
      </c>
      <c r="AM130" s="10">
        <f t="shared" ca="1" si="569"/>
        <v>277.81548826193966</v>
      </c>
      <c r="AN130" s="255">
        <f t="shared" ca="1" si="569"/>
        <v>354.33868277833608</v>
      </c>
      <c r="AO130" s="10">
        <f ca="1">AO$111*AO131</f>
        <v>402.76166717523819</v>
      </c>
      <c r="AP130" s="10">
        <f t="shared" ref="AP130" ca="1" si="570">AP$111*AP131</f>
        <v>400.77298462691294</v>
      </c>
      <c r="AQ130" s="10">
        <f t="shared" ref="AQ130" ca="1" si="571">AQ$111*AQ131</f>
        <v>433.02558413062604</v>
      </c>
      <c r="AR130" s="255">
        <f t="shared" ref="AR130" ca="1" si="572">AR$111*AR131</f>
        <v>434.64913693956174</v>
      </c>
      <c r="AS130" s="10">
        <f t="shared" ref="AS130" ca="1" si="573">AS$111*AS131</f>
        <v>515.62222136207492</v>
      </c>
      <c r="AT130" s="10">
        <f t="shared" ref="AT130" ca="1" si="574">AT$111*AT131</f>
        <v>494.27021037321265</v>
      </c>
      <c r="AU130" s="10">
        <f t="shared" ref="AU130" ca="1" si="575">AU$111*AU131</f>
        <v>538.46651770733718</v>
      </c>
      <c r="AV130" s="255">
        <f t="shared" ref="AV130" ca="1" si="576">AV$111*AV131</f>
        <v>515.53112550738103</v>
      </c>
      <c r="AW130" s="10">
        <f t="shared" ref="AW130" ca="1" si="577">AW$111*AW131</f>
        <v>629.34177388696435</v>
      </c>
      <c r="AX130" s="10">
        <f t="shared" ref="AX130" ca="1" si="578">AX$111*AX131</f>
        <v>594.22002779481443</v>
      </c>
      <c r="AY130" s="10">
        <f t="shared" ref="AY130" ca="1" si="579">AY$111*AY131</f>
        <v>645.35966148913337</v>
      </c>
      <c r="AZ130" s="10">
        <f t="shared" ref="AZ130" ca="1" si="580">AZ$111*AZ131</f>
        <v>637.74613031781951</v>
      </c>
    </row>
    <row r="131" spans="2:52">
      <c r="B131" s="3" t="s">
        <v>284</v>
      </c>
      <c r="G131" s="10"/>
      <c r="H131" s="10"/>
      <c r="I131" s="4">
        <f ca="1">I130/I$111</f>
        <v>8.2763445921185447E-4</v>
      </c>
      <c r="J131" s="4">
        <f t="shared" ref="J131" ca="1" si="581">J130/J$111</f>
        <v>5.4079883772414367E-3</v>
      </c>
      <c r="K131" s="4">
        <f t="shared" ref="K131" ca="1" si="582">K130/K$111</f>
        <v>1.1614367620258846E-2</v>
      </c>
      <c r="L131" s="4">
        <f t="shared" ref="L131" ca="1" si="583">L130/L$111</f>
        <v>2.0836951310520151E-2</v>
      </c>
      <c r="M131" s="4">
        <f t="shared" ref="M131" ca="1" si="584">M130/M$111</f>
        <v>2.1495017690485421E-2</v>
      </c>
      <c r="N131" s="4">
        <f t="shared" ref="N131" ca="1" si="585">N130/N$111</f>
        <v>2.2144631413768583E-2</v>
      </c>
      <c r="AI131" s="4">
        <f ca="1">AI130/AI$111</f>
        <v>1.6793638142738405E-3</v>
      </c>
      <c r="AJ131" s="215">
        <f t="shared" ref="AJ131" ca="1" si="586">AJ130/AJ$111</f>
        <v>2.998195262626854E-2</v>
      </c>
      <c r="AK131" s="4">
        <f t="shared" ref="AK131" ca="1" si="587">AK130/AK$111</f>
        <v>5.234582111539255E-3</v>
      </c>
      <c r="AL131" s="4">
        <f t="shared" ref="AL131" ca="1" si="588">AL130/AL$111</f>
        <v>4.780783003350381E-3</v>
      </c>
      <c r="AM131" s="4">
        <f t="shared" ref="AM131" ca="1" si="589">AM130/AM$111</f>
        <v>1.4985158024225958E-2</v>
      </c>
      <c r="AN131" s="215">
        <f t="shared" ref="AN131" ca="1" si="590">AN130/AN$111</f>
        <v>1.8911714112057165E-2</v>
      </c>
      <c r="AO131" s="234">
        <v>2.4E-2</v>
      </c>
      <c r="AP131" s="66">
        <v>0.02</v>
      </c>
      <c r="AQ131" s="66">
        <v>0.02</v>
      </c>
      <c r="AR131" s="246">
        <v>0.02</v>
      </c>
      <c r="AS131" s="234">
        <f>AO131*1.03</f>
        <v>2.4720000000000002E-2</v>
      </c>
      <c r="AT131" s="66">
        <f t="shared" ref="AT131:AZ131" si="591">AP131*1.03</f>
        <v>2.06E-2</v>
      </c>
      <c r="AU131" s="66">
        <f t="shared" si="591"/>
        <v>2.06E-2</v>
      </c>
      <c r="AV131" s="246">
        <f t="shared" si="591"/>
        <v>2.06E-2</v>
      </c>
      <c r="AW131" s="234">
        <f t="shared" si="591"/>
        <v>2.5461600000000004E-2</v>
      </c>
      <c r="AX131" s="66">
        <f t="shared" si="591"/>
        <v>2.1218000000000001E-2</v>
      </c>
      <c r="AY131" s="66">
        <f t="shared" si="591"/>
        <v>2.1218000000000001E-2</v>
      </c>
      <c r="AZ131" s="66">
        <f t="shared" si="591"/>
        <v>2.1218000000000001E-2</v>
      </c>
    </row>
    <row r="132" spans="2:52">
      <c r="B132" s="11" t="s">
        <v>29</v>
      </c>
      <c r="G132" s="10"/>
      <c r="H132" s="10"/>
      <c r="I132" s="10">
        <f>I281-I249</f>
        <v>13076.634316841222</v>
      </c>
      <c r="J132" s="10">
        <f t="shared" ref="J132:K132" si="592">J281-J249</f>
        <v>10561.482253543792</v>
      </c>
      <c r="K132" s="10">
        <f t="shared" ca="1" si="592"/>
        <v>7367.9221789108897</v>
      </c>
      <c r="L132" s="58">
        <f ca="1">SUM(OFFSET($P132,0,L$1,1,4))</f>
        <v>10751.928234833982</v>
      </c>
      <c r="M132" s="58">
        <f ca="1">SUM(OFFSET($P132,0,M$1,1,4))</f>
        <v>13744.558523781807</v>
      </c>
      <c r="N132" s="58">
        <f ca="1">SUM(OFFSET($P132,0,N$1,1,4))</f>
        <v>15189.774043903357</v>
      </c>
      <c r="AI132" s="10">
        <f t="shared" ref="AI132:AN132" si="593">AI281-AI249</f>
        <v>2481.7785465218449</v>
      </c>
      <c r="AJ132" s="255">
        <f t="shared" si="593"/>
        <v>2122.7501541488309</v>
      </c>
      <c r="AK132" s="10">
        <f t="shared" ca="1" si="593"/>
        <v>1704.7932244588981</v>
      </c>
      <c r="AL132" s="10">
        <f t="shared" ca="1" si="593"/>
        <v>1556.9525670272201</v>
      </c>
      <c r="AM132" s="10">
        <f t="shared" ca="1" si="593"/>
        <v>2129.1064451849807</v>
      </c>
      <c r="AN132" s="255">
        <f t="shared" ca="1" si="593"/>
        <v>1977.0699422397913</v>
      </c>
      <c r="AO132" s="10">
        <f ca="1">AO$111*AO133</f>
        <v>2433.3517391837304</v>
      </c>
      <c r="AP132" s="10">
        <f t="shared" ref="AP132" ca="1" si="594">AP$111*AP133</f>
        <v>2504.8311539182059</v>
      </c>
      <c r="AQ132" s="10">
        <f t="shared" ref="AQ132" ca="1" si="595">AQ$111*AQ133</f>
        <v>2814.6662968490691</v>
      </c>
      <c r="AR132" s="255">
        <f t="shared" ref="AR132" ca="1" si="596">AR$111*AR133</f>
        <v>2999.0790448829762</v>
      </c>
      <c r="AS132" s="10">
        <f t="shared" ref="AS132" ca="1" si="597">AS$111*AS133</f>
        <v>2774.1810453542053</v>
      </c>
      <c r="AT132" s="10">
        <f t="shared" ref="AT132" ca="1" si="598">AT$111*AT133</f>
        <v>3167.1683383137897</v>
      </c>
      <c r="AU132" s="10">
        <f t="shared" ref="AU132" ca="1" si="599">AU$111*AU133</f>
        <v>3999.2901557875043</v>
      </c>
      <c r="AV132" s="255">
        <f t="shared" ref="AV132" ca="1" si="600">AV$111*AV133</f>
        <v>3803.9189843263061</v>
      </c>
      <c r="AW132" s="10">
        <f t="shared" ref="AW132" ca="1" si="601">AW$111*AW133</f>
        <v>3163.8132347351079</v>
      </c>
      <c r="AX132" s="10">
        <f t="shared" ref="AX132" ca="1" si="602">AX$111*AX133</f>
        <v>3355.0551102751801</v>
      </c>
      <c r="AY132" s="10">
        <f t="shared" ref="AY132" ca="1" si="603">AY$111*AY133</f>
        <v>4544.1009249918243</v>
      </c>
      <c r="AZ132" s="10">
        <f t="shared" ref="AZ132" ca="1" si="604">AZ$111*AZ133</f>
        <v>4126.8047739012454</v>
      </c>
    </row>
    <row r="133" spans="2:52">
      <c r="B133" s="3" t="s">
        <v>284</v>
      </c>
      <c r="G133" s="10"/>
      <c r="H133" s="10"/>
      <c r="I133" s="4">
        <f ca="1">I132/I$111</f>
        <v>0.21362085093914809</v>
      </c>
      <c r="J133" s="4">
        <f t="shared" ref="J133" ca="1" si="605">J132/J$111</f>
        <v>0.17705836686022761</v>
      </c>
      <c r="K133" s="4">
        <f t="shared" ref="K133" ca="1" si="606">K132/K$111</f>
        <v>0.10943439440093106</v>
      </c>
      <c r="L133" s="4">
        <f t="shared" ref="L133" ca="1" si="607">L132/L$111</f>
        <v>0.13405705398742782</v>
      </c>
      <c r="M133" s="4">
        <f t="shared" ref="M133" ca="1" si="608">M132/M$111</f>
        <v>0.14314693025681546</v>
      </c>
      <c r="N133" s="4">
        <f t="shared" ref="N133" ca="1" si="609">N132/N$111</f>
        <v>0.13419088687084871</v>
      </c>
      <c r="AI133" s="4">
        <f ca="1">AI132/AI$111</f>
        <v>0.16484678333851602</v>
      </c>
      <c r="AJ133" s="215">
        <f t="shared" ref="AJ133" ca="1" si="610">AJ132/AJ$111</f>
        <v>0.14035559218394317</v>
      </c>
      <c r="AK133" s="4">
        <f t="shared" ref="AK133" ca="1" si="611">AK132/AK$111</f>
        <v>0.12599206578358782</v>
      </c>
      <c r="AL133" s="4">
        <f t="shared" ref="AL133" ca="1" si="612">AL132/AL$111</f>
        <v>9.4243673535785583E-2</v>
      </c>
      <c r="AM133" s="4">
        <f t="shared" ref="AM133" ca="1" si="613">AM132/AM$111</f>
        <v>0.11484239676879765</v>
      </c>
      <c r="AN133" s="215">
        <f t="shared" ref="AN133" ca="1" si="614">AN132/AN$111</f>
        <v>0.10551989761323988</v>
      </c>
      <c r="AO133" s="234">
        <v>0.14499999999999999</v>
      </c>
      <c r="AP133" s="66">
        <v>0.125</v>
      </c>
      <c r="AQ133" s="66">
        <v>0.13</v>
      </c>
      <c r="AR133" s="246">
        <v>0.13800000000000001</v>
      </c>
      <c r="AS133" s="234">
        <v>0.13300000000000001</v>
      </c>
      <c r="AT133" s="66">
        <v>0.13200000000000001</v>
      </c>
      <c r="AU133" s="66">
        <v>0.153</v>
      </c>
      <c r="AV133" s="246">
        <v>0.152</v>
      </c>
      <c r="AW133" s="234">
        <v>0.128</v>
      </c>
      <c r="AX133" s="66">
        <v>0.1198</v>
      </c>
      <c r="AY133" s="66">
        <v>0.14940000000000001</v>
      </c>
      <c r="AZ133" s="66">
        <v>0.13730000000000001</v>
      </c>
    </row>
    <row r="134" spans="2:52">
      <c r="B134" s="11" t="s">
        <v>285</v>
      </c>
      <c r="G134" s="10"/>
      <c r="H134" s="10"/>
      <c r="I134" s="10">
        <f>I283-I251</f>
        <v>2241.5976831587791</v>
      </c>
      <c r="J134" s="10">
        <f t="shared" ref="J134:K134" si="615">J283-J251</f>
        <v>2252.9027464562087</v>
      </c>
      <c r="K134" s="10">
        <f t="shared" ca="1" si="615"/>
        <v>1827.7388210891097</v>
      </c>
      <c r="L134" s="58">
        <f ca="1">SUM(OFFSET($P134,0,L$1,1,4))</f>
        <v>2037.8117133234532</v>
      </c>
      <c r="M134" s="58">
        <f ca="1">SUM(OFFSET($P134,0,M$1,1,4))</f>
        <v>2298.3845574833927</v>
      </c>
      <c r="N134" s="58">
        <f ca="1">SUM(OFFSET($P134,0,N$1,1,4))</f>
        <v>2737.8601749720956</v>
      </c>
      <c r="AI134" s="10">
        <f t="shared" ref="AI134:AN134" si="616">AI283-AI251</f>
        <v>446.28445347815466</v>
      </c>
      <c r="AJ134" s="255">
        <f t="shared" si="616"/>
        <v>453.5918458511689</v>
      </c>
      <c r="AK134" s="10">
        <f t="shared" ca="1" si="616"/>
        <v>373.58177554110182</v>
      </c>
      <c r="AL134" s="10">
        <f t="shared" ca="1" si="616"/>
        <v>438.48243297277986</v>
      </c>
      <c r="AM134" s="10">
        <f t="shared" ca="1" si="616"/>
        <v>512.23655481501976</v>
      </c>
      <c r="AN134" s="255">
        <f t="shared" ca="1" si="616"/>
        <v>503.43805776020861</v>
      </c>
      <c r="AO134" s="10">
        <f ca="1">AO$111*AO135</f>
        <v>422.89975053400008</v>
      </c>
      <c r="AP134" s="10">
        <f t="shared" ref="AP134" ca="1" si="617">AP$111*AP135</f>
        <v>512.98942032244861</v>
      </c>
      <c r="AQ134" s="10">
        <f t="shared" ref="AQ134" ca="1" si="618">AQ$111*AQ135</f>
        <v>556.43787560785449</v>
      </c>
      <c r="AR134" s="255">
        <f t="shared" ref="AR134" ca="1" si="619">AR$111*AR135</f>
        <v>545.48466685915002</v>
      </c>
      <c r="AS134" s="10">
        <f t="shared" ref="AS134" ca="1" si="620">AS$111*AS135</f>
        <v>494.34654717965907</v>
      </c>
      <c r="AT134" s="10">
        <f t="shared" ref="AT134" ca="1" si="621">AT$111*AT135</f>
        <v>578.24815873759337</v>
      </c>
      <c r="AU134" s="10">
        <f t="shared" ref="AU134" ca="1" si="622">AU$111*AU135</f>
        <v>635.18137768389772</v>
      </c>
      <c r="AV134" s="255">
        <f t="shared" ref="AV134" ca="1" si="623">AV$111*AV135</f>
        <v>590.60847388224227</v>
      </c>
      <c r="AW134" s="10">
        <f t="shared" ref="AW134" ca="1" si="624">AW$111*AW135</f>
        <v>590.74325242319594</v>
      </c>
      <c r="AX134" s="10">
        <f t="shared" ref="AX134" ca="1" si="625">AX$111*AX135</f>
        <v>680.53288129955649</v>
      </c>
      <c r="AY134" s="10">
        <f t="shared" ref="AY134" ca="1" si="626">AY$111*AY135</f>
        <v>748.22545351271003</v>
      </c>
      <c r="AZ134" s="10">
        <f t="shared" ref="AZ134" ca="1" si="627">AZ$111*AZ135</f>
        <v>718.35858773663335</v>
      </c>
    </row>
    <row r="135" spans="2:52">
      <c r="B135" s="3" t="s">
        <v>284</v>
      </c>
      <c r="G135" s="10"/>
      <c r="H135" s="10"/>
      <c r="I135" s="4">
        <f ca="1">I134/I$111</f>
        <v>3.6618903070715546E-2</v>
      </c>
      <c r="J135" s="4">
        <f t="shared" ref="J135" ca="1" si="628">J134/J$111</f>
        <v>3.7768872910676217E-2</v>
      </c>
      <c r="K135" s="4">
        <f t="shared" ref="K135" ca="1" si="629">K134/K$111</f>
        <v>2.7147068895687569E-2</v>
      </c>
      <c r="L135" s="4">
        <f t="shared" ref="L135" ca="1" si="630">L134/L$111</f>
        <v>2.5407817919037023E-2</v>
      </c>
      <c r="M135" s="4">
        <f t="shared" ref="M135" ca="1" si="631">M134/M$111</f>
        <v>2.3937232569830904E-2</v>
      </c>
      <c r="N135" s="4">
        <f t="shared" ref="N135" ca="1" si="632">N134/N$111</f>
        <v>2.4187053997379398E-2</v>
      </c>
      <c r="AI135" s="4">
        <f ca="1">AI134/AI$111</f>
        <v>2.9643481572103208E-2</v>
      </c>
      <c r="AJ135" s="215">
        <f t="shared" ref="AJ135" ca="1" si="633">AJ134/AJ$111</f>
        <v>2.9991354380457639E-2</v>
      </c>
      <c r="AK135" s="4">
        <f t="shared" ref="AK135" ca="1" si="634">AK134/AK$111</f>
        <v>2.7609412663206444E-2</v>
      </c>
      <c r="AL135" s="4">
        <f t="shared" ref="AL135" ca="1" si="635">AL134/AL$111</f>
        <v>2.6541717544527596E-2</v>
      </c>
      <c r="AM135" s="4">
        <f t="shared" ref="AM135" ca="1" si="636">AM134/AM$111</f>
        <v>2.7629653651458235E-2</v>
      </c>
      <c r="AN135" s="215">
        <f t="shared" ref="AN135" ca="1" si="637">AN134/AN$111</f>
        <v>2.6869424887054655E-2</v>
      </c>
      <c r="AO135" s="234">
        <v>2.52E-2</v>
      </c>
      <c r="AP135" s="66">
        <v>2.5600000000000001E-2</v>
      </c>
      <c r="AQ135" s="66">
        <v>2.5700000000000001E-2</v>
      </c>
      <c r="AR135" s="246">
        <v>2.5100000000000001E-2</v>
      </c>
      <c r="AS135" s="234">
        <v>2.3699999999999999E-2</v>
      </c>
      <c r="AT135" s="66">
        <v>2.41E-2</v>
      </c>
      <c r="AU135" s="66">
        <v>2.4299999999999999E-2</v>
      </c>
      <c r="AV135" s="246">
        <v>2.3599999999999999E-2</v>
      </c>
      <c r="AW135" s="234">
        <v>2.3900000000000001E-2</v>
      </c>
      <c r="AX135" s="66">
        <v>2.4299999999999999E-2</v>
      </c>
      <c r="AY135" s="66">
        <v>2.46E-2</v>
      </c>
      <c r="AZ135" s="66">
        <v>2.3900000000000001E-2</v>
      </c>
    </row>
    <row r="136" spans="2:52">
      <c r="B136" s="11" t="s">
        <v>33</v>
      </c>
      <c r="G136" s="10"/>
      <c r="H136" s="10"/>
      <c r="I136" s="10">
        <f>I285-I253</f>
        <v>8842.2440000000006</v>
      </c>
      <c r="J136" s="10">
        <f t="shared" ref="J136:K136" si="638">J285-J253</f>
        <v>8121.3370000000014</v>
      </c>
      <c r="K136" s="10">
        <f t="shared" ca="1" si="638"/>
        <v>9638.4489999999987</v>
      </c>
      <c r="L136" s="58">
        <f ca="1">SUM(OFFSET($P136,0,L$1,1,4))</f>
        <v>11275.315895068905</v>
      </c>
      <c r="M136" s="58">
        <f ca="1">SUM(OFFSET($P136,0,M$1,1,4))</f>
        <v>13638.581452297751</v>
      </c>
      <c r="N136" s="58">
        <f ca="1">SUM(OFFSET($P136,0,N$1,1,4))</f>
        <v>15931.722041270721</v>
      </c>
      <c r="AI136" s="10">
        <f t="shared" ref="AI136:AN136" si="639">AI285-AI253</f>
        <v>2117.0929999999998</v>
      </c>
      <c r="AJ136" s="255">
        <f t="shared" si="639"/>
        <v>2256.7220000000002</v>
      </c>
      <c r="AK136" s="10">
        <f t="shared" si="639"/>
        <v>2181.915</v>
      </c>
      <c r="AL136" s="10">
        <f t="shared" si="639"/>
        <v>2355.8690000000001</v>
      </c>
      <c r="AM136" s="10">
        <f t="shared" si="639"/>
        <v>2378.9270000000001</v>
      </c>
      <c r="AN136" s="255">
        <f t="shared" si="639"/>
        <v>2721.7379999999998</v>
      </c>
      <c r="AO136" s="10">
        <f ca="1">AO$111*AO137</f>
        <v>2581.0310171479846</v>
      </c>
      <c r="AP136" s="10">
        <f t="shared" ref="AP136" ca="1" si="640">AP$111*AP137</f>
        <v>2605.0244000749344</v>
      </c>
      <c r="AQ136" s="10">
        <f t="shared" ref="AQ136" ca="1" si="641">AQ$111*AQ137</f>
        <v>2944.5739720882571</v>
      </c>
      <c r="AR136" s="255">
        <f t="shared" ref="AR136" ca="1" si="642">AR$111*AR137</f>
        <v>3144.6865057577288</v>
      </c>
      <c r="AS136" s="10">
        <f t="shared" ref="AS136" ca="1" si="643">AS$111*AS137</f>
        <v>3180.9218753121522</v>
      </c>
      <c r="AT136" s="10">
        <f t="shared" ref="AT136" ca="1" si="644">AT$111*AT137</f>
        <v>3366.3160444350356</v>
      </c>
      <c r="AU136" s="10">
        <f t="shared" ref="AU136" ca="1" si="645">AU$111*AU137</f>
        <v>3502.6462802321935</v>
      </c>
      <c r="AV136" s="255">
        <f t="shared" ref="AV136" ca="1" si="646">AV$111*AV137</f>
        <v>3588.6972523183708</v>
      </c>
      <c r="AW136" s="10">
        <f t="shared" ref="AW136" ca="1" si="647">AW$111*AW137</f>
        <v>3737.2543835308466</v>
      </c>
      <c r="AX136" s="10">
        <f t="shared" ref="AX136" ca="1" si="648">AX$111*AX137</f>
        <v>3887.1590092336814</v>
      </c>
      <c r="AY136" s="10">
        <f t="shared" ref="AY136" ca="1" si="649">AY$111*AY137</f>
        <v>4042.2423890991527</v>
      </c>
      <c r="AZ136" s="10">
        <f t="shared" ref="AZ136" ca="1" si="650">AZ$111*AZ137</f>
        <v>4265.0662594070409</v>
      </c>
    </row>
    <row r="137" spans="2:52">
      <c r="B137" s="3" t="s">
        <v>284</v>
      </c>
      <c r="G137" s="10"/>
      <c r="H137" s="10"/>
      <c r="I137" s="4">
        <f ca="1">I136/I$111</f>
        <v>0.14444754221343512</v>
      </c>
      <c r="J137" s="4">
        <f t="shared" ref="J137" ca="1" si="651">J136/J$111</f>
        <v>0.13615045989014007</v>
      </c>
      <c r="K137" s="4">
        <f t="shared" ref="K137" ca="1" si="652">K136/K$111</f>
        <v>0.14315811210633259</v>
      </c>
      <c r="L137" s="4">
        <f t="shared" ref="L137" ca="1" si="653">L136/L$111</f>
        <v>0.14058274931314166</v>
      </c>
      <c r="M137" s="4">
        <f t="shared" ref="M137" ca="1" si="654">M136/M$111</f>
        <v>0.14204319946514971</v>
      </c>
      <c r="N137" s="4">
        <f t="shared" ref="N137" ca="1" si="655">N136/N$111</f>
        <v>0.14074547152042996</v>
      </c>
      <c r="AI137" s="4">
        <f ca="1">AI136/AI$111</f>
        <v>0.14062333303976643</v>
      </c>
      <c r="AJ137" s="215">
        <f t="shared" ref="AJ137" ca="1" si="656">AJ136/AJ$111</f>
        <v>0.1492137697342619</v>
      </c>
      <c r="AK137" s="4">
        <f t="shared" ref="AK137" si="657">AK136/AK$111</f>
        <v>0.16125356100089597</v>
      </c>
      <c r="AL137" s="4">
        <f t="shared" ref="AL137" ca="1" si="658">AL136/AL$111</f>
        <v>0.14260277007218292</v>
      </c>
      <c r="AM137" s="4">
        <f t="shared" ref="AM137" ca="1" si="659">AM136/AM$111</f>
        <v>0.12831752918500475</v>
      </c>
      <c r="AN137" s="215">
        <f t="shared" ref="AN137" ca="1" si="660">AN136/AN$111</f>
        <v>0.14526421597644781</v>
      </c>
      <c r="AO137" s="234">
        <v>0.15379999999999999</v>
      </c>
      <c r="AP137" s="66">
        <v>0.13</v>
      </c>
      <c r="AQ137" s="66">
        <v>0.13600000000000001</v>
      </c>
      <c r="AR137" s="246">
        <v>0.1447</v>
      </c>
      <c r="AS137" s="234">
        <v>0.1525</v>
      </c>
      <c r="AT137" s="66">
        <v>0.14030000000000001</v>
      </c>
      <c r="AU137" s="66">
        <v>0.13400000000000001</v>
      </c>
      <c r="AV137" s="246">
        <v>0.1434</v>
      </c>
      <c r="AW137" s="234">
        <v>0.1512</v>
      </c>
      <c r="AX137" s="66">
        <v>0.13880000000000001</v>
      </c>
      <c r="AY137" s="66">
        <v>0.13289999999999999</v>
      </c>
      <c r="AZ137" s="66">
        <v>0.1419</v>
      </c>
    </row>
    <row r="138" spans="2:52">
      <c r="G138" s="10"/>
      <c r="H138" s="10"/>
      <c r="I138" s="10"/>
      <c r="J138" s="10"/>
      <c r="AO138" s="71"/>
      <c r="AP138" s="71"/>
      <c r="AQ138" s="71"/>
      <c r="AR138" s="241"/>
      <c r="AS138" s="71"/>
      <c r="AT138" s="71"/>
      <c r="AU138" s="71"/>
      <c r="AV138" s="241"/>
      <c r="AW138" s="71"/>
      <c r="AX138" s="71"/>
      <c r="AY138" s="71"/>
      <c r="AZ138" s="71"/>
    </row>
    <row r="139" spans="2:52">
      <c r="B139" s="11" t="s">
        <v>609</v>
      </c>
      <c r="E139" s="67">
        <v>152.02799999999999</v>
      </c>
      <c r="F139" s="58">
        <f t="shared" ref="F139:N139" ca="1" si="661">SUM(OFFSET($P139,0,F$1,1,4))</f>
        <v>212.30799999999999</v>
      </c>
      <c r="G139" s="58">
        <f t="shared" ca="1" si="661"/>
        <v>514.72700000000009</v>
      </c>
      <c r="H139" s="58">
        <f t="shared" ca="1" si="661"/>
        <v>962.73900000000003</v>
      </c>
      <c r="I139" s="58">
        <f t="shared" ca="1" si="661"/>
        <v>1387.1179999999999</v>
      </c>
      <c r="J139" s="58">
        <f t="shared" ca="1" si="661"/>
        <v>1759.9879999999998</v>
      </c>
      <c r="K139" s="58">
        <f t="shared" ca="1" si="661"/>
        <v>3244.8110000000001</v>
      </c>
      <c r="L139" s="58">
        <f t="shared" ca="1" si="661"/>
        <v>4263.7854560868482</v>
      </c>
      <c r="M139" s="58">
        <f t="shared" ca="1" si="661"/>
        <v>4948.3965919440197</v>
      </c>
      <c r="N139" s="58">
        <f t="shared" ca="1" si="661"/>
        <v>5645.6501038917577</v>
      </c>
      <c r="O139" s="58"/>
      <c r="P139" s="58"/>
      <c r="Q139" s="58">
        <f t="shared" ref="Q139:AV139" si="662">Q141+Q144</f>
        <v>35.158999999999999</v>
      </c>
      <c r="R139" s="58">
        <f t="shared" si="662"/>
        <v>53.863999999999997</v>
      </c>
      <c r="S139" s="58">
        <f t="shared" si="662"/>
        <v>56.720000000000006</v>
      </c>
      <c r="T139" s="58">
        <f t="shared" si="662"/>
        <v>66.564999999999998</v>
      </c>
      <c r="U139" s="58">
        <f t="shared" si="662"/>
        <v>110.94800000000001</v>
      </c>
      <c r="V139" s="58">
        <f t="shared" si="662"/>
        <v>83.284000000000006</v>
      </c>
      <c r="W139" s="58">
        <f t="shared" si="662"/>
        <v>143.14400000000001</v>
      </c>
      <c r="X139" s="58">
        <f t="shared" si="662"/>
        <v>177.351</v>
      </c>
      <c r="Y139" s="58">
        <f t="shared" si="662"/>
        <v>168.96699999999998</v>
      </c>
      <c r="Z139" s="58">
        <f t="shared" si="662"/>
        <v>220.55199999999999</v>
      </c>
      <c r="AA139" s="58">
        <f t="shared" si="662"/>
        <v>234.19300000000001</v>
      </c>
      <c r="AB139" s="212">
        <f t="shared" si="662"/>
        <v>339.02699999999999</v>
      </c>
      <c r="AC139" s="58">
        <f t="shared" si="662"/>
        <v>291.07599999999996</v>
      </c>
      <c r="AD139" s="58">
        <f t="shared" si="662"/>
        <v>354.72499999999997</v>
      </c>
      <c r="AE139" s="58">
        <f t="shared" si="662"/>
        <v>400.29700000000003</v>
      </c>
      <c r="AF139" s="212">
        <f t="shared" si="662"/>
        <v>341.02</v>
      </c>
      <c r="AG139" s="58">
        <f t="shared" si="662"/>
        <v>309.06199999999995</v>
      </c>
      <c r="AH139" s="58">
        <f t="shared" si="662"/>
        <v>400.93100000000004</v>
      </c>
      <c r="AI139" s="58">
        <f t="shared" si="662"/>
        <v>418.06200000000001</v>
      </c>
      <c r="AJ139" s="212">
        <f t="shared" si="662"/>
        <v>631.93299999999999</v>
      </c>
      <c r="AK139" s="58">
        <f t="shared" si="662"/>
        <v>630.81100000000004</v>
      </c>
      <c r="AL139" s="58">
        <f t="shared" si="662"/>
        <v>796</v>
      </c>
      <c r="AM139" s="58">
        <f t="shared" si="662"/>
        <v>841</v>
      </c>
      <c r="AN139" s="212">
        <f t="shared" ref="AN139" si="663">AN141+AN144</f>
        <v>977</v>
      </c>
      <c r="AO139" s="58">
        <f t="shared" ca="1" si="662"/>
        <v>874.77163337203615</v>
      </c>
      <c r="AP139" s="58">
        <f t="shared" ca="1" si="662"/>
        <v>1047.1993545637274</v>
      </c>
      <c r="AQ139" s="58">
        <f t="shared" ca="1" si="662"/>
        <v>1143.6538768474604</v>
      </c>
      <c r="AR139" s="212">
        <f t="shared" ca="1" si="662"/>
        <v>1198.160591303624</v>
      </c>
      <c r="AS139" s="58">
        <f t="shared" ca="1" si="662"/>
        <v>1052.7703861632842</v>
      </c>
      <c r="AT139" s="58">
        <f t="shared" ca="1" si="662"/>
        <v>1214.106600540503</v>
      </c>
      <c r="AU139" s="58">
        <f t="shared" ca="1" si="662"/>
        <v>1328.9482780275769</v>
      </c>
      <c r="AV139" s="212">
        <f t="shared" ca="1" si="662"/>
        <v>1352.5713272126563</v>
      </c>
      <c r="AW139" s="58">
        <f t="shared" ref="AW139:AZ139" ca="1" si="664">AW141+AW144</f>
        <v>1210.990219655534</v>
      </c>
      <c r="AX139" s="58">
        <f t="shared" ca="1" si="664"/>
        <v>1373.3595470988394</v>
      </c>
      <c r="AY139" s="58">
        <f t="shared" ca="1" si="664"/>
        <v>1494.0151003868411</v>
      </c>
      <c r="AZ139" s="58">
        <f t="shared" ca="1" si="664"/>
        <v>1567.2852367505425</v>
      </c>
    </row>
    <row r="140" spans="2:52">
      <c r="B140" s="3" t="s">
        <v>271</v>
      </c>
      <c r="E140" s="2"/>
      <c r="F140" s="4">
        <f ca="1">F139/BIDU_IS!F$82</f>
        <v>9.5179661316632542E-3</v>
      </c>
      <c r="G140" s="4">
        <f ca="1">G139/BIDU_IS!G$82</f>
        <v>1.6113455566698694E-2</v>
      </c>
      <c r="H140" s="4">
        <f ca="1">H139/BIDU_IS!H$82</f>
        <v>1.9626778901661691E-2</v>
      </c>
      <c r="I140" s="4">
        <f ca="1">I139/BIDU_IS!I$82</f>
        <v>2.0896081209333971E-2</v>
      </c>
      <c r="J140" s="4">
        <f ca="1">J139/BIDU_IS!J$82</f>
        <v>2.4946901009624975E-2</v>
      </c>
      <c r="K140" s="4">
        <f ca="1">K139/BIDU_IS!K$82</f>
        <v>3.826002378155214E-2</v>
      </c>
      <c r="L140" s="4">
        <f ca="1">L139/BIDU_IS!L$82</f>
        <v>4.0495285249215335E-2</v>
      </c>
      <c r="M140" s="4">
        <f ca="1">M139/BIDU_IS!M$82</f>
        <v>3.8479302238349E-2</v>
      </c>
      <c r="N140" s="4">
        <f ca="1">N139/BIDU_IS!N$82</f>
        <v>3.648656226108684E-2</v>
      </c>
      <c r="Q140" s="4">
        <f>Q139/BIDU_IS!Q$82</f>
        <v>8.2460720397905408E-3</v>
      </c>
      <c r="R140" s="4">
        <f>R139/BIDU_IS!R$82</f>
        <v>9.8720142398637002E-3</v>
      </c>
      <c r="S140" s="4">
        <f>S139/BIDU_IS!S$82</f>
        <v>9.0741546573834698E-3</v>
      </c>
      <c r="T140" s="4">
        <f>T139/BIDU_IS!T$82</f>
        <v>1.0506924167993351E-2</v>
      </c>
      <c r="U140" s="4">
        <f>U139/BIDU_IS!U$82</f>
        <v>1.8588806840134049E-2</v>
      </c>
      <c r="V140" s="4">
        <f>V139/BIDU_IS!V$82</f>
        <v>1.1015214629639796E-2</v>
      </c>
      <c r="W140" s="4">
        <f>W139/BIDU_IS!W$82</f>
        <v>1.6098684857199862E-2</v>
      </c>
      <c r="X140" s="4">
        <f>X139/BIDU_IS!X$82</f>
        <v>1.8623608133351635E-2</v>
      </c>
      <c r="Y140" s="4">
        <f>Y139/BIDU_IS!Y$82</f>
        <v>1.7792457725709289E-2</v>
      </c>
      <c r="Z140" s="4">
        <f>Z139/BIDU_IS!Z$82</f>
        <v>1.8401135612177825E-2</v>
      </c>
      <c r="AA140" s="4">
        <f>AA139/BIDU_IS!AA$82</f>
        <v>1.7322280076652274E-2</v>
      </c>
      <c r="AB140" s="215">
        <f>AB139/BIDU_IS!AB$82</f>
        <v>2.4129642299780311E-2</v>
      </c>
      <c r="AC140" s="4">
        <f>AC139/BIDU_IS!AC$82</f>
        <v>2.2875032142423785E-2</v>
      </c>
      <c r="AD140" s="4">
        <f>AD139/BIDU_IS!AD$82</f>
        <v>2.1400899341535853E-2</v>
      </c>
      <c r="AE140" s="4">
        <f>AE139/BIDU_IS!AE$82</f>
        <v>2.1775294358981505E-2</v>
      </c>
      <c r="AF140" s="215">
        <f>AF139/BIDU_IS!AF$82</f>
        <v>1.8237539811391042E-2</v>
      </c>
      <c r="AG140" s="4">
        <f>AG139/BIDU_IS!AG$82</f>
        <v>1.9535450424927742E-2</v>
      </c>
      <c r="AH140" s="4">
        <f>AH139/BIDU_IS!AH$82</f>
        <v>2.1952405127387477E-2</v>
      </c>
      <c r="AI140" s="4">
        <f>AI139/BIDU_IS!AI$82</f>
        <v>2.2904044259829431E-2</v>
      </c>
      <c r="AJ140" s="215">
        <f>AJ139/BIDU_IS!AJ$82</f>
        <v>3.4697981620748733E-2</v>
      </c>
      <c r="AK140" s="4">
        <f>AK139/BIDU_IS!AK$82</f>
        <v>3.7346458438728573E-2</v>
      </c>
      <c r="AL140" s="4">
        <f>AL139/BIDU_IS!AL$82</f>
        <v>3.8133563284468715E-2</v>
      </c>
      <c r="AM140" s="4">
        <f>AM139/BIDU_IS!AM$82</f>
        <v>3.5803993358593383E-2</v>
      </c>
      <c r="AN140" s="215">
        <f>AN139/BIDU_IS!AN$82</f>
        <v>4.1475632535235181E-2</v>
      </c>
      <c r="AO140" s="4">
        <f ca="1">AO139/BIDU_IS!AO$82</f>
        <v>3.9952793343521822E-2</v>
      </c>
      <c r="AP140" s="4">
        <f ca="1">AP139/BIDU_IS!AP$82</f>
        <v>3.9952793343521822E-2</v>
      </c>
      <c r="AQ140" s="4">
        <f ca="1">AQ139/BIDU_IS!AQ$82</f>
        <v>3.9952793343521822E-2</v>
      </c>
      <c r="AR140" s="215">
        <f ca="1">AR139/BIDU_IS!AR$82</f>
        <v>4.1952793343521817E-2</v>
      </c>
      <c r="AS140" s="4">
        <f ca="1">AS139/BIDU_IS!AS$82</f>
        <v>3.7952793343521821E-2</v>
      </c>
      <c r="AT140" s="4">
        <f ca="1">AT139/BIDU_IS!AT$82</f>
        <v>3.7952793343521814E-2</v>
      </c>
      <c r="AU140" s="4">
        <f ca="1">AU139/BIDU_IS!AU$82</f>
        <v>3.7952793343521814E-2</v>
      </c>
      <c r="AV140" s="215">
        <f ca="1">AV139/BIDU_IS!AV$82</f>
        <v>3.9952793343521822E-2</v>
      </c>
      <c r="AW140" s="4">
        <f ca="1">AW139/BIDU_IS!AW$82</f>
        <v>3.5952793343521819E-2</v>
      </c>
      <c r="AX140" s="4">
        <f ca="1">AX139/BIDU_IS!AX$82</f>
        <v>3.5952793343521812E-2</v>
      </c>
      <c r="AY140" s="4">
        <f ca="1">AY139/BIDU_IS!AY$82</f>
        <v>3.5952793343521819E-2</v>
      </c>
      <c r="AZ140" s="4">
        <f ca="1">AZ139/BIDU_IS!AZ$82</f>
        <v>3.7952793343521821E-2</v>
      </c>
    </row>
    <row r="141" spans="2:52">
      <c r="B141" s="3" t="s">
        <v>273</v>
      </c>
      <c r="E141" s="67">
        <v>7.5270000000000001</v>
      </c>
      <c r="F141" s="58">
        <f t="shared" ref="F141:N141" ca="1" si="665">SUM(OFFSET($P141,0,F$1,1,4))</f>
        <v>10.105</v>
      </c>
      <c r="G141" s="58">
        <f t="shared" ca="1" si="665"/>
        <v>23.975999999999999</v>
      </c>
      <c r="H141" s="58">
        <f t="shared" ca="1" si="665"/>
        <v>34.611000000000004</v>
      </c>
      <c r="I141" s="58">
        <f t="shared" ca="1" si="665"/>
        <v>49.769999999999996</v>
      </c>
      <c r="J141" s="58">
        <f t="shared" ca="1" si="665"/>
        <v>103.35399999999998</v>
      </c>
      <c r="K141" s="58">
        <f t="shared" ca="1" si="665"/>
        <v>183.351</v>
      </c>
      <c r="L141" s="58">
        <f t="shared" ca="1" si="665"/>
        <v>205.6113892175357</v>
      </c>
      <c r="M141" s="58">
        <f t="shared" ca="1" si="665"/>
        <v>251.12710895843293</v>
      </c>
      <c r="N141" s="58">
        <f t="shared" ca="1" si="665"/>
        <v>302.16022720482783</v>
      </c>
      <c r="O141" s="58"/>
      <c r="P141" s="58"/>
      <c r="Q141" s="58">
        <f>BIDU_IS!Q108</f>
        <v>0.84499999999999997</v>
      </c>
      <c r="R141" s="58">
        <f>BIDU_IS!R108</f>
        <v>2.4929999999999999</v>
      </c>
      <c r="S141" s="58">
        <f>BIDU_IS!S108</f>
        <v>2.403</v>
      </c>
      <c r="T141" s="58">
        <f>BIDU_IS!T108</f>
        <v>4.3639999999999999</v>
      </c>
      <c r="U141" s="58">
        <f>BIDU_IS!U108</f>
        <v>4.4059999999999997</v>
      </c>
      <c r="V141" s="58">
        <f>BIDU_IS!V108</f>
        <v>4.0419999999999998</v>
      </c>
      <c r="W141" s="58">
        <f>BIDU_IS!W108</f>
        <v>6.3570000000000002</v>
      </c>
      <c r="X141" s="58">
        <f>BIDU_IS!X108</f>
        <v>9.1709999999999994</v>
      </c>
      <c r="Y141" s="58">
        <f>BIDU_IS!Y108</f>
        <v>6.4020000000000001</v>
      </c>
      <c r="Z141" s="58">
        <f>BIDU_IS!Z108</f>
        <v>8.4619999999999997</v>
      </c>
      <c r="AA141" s="58">
        <f>BIDU_IS!AA108</f>
        <v>8.3759999999999994</v>
      </c>
      <c r="AB141" s="212">
        <f>BIDU_IS!AB108</f>
        <v>11.371</v>
      </c>
      <c r="AC141" s="58">
        <f>BIDU_IS!AC108</f>
        <v>8.7119999999999997</v>
      </c>
      <c r="AD141" s="58">
        <f>BIDU_IS!AD108</f>
        <v>12.715</v>
      </c>
      <c r="AE141" s="58">
        <f>BIDU_IS!AE108</f>
        <v>11.805</v>
      </c>
      <c r="AF141" s="212">
        <f>BIDU_IS!AF108</f>
        <v>16.538</v>
      </c>
      <c r="AG141" s="58">
        <f>BIDU_IS!AG108</f>
        <v>12.420999999999999</v>
      </c>
      <c r="AH141" s="58">
        <f>BIDU_IS!AH108</f>
        <v>20.321999999999999</v>
      </c>
      <c r="AI141" s="58">
        <f>BIDU_IS!AI108</f>
        <v>28.370999999999999</v>
      </c>
      <c r="AJ141" s="212">
        <f>BIDU_IS!AJ108</f>
        <v>42.24</v>
      </c>
      <c r="AK141" s="58">
        <f>BIDU_IS!AK108</f>
        <v>36.350999999999999</v>
      </c>
      <c r="AL141" s="58">
        <f>BIDU_IS!AL108</f>
        <v>48</v>
      </c>
      <c r="AM141" s="58">
        <f>BIDU_IS!AM108</f>
        <v>53</v>
      </c>
      <c r="AN141" s="212">
        <f>BIDU_IS!AN108</f>
        <v>46</v>
      </c>
      <c r="AO141" s="58">
        <f ca="1">BIDU_IS!AO$82*AO142</f>
        <v>42.756665549334059</v>
      </c>
      <c r="AP141" s="58">
        <f ca="1">BIDU_IS!AP$82*AP142</f>
        <v>51.18450445628168</v>
      </c>
      <c r="AQ141" s="58">
        <f ca="1">BIDU_IS!AQ$82*AQ142</f>
        <v>55.898962027464044</v>
      </c>
      <c r="AR141" s="212">
        <f ca="1">BIDU_IS!AR$82*AR142</f>
        <v>55.771257184455905</v>
      </c>
      <c r="AS141" s="58">
        <f ca="1">BIDU_IS!AS$82*AS142</f>
        <v>54.168424014235839</v>
      </c>
      <c r="AT141" s="58">
        <f ca="1">BIDU_IS!AT$82*AT142</f>
        <v>62.469691397987447</v>
      </c>
      <c r="AU141" s="58">
        <f ca="1">BIDU_IS!AU$82*AU142</f>
        <v>68.378665246783669</v>
      </c>
      <c r="AV141" s="212">
        <f ca="1">BIDU_IS!AV$82*AV142</f>
        <v>66.110328299426001</v>
      </c>
      <c r="AW141" s="58">
        <f ca="1">BIDU_IS!AW$82*AW142</f>
        <v>65.775518953924617</v>
      </c>
      <c r="AX141" s="58">
        <f ca="1">BIDU_IS!AX$82*AX142</f>
        <v>74.594687433931853</v>
      </c>
      <c r="AY141" s="58">
        <f ca="1">BIDU_IS!AY$82*AY142</f>
        <v>81.148152113810653</v>
      </c>
      <c r="AZ141" s="58">
        <f ca="1">BIDU_IS!AZ$82*AZ142</f>
        <v>80.641868703160739</v>
      </c>
    </row>
    <row r="142" spans="2:52">
      <c r="B142" s="52" t="s">
        <v>271</v>
      </c>
      <c r="E142" s="12"/>
      <c r="F142" s="4">
        <f ca="1">F141/BIDU_IS!F$82</f>
        <v>4.530165973983891E-4</v>
      </c>
      <c r="G142" s="4">
        <f ca="1">G141/BIDU_IS!G$82</f>
        <v>7.505652718182023E-4</v>
      </c>
      <c r="H142" s="4">
        <f ca="1">H141/BIDU_IS!H$82</f>
        <v>7.0559356644470919E-4</v>
      </c>
      <c r="I142" s="4">
        <f ca="1">I141/BIDU_IS!I$82</f>
        <v>7.4975449946475465E-4</v>
      </c>
      <c r="J142" s="4">
        <f ca="1">J141/BIDU_IS!J$82</f>
        <v>1.4649884015963629E-3</v>
      </c>
      <c r="K142" s="4">
        <f ca="1">K141/BIDU_IS!K$82</f>
        <v>2.1619174800539586E-3</v>
      </c>
      <c r="L142" s="4">
        <f ca="1">L141/BIDU_IS!L$82</f>
        <v>1.9527933435218206E-3</v>
      </c>
      <c r="M142" s="4">
        <f ca="1">M141/BIDU_IS!M$82</f>
        <v>1.9527933435218201E-3</v>
      </c>
      <c r="N142" s="4">
        <f ca="1">N141/BIDU_IS!N$82</f>
        <v>1.9527933435218201E-3</v>
      </c>
      <c r="O142" s="71"/>
      <c r="P142" s="71"/>
      <c r="Q142" s="4">
        <f>Q141/BIDU_IS!Q$82</f>
        <v>1.9818342027995694E-4</v>
      </c>
      <c r="R142" s="4">
        <f>R141/BIDU_IS!R$82</f>
        <v>4.5690872382259405E-4</v>
      </c>
      <c r="S142" s="4">
        <f>S141/BIDU_IS!S$82</f>
        <v>3.8443571300586174E-4</v>
      </c>
      <c r="T142" s="4">
        <f>T141/BIDU_IS!T$82</f>
        <v>6.8883372747123833E-4</v>
      </c>
      <c r="U142" s="4">
        <f>U141/BIDU_IS!U$82</f>
        <v>7.3820423024868059E-4</v>
      </c>
      <c r="V142" s="4">
        <f>V141/BIDU_IS!V$82</f>
        <v>5.3459845268003512E-4</v>
      </c>
      <c r="W142" s="4">
        <f>W141/BIDU_IS!W$82</f>
        <v>7.1493977838553847E-4</v>
      </c>
      <c r="X142" s="4">
        <f>X141/BIDU_IS!X$82</f>
        <v>9.6304565630285618E-4</v>
      </c>
      <c r="Y142" s="4">
        <f>Y141/BIDU_IS!Y$82</f>
        <v>6.7413941396835399E-4</v>
      </c>
      <c r="Z142" s="4">
        <f>Z141/BIDU_IS!Z$82</f>
        <v>7.0600316274732839E-4</v>
      </c>
      <c r="AA142" s="4">
        <f>AA141/BIDU_IS!AA$82</f>
        <v>6.1953780822671654E-4</v>
      </c>
      <c r="AB142" s="215">
        <f>AB141/BIDU_IS!AB$82</f>
        <v>8.093106525167669E-4</v>
      </c>
      <c r="AC142" s="4">
        <f>AC141/BIDU_IS!AC$82</f>
        <v>6.8465720301500647E-4</v>
      </c>
      <c r="AD142" s="4">
        <f>AD141/BIDU_IS!AD$82</f>
        <v>7.6710814046833007E-4</v>
      </c>
      <c r="AE142" s="4">
        <f>AE141/BIDU_IS!AE$82</f>
        <v>6.4216656609411668E-4</v>
      </c>
      <c r="AF142" s="215">
        <f>AF141/BIDU_IS!AF$82</f>
        <v>8.8444206615677986E-4</v>
      </c>
      <c r="AG142" s="4">
        <f>AG141/BIDU_IS!AG$82</f>
        <v>7.8511699829816514E-4</v>
      </c>
      <c r="AH142" s="4">
        <f>AH141/BIDU_IS!AH$82</f>
        <v>1.1127021282933179E-3</v>
      </c>
      <c r="AI142" s="4">
        <f>AI141/BIDU_IS!AI$82</f>
        <v>1.5543403602710142E-3</v>
      </c>
      <c r="AJ142" s="215">
        <f>AJ141/BIDU_IS!AJ$82</f>
        <v>2.319300849394519E-3</v>
      </c>
      <c r="AK142" s="4">
        <f>AK141/BIDU_IS!AK$82</f>
        <v>2.1521202241340468E-3</v>
      </c>
      <c r="AL142" s="4">
        <f>AL141/BIDU_IS!AL$82</f>
        <v>2.2995113538373095E-3</v>
      </c>
      <c r="AM142" s="4">
        <f>AM141/BIDU_IS!AM$82</f>
        <v>2.256375324620035E-3</v>
      </c>
      <c r="AN142" s="215">
        <f>AN141/BIDU_IS!AN$82</f>
        <v>1.9527933435218203E-3</v>
      </c>
      <c r="AO142" s="234">
        <f t="shared" ref="AO142:AV142" si="666">AN142</f>
        <v>1.9527933435218203E-3</v>
      </c>
      <c r="AP142" s="66">
        <f t="shared" si="666"/>
        <v>1.9527933435218203E-3</v>
      </c>
      <c r="AQ142" s="66">
        <f t="shared" si="666"/>
        <v>1.9527933435218203E-3</v>
      </c>
      <c r="AR142" s="246">
        <f t="shared" si="666"/>
        <v>1.9527933435218203E-3</v>
      </c>
      <c r="AS142" s="234">
        <f t="shared" si="666"/>
        <v>1.9527933435218203E-3</v>
      </c>
      <c r="AT142" s="66">
        <f t="shared" si="666"/>
        <v>1.9527933435218203E-3</v>
      </c>
      <c r="AU142" s="66">
        <f t="shared" si="666"/>
        <v>1.9527933435218203E-3</v>
      </c>
      <c r="AV142" s="246">
        <f t="shared" si="666"/>
        <v>1.9527933435218203E-3</v>
      </c>
      <c r="AW142" s="234">
        <f t="shared" ref="AW142" si="667">AV142</f>
        <v>1.9527933435218203E-3</v>
      </c>
      <c r="AX142" s="66">
        <f t="shared" ref="AX142" si="668">AW142</f>
        <v>1.9527933435218203E-3</v>
      </c>
      <c r="AY142" s="66">
        <f t="shared" ref="AY142" si="669">AX142</f>
        <v>1.9527933435218203E-3</v>
      </c>
      <c r="AZ142" s="66">
        <f t="shared" ref="AZ142" si="670">AY142</f>
        <v>1.9527933435218203E-3</v>
      </c>
    </row>
    <row r="143" spans="2:52">
      <c r="B143" s="52" t="s">
        <v>270</v>
      </c>
      <c r="E143" s="2"/>
      <c r="F143" s="4">
        <f t="shared" ref="F143:N143" ca="1" si="671">F141/E141-1</f>
        <v>0.34250033213763786</v>
      </c>
      <c r="G143" s="4">
        <f t="shared" ca="1" si="671"/>
        <v>1.3726867887184562</v>
      </c>
      <c r="H143" s="4">
        <f t="shared" ca="1" si="671"/>
        <v>0.44356856856856886</v>
      </c>
      <c r="I143" s="4">
        <f t="shared" ca="1" si="671"/>
        <v>0.43798214440495764</v>
      </c>
      <c r="J143" s="4">
        <f t="shared" ca="1" si="671"/>
        <v>1.0766325095439018</v>
      </c>
      <c r="K143" s="4">
        <f t="shared" ca="1" si="671"/>
        <v>0.77400971418619524</v>
      </c>
      <c r="L143" s="4">
        <f t="shared" ca="1" si="671"/>
        <v>0.1214086054482153</v>
      </c>
      <c r="M143" s="4">
        <f t="shared" ca="1" si="671"/>
        <v>0.22136769715972227</v>
      </c>
      <c r="N143" s="4">
        <f t="shared" ca="1" si="671"/>
        <v>0.20321628540247327</v>
      </c>
      <c r="U143" s="4">
        <f t="shared" ref="U143:AV143" si="672">U141/Q141-1</f>
        <v>4.2142011834319524</v>
      </c>
      <c r="V143" s="4">
        <f t="shared" si="672"/>
        <v>0.62133975130365027</v>
      </c>
      <c r="W143" s="4">
        <f t="shared" si="672"/>
        <v>1.6454431960049938</v>
      </c>
      <c r="X143" s="4">
        <f t="shared" si="672"/>
        <v>1.1015123739688359</v>
      </c>
      <c r="Y143" s="4">
        <f t="shared" si="672"/>
        <v>0.4530186109850205</v>
      </c>
      <c r="Z143" s="4">
        <f t="shared" si="672"/>
        <v>1.0935180603661556</v>
      </c>
      <c r="AA143" s="4">
        <f t="shared" si="672"/>
        <v>0.3176026427560168</v>
      </c>
      <c r="AB143" s="215">
        <f t="shared" si="672"/>
        <v>0.23988659906226162</v>
      </c>
      <c r="AC143" s="4">
        <f t="shared" si="672"/>
        <v>0.36082474226804107</v>
      </c>
      <c r="AD143" s="4">
        <f t="shared" si="672"/>
        <v>0.50259985818955322</v>
      </c>
      <c r="AE143" s="4">
        <f t="shared" si="672"/>
        <v>0.40938395415472795</v>
      </c>
      <c r="AF143" s="215">
        <f t="shared" si="672"/>
        <v>0.45440154779702757</v>
      </c>
      <c r="AG143" s="4">
        <f t="shared" si="672"/>
        <v>0.42573461891643705</v>
      </c>
      <c r="AH143" s="4">
        <f t="shared" si="672"/>
        <v>0.59826976012583555</v>
      </c>
      <c r="AI143" s="4">
        <f t="shared" si="672"/>
        <v>1.4033036848792886</v>
      </c>
      <c r="AJ143" s="215">
        <f t="shared" si="672"/>
        <v>1.554117789333656</v>
      </c>
      <c r="AK143" s="4">
        <f t="shared" si="672"/>
        <v>1.9265759600676273</v>
      </c>
      <c r="AL143" s="4">
        <f t="shared" si="672"/>
        <v>1.3619722468260997</v>
      </c>
      <c r="AM143" s="4">
        <f t="shared" si="672"/>
        <v>0.86810475485531002</v>
      </c>
      <c r="AN143" s="215">
        <f t="shared" si="672"/>
        <v>8.9015151515151381E-2</v>
      </c>
      <c r="AO143" s="4">
        <f t="shared" ca="1" si="672"/>
        <v>0.17621703802740107</v>
      </c>
      <c r="AP143" s="4">
        <f t="shared" ca="1" si="672"/>
        <v>6.6343842839201583E-2</v>
      </c>
      <c r="AQ143" s="4">
        <f t="shared" ca="1" si="672"/>
        <v>5.469739674460472E-2</v>
      </c>
      <c r="AR143" s="215">
        <f t="shared" ca="1" si="672"/>
        <v>0.21241863444469367</v>
      </c>
      <c r="AS143" s="4">
        <f t="shared" ca="1" si="672"/>
        <v>0.26690010360453664</v>
      </c>
      <c r="AT143" s="4">
        <f t="shared" ca="1" si="672"/>
        <v>0.22048053530233558</v>
      </c>
      <c r="AU143" s="4">
        <f t="shared" ca="1" si="672"/>
        <v>0.22325465029544111</v>
      </c>
      <c r="AV143" s="215">
        <f t="shared" ca="1" si="672"/>
        <v>0.18538350463886832</v>
      </c>
      <c r="AW143" s="4">
        <f t="shared" ref="AW143" ca="1" si="673">AW141/AS141-1</f>
        <v>0.21427787776580609</v>
      </c>
      <c r="AX143" s="4">
        <f t="shared" ref="AX143" ca="1" si="674">AX141/AT141-1</f>
        <v>0.1940940600890344</v>
      </c>
      <c r="AY143" s="4">
        <f t="shared" ref="AY143" ca="1" si="675">AY141/AU141-1</f>
        <v>0.1867466529353996</v>
      </c>
      <c r="AZ143" s="4">
        <f t="shared" ref="AZ143" ca="1" si="676">AZ141/AV141-1</f>
        <v>0.21980741553602168</v>
      </c>
    </row>
    <row r="144" spans="2:52">
      <c r="B144" s="3" t="s">
        <v>272</v>
      </c>
      <c r="E144" s="58">
        <f>E139-E141</f>
        <v>144.501</v>
      </c>
      <c r="F144" s="58">
        <f t="shared" ref="F144:N144" ca="1" si="677">SUM(OFFSET($P144,0,F$1,1,4))</f>
        <v>202.203</v>
      </c>
      <c r="G144" s="58">
        <f t="shared" ca="1" si="677"/>
        <v>490.75100000000003</v>
      </c>
      <c r="H144" s="58">
        <f t="shared" ca="1" si="677"/>
        <v>928.12799999999993</v>
      </c>
      <c r="I144" s="58">
        <f t="shared" ca="1" si="677"/>
        <v>1337.348</v>
      </c>
      <c r="J144" s="58">
        <f t="shared" ca="1" si="677"/>
        <v>1656.634</v>
      </c>
      <c r="K144" s="58">
        <f t="shared" ca="1" si="677"/>
        <v>3061.46</v>
      </c>
      <c r="L144" s="58">
        <f t="shared" ca="1" si="677"/>
        <v>4058.1740668693119</v>
      </c>
      <c r="M144" s="58">
        <f t="shared" ca="1" si="677"/>
        <v>4697.2694829855873</v>
      </c>
      <c r="N144" s="58">
        <f t="shared" ca="1" si="677"/>
        <v>5343.4898766869292</v>
      </c>
      <c r="O144" s="58"/>
      <c r="P144" s="58"/>
      <c r="Q144" s="58">
        <f>BIDU_IS!Q119</f>
        <v>34.314</v>
      </c>
      <c r="R144" s="58">
        <f>BIDU_IS!R119</f>
        <v>51.370999999999995</v>
      </c>
      <c r="S144" s="58">
        <f>BIDU_IS!S119</f>
        <v>54.317000000000007</v>
      </c>
      <c r="T144" s="58">
        <f>BIDU_IS!T119</f>
        <v>62.201000000000001</v>
      </c>
      <c r="U144" s="58">
        <f>BIDU_IS!U119</f>
        <v>106.542</v>
      </c>
      <c r="V144" s="58">
        <f>BIDU_IS!V119</f>
        <v>79.242000000000004</v>
      </c>
      <c r="W144" s="58">
        <f>BIDU_IS!W119</f>
        <v>136.78700000000001</v>
      </c>
      <c r="X144" s="58">
        <f>BIDU_IS!X119</f>
        <v>168.18</v>
      </c>
      <c r="Y144" s="58">
        <f>BIDU_IS!Y119</f>
        <v>162.565</v>
      </c>
      <c r="Z144" s="58">
        <f>BIDU_IS!Z119</f>
        <v>212.09</v>
      </c>
      <c r="AA144" s="58">
        <f>BIDU_IS!AA119</f>
        <v>225.81700000000001</v>
      </c>
      <c r="AB144" s="212">
        <f>BIDU_IS!AB119</f>
        <v>327.65600000000001</v>
      </c>
      <c r="AC144" s="58">
        <f>BIDU_IS!AC119</f>
        <v>282.36399999999998</v>
      </c>
      <c r="AD144" s="58">
        <f>BIDU_IS!AD119</f>
        <v>342.01</v>
      </c>
      <c r="AE144" s="58">
        <f>BIDU_IS!AE119</f>
        <v>388.49200000000002</v>
      </c>
      <c r="AF144" s="212">
        <f>BIDU_IS!AF119</f>
        <v>324.48199999999997</v>
      </c>
      <c r="AG144" s="58">
        <f>BIDU_IS!AG119</f>
        <v>296.64099999999996</v>
      </c>
      <c r="AH144" s="58">
        <f>BIDU_IS!AH119</f>
        <v>380.60900000000004</v>
      </c>
      <c r="AI144" s="58">
        <f>BIDU_IS!AI119</f>
        <v>389.69100000000003</v>
      </c>
      <c r="AJ144" s="212">
        <f>BIDU_IS!AJ119</f>
        <v>589.69299999999998</v>
      </c>
      <c r="AK144" s="58">
        <f>BIDU_IS!AK119</f>
        <v>594.46</v>
      </c>
      <c r="AL144" s="58">
        <f>BIDU_IS!AL119</f>
        <v>748</v>
      </c>
      <c r="AM144" s="58">
        <f>BIDU_IS!AM119</f>
        <v>788</v>
      </c>
      <c r="AN144" s="212">
        <f>BIDU_IS!AN119</f>
        <v>931</v>
      </c>
      <c r="AO144" s="58">
        <f ca="1">BIDU_IS!AO$82*AO145</f>
        <v>832.01496782270203</v>
      </c>
      <c r="AP144" s="58">
        <f ca="1">BIDU_IS!AP$82*AP145</f>
        <v>996.0148501074458</v>
      </c>
      <c r="AQ144" s="58">
        <f ca="1">BIDU_IS!AQ$82*AQ145</f>
        <v>1087.7549148199964</v>
      </c>
      <c r="AR144" s="212">
        <f ca="1">BIDU_IS!AR$82*AR145</f>
        <v>1142.3893341191681</v>
      </c>
      <c r="AS144" s="58">
        <f ca="1">BIDU_IS!AS$82*AS145</f>
        <v>998.60196214904829</v>
      </c>
      <c r="AT144" s="58">
        <f ca="1">BIDU_IS!AT$82*AT145</f>
        <v>1151.6369091425156</v>
      </c>
      <c r="AU144" s="58">
        <f ca="1">BIDU_IS!AU$82*AU145</f>
        <v>1260.5696127807932</v>
      </c>
      <c r="AV144" s="212">
        <f ca="1">BIDU_IS!AV$82*AV145</f>
        <v>1286.4609989132302</v>
      </c>
      <c r="AW144" s="58">
        <f ca="1">BIDU_IS!AW$82*AW145</f>
        <v>1145.2147007016094</v>
      </c>
      <c r="AX144" s="58">
        <f ca="1">BIDU_IS!AX$82*AX145</f>
        <v>1298.7648596649076</v>
      </c>
      <c r="AY144" s="58">
        <f ca="1">BIDU_IS!AY$82*AY145</f>
        <v>1412.8669482730304</v>
      </c>
      <c r="AZ144" s="58">
        <f ca="1">BIDU_IS!AZ$82*AZ145</f>
        <v>1486.6433680473817</v>
      </c>
    </row>
    <row r="145" spans="2:52">
      <c r="B145" s="52" t="s">
        <v>271</v>
      </c>
      <c r="F145" s="4">
        <f ca="1">F144/BIDU_IS!F$82</f>
        <v>9.064949534264866E-3</v>
      </c>
      <c r="G145" s="4">
        <f ca="1">G144/BIDU_IS!G$82</f>
        <v>1.536289029488049E-2</v>
      </c>
      <c r="H145" s="4">
        <f ca="1">H144/BIDU_IS!H$82</f>
        <v>1.8921185335216979E-2</v>
      </c>
      <c r="I145" s="4">
        <f ca="1">I144/BIDU_IS!I$82</f>
        <v>2.0146326709869215E-2</v>
      </c>
      <c r="J145" s="4">
        <f ca="1">J144/BIDU_IS!J$82</f>
        <v>2.3481912608028614E-2</v>
      </c>
      <c r="K145" s="4">
        <f ca="1">K144/BIDU_IS!K$82</f>
        <v>3.6098106301498178E-2</v>
      </c>
      <c r="L145" s="4">
        <f ca="1">L144/BIDU_IS!L$82</f>
        <v>3.8542491905693511E-2</v>
      </c>
      <c r="M145" s="4">
        <f ca="1">M144/BIDU_IS!M$82</f>
        <v>3.6526508894827184E-2</v>
      </c>
      <c r="N145" s="4">
        <f ca="1">N144/BIDU_IS!N$82</f>
        <v>3.4533768917565016E-2</v>
      </c>
      <c r="O145" s="71"/>
      <c r="P145" s="71"/>
      <c r="Q145" s="4">
        <f>Q144/BIDU_IS!Q$82</f>
        <v>8.047888619510583E-3</v>
      </c>
      <c r="R145" s="4">
        <f>R144/BIDU_IS!R$82</f>
        <v>9.4151055160411057E-3</v>
      </c>
      <c r="S145" s="4">
        <f>S144/BIDU_IS!S$82</f>
        <v>8.6897189443776082E-3</v>
      </c>
      <c r="T145" s="4">
        <f>T144/BIDU_IS!T$82</f>
        <v>9.8180904405221134E-3</v>
      </c>
      <c r="U145" s="4">
        <f>U144/BIDU_IS!U$82</f>
        <v>1.7850602609885368E-2</v>
      </c>
      <c r="V145" s="4">
        <f>V144/BIDU_IS!V$82</f>
        <v>1.0480616176959761E-2</v>
      </c>
      <c r="W145" s="4">
        <f>W144/BIDU_IS!W$82</f>
        <v>1.5383745078814324E-2</v>
      </c>
      <c r="X145" s="4">
        <f>X144/BIDU_IS!X$82</f>
        <v>1.766056247704878E-2</v>
      </c>
      <c r="Y145" s="4">
        <f>Y144/BIDU_IS!Y$82</f>
        <v>1.7118318311740936E-2</v>
      </c>
      <c r="Z145" s="4">
        <f>Z144/BIDU_IS!Z$82</f>
        <v>1.7695132449430499E-2</v>
      </c>
      <c r="AA145" s="4">
        <f>AA144/BIDU_IS!AA$82</f>
        <v>1.6702742268425556E-2</v>
      </c>
      <c r="AB145" s="215">
        <f>AB144/BIDU_IS!AB$82</f>
        <v>2.3320331647263545E-2</v>
      </c>
      <c r="AC145" s="4">
        <f>AC144/BIDU_IS!AC$82</f>
        <v>2.2190374939408779E-2</v>
      </c>
      <c r="AD145" s="4">
        <f>AD144/BIDU_IS!AD$82</f>
        <v>2.0633791201067522E-2</v>
      </c>
      <c r="AE145" s="4">
        <f>AE144/BIDU_IS!AE$82</f>
        <v>2.1133127792887386E-2</v>
      </c>
      <c r="AF145" s="215">
        <f>AF144/BIDU_IS!AF$82</f>
        <v>1.7353097745234261E-2</v>
      </c>
      <c r="AG145" s="4">
        <f>AG144/BIDU_IS!AG$82</f>
        <v>1.875033342662958E-2</v>
      </c>
      <c r="AH145" s="4">
        <f>AH144/BIDU_IS!AH$82</f>
        <v>2.0839702999094156E-2</v>
      </c>
      <c r="AI145" s="4">
        <f>AI144/BIDU_IS!AI$82</f>
        <v>2.1349703899558418E-2</v>
      </c>
      <c r="AJ145" s="215">
        <f>AJ144/BIDU_IS!AJ$82</f>
        <v>3.2378680771354217E-2</v>
      </c>
      <c r="AK145" s="4">
        <f>AK144/BIDU_IS!AK$82</f>
        <v>3.5194338214594528E-2</v>
      </c>
      <c r="AL145" s="4">
        <f>AL144/BIDU_IS!AL$82</f>
        <v>3.5834051930631411E-2</v>
      </c>
      <c r="AM145" s="4">
        <f>AM144/BIDU_IS!AM$82</f>
        <v>3.3547618033973346E-2</v>
      </c>
      <c r="AN145" s="215">
        <f>AN144/BIDU_IS!AN$82</f>
        <v>3.9522839191713365E-2</v>
      </c>
      <c r="AO145" s="234">
        <v>3.7999999999999999E-2</v>
      </c>
      <c r="AP145" s="66">
        <f>AO145</f>
        <v>3.7999999999999999E-2</v>
      </c>
      <c r="AQ145" s="66">
        <f>AP145</f>
        <v>3.7999999999999999E-2</v>
      </c>
      <c r="AR145" s="246">
        <v>0.04</v>
      </c>
      <c r="AS145" s="234">
        <f>AO145-0.002</f>
        <v>3.5999999999999997E-2</v>
      </c>
      <c r="AT145" s="66">
        <f t="shared" ref="AT145:AV145" si="678">AP145-0.002</f>
        <v>3.5999999999999997E-2</v>
      </c>
      <c r="AU145" s="66">
        <f t="shared" si="678"/>
        <v>3.5999999999999997E-2</v>
      </c>
      <c r="AV145" s="246">
        <f t="shared" si="678"/>
        <v>3.7999999999999999E-2</v>
      </c>
      <c r="AW145" s="234">
        <f>AS145-0.002</f>
        <v>3.3999999999999996E-2</v>
      </c>
      <c r="AX145" s="66">
        <f t="shared" ref="AX145:AZ145" si="679">AT145-0.002</f>
        <v>3.3999999999999996E-2</v>
      </c>
      <c r="AY145" s="66">
        <f t="shared" si="679"/>
        <v>3.3999999999999996E-2</v>
      </c>
      <c r="AZ145" s="66">
        <f t="shared" si="679"/>
        <v>3.5999999999999997E-2</v>
      </c>
    </row>
    <row r="146" spans="2:52">
      <c r="B146" s="52" t="s">
        <v>270</v>
      </c>
      <c r="F146" s="4">
        <f t="shared" ref="F146:N146" ca="1" si="680">F144/E144-1</f>
        <v>0.39931903585442319</v>
      </c>
      <c r="G146" s="4">
        <f t="shared" ca="1" si="680"/>
        <v>1.4270213597226551</v>
      </c>
      <c r="H146" s="4">
        <f t="shared" ca="1" si="680"/>
        <v>0.89124016048872012</v>
      </c>
      <c r="I146" s="4">
        <f t="shared" ca="1" si="680"/>
        <v>0.44090901254999326</v>
      </c>
      <c r="J146" s="4">
        <f t="shared" ca="1" si="680"/>
        <v>0.23874563688733219</v>
      </c>
      <c r="K146" s="4">
        <f t="shared" ca="1" si="680"/>
        <v>0.84800022213717696</v>
      </c>
      <c r="L146" s="4">
        <f t="shared" ca="1" si="680"/>
        <v>0.32556821479598352</v>
      </c>
      <c r="M146" s="4">
        <f t="shared" ca="1" si="680"/>
        <v>0.15748349025582997</v>
      </c>
      <c r="N146" s="4">
        <f t="shared" ca="1" si="680"/>
        <v>0.13757362570788767</v>
      </c>
      <c r="O146" s="71"/>
      <c r="P146" s="71"/>
      <c r="Q146" s="71"/>
      <c r="R146" s="71"/>
      <c r="S146" s="71"/>
      <c r="T146" s="71"/>
      <c r="U146" s="4">
        <f t="shared" ref="U146:AV146" si="681">U144/Q144-1</f>
        <v>2.1049134464067145</v>
      </c>
      <c r="V146" s="4">
        <f t="shared" si="681"/>
        <v>0.54254345837145501</v>
      </c>
      <c r="W146" s="4">
        <f t="shared" si="681"/>
        <v>1.5183091849697146</v>
      </c>
      <c r="X146" s="4">
        <f t="shared" si="681"/>
        <v>1.7038150512049648</v>
      </c>
      <c r="Y146" s="4">
        <f t="shared" si="681"/>
        <v>0.5258301890334327</v>
      </c>
      <c r="Z146" s="4">
        <f t="shared" si="681"/>
        <v>1.6764846924610683</v>
      </c>
      <c r="AA146" s="4">
        <f t="shared" si="681"/>
        <v>0.6508659448631815</v>
      </c>
      <c r="AB146" s="215">
        <f t="shared" si="681"/>
        <v>0.94824592698299437</v>
      </c>
      <c r="AC146" s="4">
        <f t="shared" si="681"/>
        <v>0.73692984344723644</v>
      </c>
      <c r="AD146" s="4">
        <f t="shared" si="681"/>
        <v>0.61257013531991134</v>
      </c>
      <c r="AE146" s="4">
        <f t="shared" si="681"/>
        <v>0.72038420490928501</v>
      </c>
      <c r="AF146" s="215">
        <f t="shared" si="681"/>
        <v>-9.6869887931245735E-3</v>
      </c>
      <c r="AG146" s="4">
        <f t="shared" si="681"/>
        <v>5.0562394639543262E-2</v>
      </c>
      <c r="AH146" s="4">
        <f t="shared" si="681"/>
        <v>0.11285927312066923</v>
      </c>
      <c r="AI146" s="4">
        <f t="shared" si="681"/>
        <v>3.0862926392307699E-3</v>
      </c>
      <c r="AJ146" s="215">
        <f t="shared" si="681"/>
        <v>0.81733655487823675</v>
      </c>
      <c r="AK146" s="4">
        <f t="shared" si="681"/>
        <v>1.0039711300865362</v>
      </c>
      <c r="AL146" s="4">
        <f t="shared" si="681"/>
        <v>0.96527144655013397</v>
      </c>
      <c r="AM146" s="4">
        <f t="shared" si="681"/>
        <v>1.0221149577485749</v>
      </c>
      <c r="AN146" s="215">
        <f t="shared" si="681"/>
        <v>0.57878760643249971</v>
      </c>
      <c r="AO146" s="4">
        <f t="shared" ca="1" si="681"/>
        <v>0.39961472230713913</v>
      </c>
      <c r="AP146" s="4">
        <f t="shared" ca="1" si="681"/>
        <v>0.33157065522385798</v>
      </c>
      <c r="AQ146" s="4">
        <f t="shared" ca="1" si="681"/>
        <v>0.38039963809644206</v>
      </c>
      <c r="AR146" s="215">
        <f t="shared" ca="1" si="681"/>
        <v>0.22705621280254351</v>
      </c>
      <c r="AS146" s="4">
        <f t="shared" ca="1" si="681"/>
        <v>0.20022115078324543</v>
      </c>
      <c r="AT146" s="4">
        <f t="shared" ca="1" si="681"/>
        <v>0.15624471765484427</v>
      </c>
      <c r="AU146" s="4">
        <f t="shared" ca="1" si="681"/>
        <v>0.15887282659568069</v>
      </c>
      <c r="AV146" s="215">
        <f t="shared" ca="1" si="681"/>
        <v>0.12611432940692469</v>
      </c>
      <c r="AW146" s="4">
        <f t="shared" ref="AW146" ca="1" si="682">AW144/AS144-1</f>
        <v>0.14681799566770537</v>
      </c>
      <c r="AX146" s="4">
        <f t="shared" ref="AX146" ca="1" si="683">AX144/AT144-1</f>
        <v>0.12775550119519896</v>
      </c>
      <c r="AY146" s="4">
        <f t="shared" ref="AY146" ca="1" si="684">AY144/AU144-1</f>
        <v>0.12081628332787742</v>
      </c>
      <c r="AZ146" s="4">
        <f t="shared" ref="AZ146" ca="1" si="685">AZ144/AV144-1</f>
        <v>0.1556070252446522</v>
      </c>
    </row>
    <row r="148" spans="2:52" outlineLevel="1">
      <c r="B148" s="6" t="s">
        <v>3</v>
      </c>
      <c r="C148" s="5"/>
      <c r="D148" s="5"/>
      <c r="E148" s="5"/>
      <c r="F148" s="5"/>
      <c r="G148" s="13"/>
      <c r="H148" s="13"/>
      <c r="I148" s="13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247"/>
      <c r="AC148" s="5"/>
      <c r="AD148" s="5"/>
      <c r="AE148" s="5"/>
      <c r="AF148" s="247"/>
      <c r="AG148" s="5"/>
      <c r="AH148" s="5"/>
      <c r="AI148" s="5"/>
      <c r="AJ148" s="247"/>
      <c r="AK148" s="5"/>
      <c r="AL148" s="5"/>
      <c r="AM148" s="5"/>
      <c r="AN148" s="247"/>
      <c r="AO148" s="5"/>
      <c r="AP148" s="5"/>
      <c r="AQ148" s="5"/>
      <c r="AR148" s="247"/>
      <c r="AS148" s="5"/>
      <c r="AT148" s="5"/>
      <c r="AU148" s="5"/>
      <c r="AV148" s="247"/>
      <c r="AW148" s="5"/>
      <c r="AX148" s="5"/>
      <c r="AY148" s="5"/>
      <c r="AZ148" s="5"/>
    </row>
    <row r="149" spans="2:52" outlineLevel="1">
      <c r="B149" s="57" t="s">
        <v>316</v>
      </c>
      <c r="C149" s="57"/>
      <c r="D149" s="57"/>
      <c r="E149" s="57"/>
      <c r="F149" s="57"/>
      <c r="G149" s="76"/>
      <c r="H149" s="76"/>
      <c r="I149" s="76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225"/>
      <c r="AC149" s="57"/>
      <c r="AD149" s="57"/>
      <c r="AE149" s="57"/>
      <c r="AF149" s="225"/>
      <c r="AG149" s="57"/>
      <c r="AH149" s="57"/>
      <c r="AI149" s="57"/>
      <c r="AJ149" s="225"/>
      <c r="AK149" s="57"/>
      <c r="AL149" s="57"/>
      <c r="AM149" s="57"/>
      <c r="AN149" s="225"/>
      <c r="AO149" s="57"/>
      <c r="AP149" s="57"/>
      <c r="AQ149" s="57"/>
      <c r="AR149" s="225"/>
      <c r="AS149" s="57"/>
      <c r="AT149" s="57"/>
      <c r="AU149" s="57"/>
      <c r="AV149" s="225"/>
      <c r="AW149" s="57"/>
      <c r="AX149" s="57"/>
      <c r="AY149" s="57"/>
      <c r="AZ149" s="57"/>
    </row>
    <row r="150" spans="2:52" outlineLevel="1">
      <c r="B150" s="1" t="s">
        <v>539</v>
      </c>
      <c r="G150" s="10"/>
      <c r="H150" s="10"/>
      <c r="I150" s="2">
        <f t="shared" ref="I150:N150" ca="1" si="686">AVERAGE(OFFSET($P150,0,I$1,1,4))</f>
        <v>311.3087044160759</v>
      </c>
      <c r="J150" s="2">
        <f t="shared" ca="1" si="686"/>
        <v>382.83151964183332</v>
      </c>
      <c r="K150" s="2">
        <f t="shared" ca="1" si="686"/>
        <v>432.96048806939194</v>
      </c>
      <c r="L150" s="2">
        <f t="shared" ca="1" si="686"/>
        <v>458.60537376000002</v>
      </c>
      <c r="M150" s="2">
        <f t="shared" ca="1" si="686"/>
        <v>496.84712493795979</v>
      </c>
      <c r="N150" s="2">
        <f t="shared" ca="1" si="686"/>
        <v>534.15472966044854</v>
      </c>
      <c r="AC150" s="109">
        <f>AC152*AC164</f>
        <v>269.39213867015053</v>
      </c>
      <c r="AD150" s="109">
        <f t="shared" ref="AD150:AM150" si="687">AD152*AD164</f>
        <v>267.74223515610504</v>
      </c>
      <c r="AE150" s="109">
        <f t="shared" si="687"/>
        <v>342.60044383804791</v>
      </c>
      <c r="AF150" s="239">
        <v>365.5</v>
      </c>
      <c r="AG150" s="109">
        <f t="shared" si="687"/>
        <v>363.92870164469161</v>
      </c>
      <c r="AH150" s="109">
        <f t="shared" si="687"/>
        <v>346.73540539942894</v>
      </c>
      <c r="AI150" s="109">
        <f t="shared" si="687"/>
        <v>415.26197152321254</v>
      </c>
      <c r="AJ150" s="239">
        <v>405.4</v>
      </c>
      <c r="AK150" s="109">
        <f t="shared" si="687"/>
        <v>427.21264149585619</v>
      </c>
      <c r="AL150" s="109">
        <f t="shared" si="687"/>
        <v>430.14343621501774</v>
      </c>
      <c r="AM150" s="109">
        <f t="shared" si="687"/>
        <v>453.18587456669388</v>
      </c>
      <c r="AN150" s="239">
        <v>421.3</v>
      </c>
      <c r="AO150" s="109">
        <f>AO164*AO152</f>
        <v>440.22267900000003</v>
      </c>
      <c r="AP150" s="109">
        <f t="shared" ref="AP150:AZ150" si="688">AP164*AP152</f>
        <v>451.73031012000001</v>
      </c>
      <c r="AQ150" s="109">
        <f t="shared" si="688"/>
        <v>479.15628731999999</v>
      </c>
      <c r="AR150" s="249">
        <f t="shared" si="688"/>
        <v>463.31221860000005</v>
      </c>
      <c r="AS150" s="109">
        <f t="shared" si="688"/>
        <v>478.3693898355391</v>
      </c>
      <c r="AT150" s="109">
        <f t="shared" si="688"/>
        <v>490.35325163525994</v>
      </c>
      <c r="AU150" s="109">
        <f t="shared" si="688"/>
        <v>513.65554000704003</v>
      </c>
      <c r="AV150" s="249">
        <f t="shared" si="688"/>
        <v>505.0103182740001</v>
      </c>
      <c r="AW150" s="109">
        <f t="shared" si="688"/>
        <v>515.67641123951046</v>
      </c>
      <c r="AX150" s="109">
        <f t="shared" si="688"/>
        <v>528.08593434859324</v>
      </c>
      <c r="AY150" s="109">
        <f t="shared" si="688"/>
        <v>546.94041899949627</v>
      </c>
      <c r="AZ150" s="109">
        <f t="shared" si="688"/>
        <v>545.91615405419407</v>
      </c>
    </row>
    <row r="151" spans="2:52" outlineLevel="1">
      <c r="B151" s="3" t="s">
        <v>128</v>
      </c>
      <c r="G151" s="10"/>
      <c r="H151" s="10"/>
      <c r="I151" s="10"/>
      <c r="J151" s="4">
        <f ca="1">J150/I150-1</f>
        <v>0.22974884483205615</v>
      </c>
      <c r="K151" s="4">
        <f ca="1">K150/J150-1</f>
        <v>0.13094263626583813</v>
      </c>
      <c r="L151" s="4">
        <f ca="1">L150/K150-1</f>
        <v>5.9231468915237118E-2</v>
      </c>
      <c r="M151" s="4">
        <f ca="1">M150/L150-1</f>
        <v>8.3387054243225345E-2</v>
      </c>
      <c r="N151" s="4">
        <f ca="1">N150/M150-1</f>
        <v>7.5088700024473765E-2</v>
      </c>
      <c r="AC151" s="109"/>
      <c r="AD151" s="109"/>
      <c r="AE151" s="109"/>
      <c r="AF151" s="215"/>
      <c r="AG151" s="4">
        <f t="shared" ref="AG151" si="689">+AG150/AC150-1</f>
        <v>0.35092547036160426</v>
      </c>
      <c r="AH151" s="4">
        <f t="shared" ref="AH151" si="690">+AH150/AD150-1</f>
        <v>0.29503440201456277</v>
      </c>
      <c r="AI151" s="4">
        <f t="shared" ref="AI151" si="691">+AI150/AE150-1</f>
        <v>0.21208824737983334</v>
      </c>
      <c r="AJ151" s="215">
        <f t="shared" ref="AJ151" si="692">+AJ150/AF150-1</f>
        <v>0.1091655266757865</v>
      </c>
      <c r="AK151" s="4">
        <f t="shared" ref="AK151" si="693">+AK150/AG150-1</f>
        <v>0.17389103845112364</v>
      </c>
      <c r="AL151" s="4">
        <f t="shared" ref="AL151" si="694">+AL150/AH150-1</f>
        <v>0.24055239100692716</v>
      </c>
      <c r="AM151" s="4">
        <f t="shared" ref="AM151" si="695">+AM150/AI150-1</f>
        <v>9.1325249226105631E-2</v>
      </c>
      <c r="AN151" s="215">
        <f t="shared" ref="AN151" si="696">+AN150/AJ150-1</f>
        <v>3.922052294030598E-2</v>
      </c>
      <c r="AO151" s="4">
        <f t="shared" ref="AO151" si="697">+AO150/AK150-1</f>
        <v>3.0453306481264431E-2</v>
      </c>
      <c r="AP151" s="4">
        <f t="shared" ref="AP151" si="698">+AP150/AL150-1</f>
        <v>5.0185291899215612E-2</v>
      </c>
      <c r="AQ151" s="4">
        <f t="shared" ref="AQ151" si="699">+AQ150/AM150-1</f>
        <v>5.730631559983479E-2</v>
      </c>
      <c r="AR151" s="215">
        <f t="shared" ref="AR151" si="700">+AR150/AN150-1</f>
        <v>9.9720433420365628E-2</v>
      </c>
      <c r="AS151" s="4">
        <f t="shared" ref="AS151" si="701">+AS150/AO150-1</f>
        <v>8.665321587291297E-2</v>
      </c>
      <c r="AT151" s="4">
        <f t="shared" ref="AT151" si="702">+AT150/AP150-1</f>
        <v>8.5499999999999909E-2</v>
      </c>
      <c r="AU151" s="4">
        <f t="shared" ref="AU151" si="703">+AU150/AQ150-1</f>
        <v>7.2000000000000064E-2</v>
      </c>
      <c r="AV151" s="215">
        <f t="shared" ref="AV151" si="704">+AV150/AR150-1</f>
        <v>9.000000000000008E-2</v>
      </c>
      <c r="AW151" s="4">
        <f t="shared" ref="AW151" si="705">+AW150/AS150-1</f>
        <v>7.7987894285621584E-2</v>
      </c>
      <c r="AX151" s="4">
        <f t="shared" ref="AX151" si="706">+AX150/AT150-1</f>
        <v>7.6950000000000074E-2</v>
      </c>
      <c r="AY151" s="4">
        <f t="shared" ref="AY151" si="707">+AY150/AU150-1</f>
        <v>6.4800000000000191E-2</v>
      </c>
      <c r="AZ151" s="4">
        <f t="shared" ref="AZ151" si="708">+AZ150/AV150-1</f>
        <v>8.0999999999999961E-2</v>
      </c>
    </row>
    <row r="152" spans="2:52" outlineLevel="1">
      <c r="B152" s="3" t="s">
        <v>550</v>
      </c>
      <c r="G152" s="10"/>
      <c r="H152" s="10"/>
      <c r="I152" s="10"/>
      <c r="J152" s="109"/>
      <c r="K152" s="109"/>
      <c r="L152" s="109"/>
      <c r="M152" s="109"/>
      <c r="N152" s="109"/>
      <c r="AC152" s="4">
        <f>AD152</f>
        <v>1.3874723658590387</v>
      </c>
      <c r="AD152" s="4">
        <f t="shared" ref="AD152:AE152" si="709">AE152</f>
        <v>1.3874723658590387</v>
      </c>
      <c r="AE152" s="4">
        <f t="shared" si="709"/>
        <v>1.3874723658590387</v>
      </c>
      <c r="AF152" s="215">
        <f>AF150/AF164</f>
        <v>1.3874723658590387</v>
      </c>
      <c r="AG152" s="4">
        <f>AF152-($AF152-$AJ152)/4</f>
        <v>1.2847499905467354</v>
      </c>
      <c r="AH152" s="4">
        <f t="shared" ref="AH152:AI152" si="710">AG152-($AF152-$AJ152)/4</f>
        <v>1.1820276152344322</v>
      </c>
      <c r="AI152" s="4">
        <f t="shared" si="710"/>
        <v>1.079305239922129</v>
      </c>
      <c r="AJ152" s="215">
        <f>AJ150/AJ164</f>
        <v>0.97658286460982613</v>
      </c>
      <c r="AK152" s="4">
        <f>AJ152-($AJ152-$AN152)/4</f>
        <v>0.95749434706758563</v>
      </c>
      <c r="AL152" s="4">
        <f t="shared" ref="AL152:AM152" si="711">AK152-($AJ152-$AN152)/4</f>
        <v>0.93840582952534501</v>
      </c>
      <c r="AM152" s="4">
        <f t="shared" si="711"/>
        <v>0.9193173119831044</v>
      </c>
      <c r="AN152" s="215">
        <f>AN150/AN164</f>
        <v>0.9002287944408639</v>
      </c>
      <c r="AO152" s="234">
        <v>0.9</v>
      </c>
      <c r="AP152" s="66">
        <v>0.9</v>
      </c>
      <c r="AQ152" s="66">
        <v>0.9</v>
      </c>
      <c r="AR152" s="246">
        <v>0.9</v>
      </c>
      <c r="AS152" s="234">
        <v>0.9</v>
      </c>
      <c r="AT152" s="66">
        <v>0.9</v>
      </c>
      <c r="AU152" s="66">
        <v>0.9</v>
      </c>
      <c r="AV152" s="246">
        <v>0.9</v>
      </c>
      <c r="AW152" s="234">
        <v>0.9</v>
      </c>
      <c r="AX152" s="66">
        <v>0.9</v>
      </c>
      <c r="AY152" s="66">
        <v>0.9</v>
      </c>
      <c r="AZ152" s="66">
        <v>0.9</v>
      </c>
    </row>
    <row r="153" spans="2:52" outlineLevel="1">
      <c r="B153" s="3" t="s">
        <v>315</v>
      </c>
      <c r="G153" s="10"/>
      <c r="H153" s="10"/>
      <c r="I153" s="2">
        <f t="shared" ref="I153:N153" ca="1" si="712">AVERAGE(OFFSET($P153,0,I$1,1,4))</f>
        <v>305.63370441607589</v>
      </c>
      <c r="J153" s="2">
        <f t="shared" ca="1" si="712"/>
        <v>360.33151964183332</v>
      </c>
      <c r="K153" s="2">
        <f t="shared" ca="1" si="712"/>
        <v>390.46048806939194</v>
      </c>
      <c r="L153" s="2">
        <f t="shared" ca="1" si="712"/>
        <v>440.74056390000004</v>
      </c>
      <c r="M153" s="2">
        <f t="shared" ca="1" si="712"/>
        <v>458.20368558303414</v>
      </c>
      <c r="N153" s="2">
        <f t="shared" ca="1" si="712"/>
        <v>467.41924228348398</v>
      </c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249"/>
      <c r="AC153" s="109">
        <f>+AC150-AC189</f>
        <v>269.39213867015053</v>
      </c>
      <c r="AD153" s="109">
        <f t="shared" ref="AD153:AN153" si="713">+AD150-AD189</f>
        <v>262.74223515610504</v>
      </c>
      <c r="AE153" s="109">
        <f t="shared" si="713"/>
        <v>335.60044383804791</v>
      </c>
      <c r="AF153" s="249">
        <f t="shared" si="713"/>
        <v>354.8</v>
      </c>
      <c r="AG153" s="109">
        <f t="shared" si="713"/>
        <v>348.92870164469161</v>
      </c>
      <c r="AH153" s="109">
        <f t="shared" si="713"/>
        <v>326.73540539942894</v>
      </c>
      <c r="AI153" s="109">
        <f t="shared" si="713"/>
        <v>390.26197152321254</v>
      </c>
      <c r="AJ153" s="249">
        <f t="shared" si="713"/>
        <v>375.4</v>
      </c>
      <c r="AK153" s="109">
        <f t="shared" si="713"/>
        <v>392.21264149585619</v>
      </c>
      <c r="AL153" s="109">
        <f t="shared" si="713"/>
        <v>390.14343621501774</v>
      </c>
      <c r="AM153" s="109">
        <f t="shared" si="713"/>
        <v>408.18587456669388</v>
      </c>
      <c r="AN153" s="249">
        <f t="shared" si="713"/>
        <v>371.3</v>
      </c>
      <c r="AO153" s="109">
        <f t="shared" ref="AO153:AZ153" si="714">+AO164-AO189</f>
        <v>428.13631000000004</v>
      </c>
      <c r="AP153" s="109">
        <f t="shared" si="714"/>
        <v>434.8225668</v>
      </c>
      <c r="AQ153" s="109">
        <f t="shared" si="714"/>
        <v>460.59887479999998</v>
      </c>
      <c r="AR153" s="249">
        <f t="shared" si="714"/>
        <v>439.40450400000009</v>
      </c>
      <c r="AS153" s="109">
        <f t="shared" si="714"/>
        <v>447.84214076171008</v>
      </c>
      <c r="AT153" s="109">
        <f t="shared" si="714"/>
        <v>453.20799942889994</v>
      </c>
      <c r="AU153" s="109">
        <f t="shared" si="714"/>
        <v>473.0061059887388</v>
      </c>
      <c r="AV153" s="249">
        <f t="shared" si="714"/>
        <v>458.75849615278787</v>
      </c>
      <c r="AW153" s="109">
        <f t="shared" si="714"/>
        <v>459.91266422950685</v>
      </c>
      <c r="AX153" s="109">
        <f t="shared" si="714"/>
        <v>463.49725661479425</v>
      </c>
      <c r="AY153" s="109">
        <f t="shared" si="714"/>
        <v>476.65942441080119</v>
      </c>
      <c r="AZ153" s="109">
        <f t="shared" si="714"/>
        <v>469.60762387883369</v>
      </c>
    </row>
    <row r="154" spans="2:52" outlineLevel="1">
      <c r="B154" s="52" t="s">
        <v>128</v>
      </c>
      <c r="G154" s="10"/>
      <c r="H154" s="10"/>
      <c r="I154" s="10"/>
      <c r="J154" s="4">
        <f ca="1">J153/I153-1</f>
        <v>0.17896525950977682</v>
      </c>
      <c r="K154" s="4">
        <f ca="1">K153/J153-1</f>
        <v>8.3614579311592108E-2</v>
      </c>
      <c r="L154" s="4">
        <f ca="1">L153/K153-1</f>
        <v>0.12877122619810999</v>
      </c>
      <c r="M154" s="4">
        <f ca="1">M153/L153-1</f>
        <v>3.9622224758500524E-2</v>
      </c>
      <c r="N154" s="4">
        <f ca="1">N153/M153-1</f>
        <v>2.0112358303542743E-2</v>
      </c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241"/>
      <c r="AC154" s="71"/>
      <c r="AD154" s="71"/>
      <c r="AE154" s="71"/>
      <c r="AF154" s="241"/>
      <c r="AG154" s="71">
        <f t="shared" ref="AG154:AM154" si="715">AG153/AC153-1</f>
        <v>0.29524455823830609</v>
      </c>
      <c r="AH154" s="71">
        <f t="shared" si="715"/>
        <v>0.24355874952994583</v>
      </c>
      <c r="AI154" s="71">
        <f t="shared" si="715"/>
        <v>0.16287680391609638</v>
      </c>
      <c r="AJ154" s="241">
        <f t="shared" si="715"/>
        <v>5.8060879368658336E-2</v>
      </c>
      <c r="AK154" s="71">
        <f t="shared" si="715"/>
        <v>0.12404809248176973</v>
      </c>
      <c r="AL154" s="71">
        <f t="shared" si="715"/>
        <v>0.19406538063444168</v>
      </c>
      <c r="AM154" s="71">
        <f t="shared" si="715"/>
        <v>4.5927874995156381E-2</v>
      </c>
      <c r="AN154" s="215">
        <f t="shared" ref="AN154:AV154" si="716">+AN153/AJ153-1</f>
        <v>-1.0921683537559845E-2</v>
      </c>
      <c r="AO154" s="4">
        <f t="shared" si="716"/>
        <v>9.1592326976343452E-2</v>
      </c>
      <c r="AP154" s="4">
        <f t="shared" si="716"/>
        <v>0.11451975462777875</v>
      </c>
      <c r="AQ154" s="4">
        <f t="shared" si="716"/>
        <v>0.12840473788796491</v>
      </c>
      <c r="AR154" s="215">
        <f t="shared" si="716"/>
        <v>0.18342177215189892</v>
      </c>
      <c r="AS154" s="4">
        <f t="shared" si="716"/>
        <v>4.6027001918407917E-2</v>
      </c>
      <c r="AT154" s="4">
        <f t="shared" si="716"/>
        <v>4.2282609120782855E-2</v>
      </c>
      <c r="AU154" s="4">
        <f t="shared" si="716"/>
        <v>2.6937172163362888E-2</v>
      </c>
      <c r="AV154" s="215">
        <f t="shared" si="716"/>
        <v>4.4045957600807428E-2</v>
      </c>
      <c r="AW154" s="4">
        <f t="shared" ref="AW154" si="717">+AW153/AS153-1</f>
        <v>2.6952629887099677E-2</v>
      </c>
      <c r="AX154" s="4">
        <f t="shared" ref="AX154" si="718">+AX153/AT153-1</f>
        <v>2.2703167637950106E-2</v>
      </c>
      <c r="AY154" s="4">
        <f t="shared" ref="AY154" si="719">+AY153/AU153-1</f>
        <v>7.7236178895105922E-3</v>
      </c>
      <c r="AZ154" s="4">
        <f t="shared" ref="AZ154" si="720">+AZ153/AV153-1</f>
        <v>2.3648886760742505E-2</v>
      </c>
    </row>
    <row r="155" spans="2:52" outlineLevel="1">
      <c r="B155" s="1" t="s">
        <v>540</v>
      </c>
      <c r="G155" s="10"/>
      <c r="H155" s="10"/>
      <c r="I155" s="10"/>
      <c r="J155" s="109"/>
      <c r="K155" s="109"/>
      <c r="L155" s="109"/>
      <c r="M155" s="109"/>
      <c r="N155" s="109"/>
      <c r="AC155" s="109"/>
      <c r="AD155" s="109"/>
      <c r="AE155" s="109"/>
      <c r="AF155" s="239">
        <v>88.3</v>
      </c>
      <c r="AG155" s="109"/>
      <c r="AH155" s="109"/>
      <c r="AI155" s="109"/>
      <c r="AJ155" s="239">
        <v>125.4</v>
      </c>
      <c r="AK155" s="109"/>
      <c r="AL155" s="109"/>
      <c r="AM155" s="109"/>
      <c r="AN155" s="239">
        <v>126</v>
      </c>
      <c r="AO155" s="109"/>
      <c r="AP155" s="109"/>
      <c r="AQ155" s="109"/>
      <c r="AR155" s="249"/>
      <c r="AS155" s="109"/>
      <c r="AT155" s="109"/>
      <c r="AU155" s="109"/>
      <c r="AV155" s="249"/>
      <c r="AW155" s="109"/>
      <c r="AX155" s="109"/>
      <c r="AY155" s="109"/>
      <c r="AZ155" s="109"/>
    </row>
    <row r="156" spans="2:52" outlineLevel="1">
      <c r="B156" s="3" t="s">
        <v>128</v>
      </c>
      <c r="G156" s="10"/>
      <c r="H156" s="10"/>
      <c r="I156" s="10"/>
      <c r="J156" s="109"/>
      <c r="K156" s="109"/>
      <c r="L156" s="109"/>
      <c r="M156" s="109"/>
      <c r="N156" s="109"/>
      <c r="AC156" s="109"/>
      <c r="AD156" s="109"/>
      <c r="AE156" s="109"/>
      <c r="AF156" s="249"/>
      <c r="AG156" s="109"/>
      <c r="AH156" s="109"/>
      <c r="AI156" s="109"/>
      <c r="AJ156" s="215">
        <f t="shared" ref="AJ156" si="721">+AJ155/AF155-1</f>
        <v>0.42015855039637606</v>
      </c>
      <c r="AK156" s="109"/>
      <c r="AL156" s="109"/>
      <c r="AM156" s="109"/>
      <c r="AN156" s="215">
        <f t="shared" ref="AN156" si="722">+AN155/AJ155-1</f>
        <v>4.7846889952152249E-3</v>
      </c>
      <c r="AO156" s="109"/>
      <c r="AP156" s="109"/>
      <c r="AQ156" s="109"/>
      <c r="AR156" s="249"/>
      <c r="AS156" s="109"/>
      <c r="AT156" s="109"/>
      <c r="AU156" s="109"/>
      <c r="AV156" s="249"/>
      <c r="AW156" s="109"/>
      <c r="AX156" s="109"/>
      <c r="AY156" s="109"/>
      <c r="AZ156" s="109"/>
    </row>
    <row r="157" spans="2:52" outlineLevel="1">
      <c r="B157" s="1" t="s">
        <v>541</v>
      </c>
      <c r="G157" s="10"/>
      <c r="H157" s="10"/>
      <c r="I157" s="10"/>
      <c r="J157" s="109"/>
      <c r="K157" s="109"/>
      <c r="L157" s="109"/>
      <c r="M157" s="109"/>
      <c r="N157" s="109"/>
      <c r="AC157" s="109"/>
      <c r="AD157" s="109"/>
      <c r="AE157" s="109"/>
      <c r="AF157" s="239"/>
      <c r="AG157" s="109"/>
      <c r="AH157" s="109"/>
      <c r="AI157" s="109"/>
      <c r="AJ157" s="239"/>
      <c r="AK157" s="109"/>
      <c r="AL157" s="109"/>
      <c r="AM157" s="109"/>
      <c r="AN157" s="239">
        <v>424.1</v>
      </c>
      <c r="AO157" s="109"/>
      <c r="AP157" s="109"/>
      <c r="AQ157" s="109"/>
      <c r="AR157" s="249"/>
      <c r="AS157" s="109"/>
      <c r="AT157" s="109"/>
      <c r="AU157" s="109"/>
      <c r="AV157" s="249"/>
      <c r="AW157" s="109"/>
      <c r="AX157" s="109"/>
      <c r="AY157" s="109"/>
      <c r="AZ157" s="109"/>
    </row>
    <row r="158" spans="2:52" outlineLevel="1">
      <c r="B158" s="3" t="s">
        <v>128</v>
      </c>
      <c r="G158" s="10"/>
      <c r="H158" s="10"/>
      <c r="I158" s="10"/>
      <c r="J158" s="109"/>
      <c r="K158" s="109"/>
      <c r="L158" s="109"/>
      <c r="M158" s="109"/>
      <c r="N158" s="109"/>
      <c r="AC158" s="109"/>
      <c r="AD158" s="109"/>
      <c r="AE158" s="109"/>
      <c r="AF158" s="249"/>
      <c r="AG158" s="109"/>
      <c r="AH158" s="109"/>
      <c r="AI158" s="109"/>
      <c r="AJ158" s="249"/>
      <c r="AK158" s="109"/>
      <c r="AL158" s="109"/>
      <c r="AM158" s="109"/>
      <c r="AN158" s="249"/>
      <c r="AO158" s="109"/>
      <c r="AP158" s="109"/>
      <c r="AQ158" s="109"/>
      <c r="AR158" s="249"/>
      <c r="AS158" s="109"/>
      <c r="AT158" s="109"/>
      <c r="AU158" s="109"/>
      <c r="AV158" s="249"/>
      <c r="AW158" s="109"/>
      <c r="AX158" s="109"/>
      <c r="AY158" s="109"/>
      <c r="AZ158" s="109"/>
    </row>
    <row r="159" spans="2:52" outlineLevel="1">
      <c r="B159" s="1" t="s">
        <v>542</v>
      </c>
      <c r="G159" s="10"/>
      <c r="H159" s="10"/>
      <c r="I159" s="10"/>
      <c r="J159" s="109"/>
      <c r="K159" s="109"/>
      <c r="L159" s="109"/>
      <c r="M159" s="109"/>
      <c r="N159" s="109"/>
      <c r="AC159" s="109"/>
      <c r="AD159" s="109"/>
      <c r="AE159" s="109"/>
      <c r="AF159" s="249"/>
      <c r="AG159" s="109"/>
      <c r="AH159" s="109"/>
      <c r="AI159" s="109"/>
      <c r="AJ159" s="249"/>
      <c r="AK159" s="109"/>
      <c r="AL159" s="109"/>
      <c r="AM159" s="109"/>
      <c r="AN159" s="239">
        <v>53.7</v>
      </c>
      <c r="AO159" s="109"/>
      <c r="AP159" s="109"/>
      <c r="AQ159" s="109"/>
      <c r="AR159" s="249"/>
      <c r="AS159" s="109"/>
      <c r="AT159" s="109"/>
      <c r="AU159" s="109"/>
      <c r="AV159" s="249"/>
      <c r="AW159" s="109"/>
      <c r="AX159" s="109"/>
      <c r="AY159" s="109"/>
      <c r="AZ159" s="109"/>
    </row>
    <row r="160" spans="2:52" outlineLevel="1">
      <c r="B160" s="3" t="s">
        <v>128</v>
      </c>
      <c r="G160" s="10"/>
      <c r="H160" s="10"/>
      <c r="I160" s="10"/>
      <c r="J160" s="109"/>
      <c r="K160" s="109"/>
      <c r="L160" s="109"/>
      <c r="M160" s="109"/>
      <c r="N160" s="109"/>
      <c r="AC160" s="109"/>
      <c r="AD160" s="109"/>
      <c r="AE160" s="109"/>
      <c r="AF160" s="249"/>
      <c r="AG160" s="109"/>
      <c r="AH160" s="109"/>
      <c r="AI160" s="109"/>
      <c r="AJ160" s="249"/>
      <c r="AK160" s="109"/>
      <c r="AL160" s="109"/>
      <c r="AM160" s="109"/>
      <c r="AN160" s="249"/>
      <c r="AO160" s="109"/>
      <c r="AP160" s="109"/>
      <c r="AQ160" s="109"/>
      <c r="AR160" s="249"/>
      <c r="AS160" s="109"/>
      <c r="AT160" s="109"/>
      <c r="AU160" s="109"/>
      <c r="AV160" s="249"/>
      <c r="AW160" s="109"/>
      <c r="AX160" s="109"/>
      <c r="AY160" s="109"/>
      <c r="AZ160" s="109"/>
    </row>
    <row r="161" spans="2:52" outlineLevel="1">
      <c r="B161" s="1" t="s">
        <v>543</v>
      </c>
      <c r="G161" s="10"/>
      <c r="H161" s="10"/>
      <c r="I161" s="10"/>
      <c r="J161" s="109"/>
      <c r="K161" s="109"/>
      <c r="L161" s="109"/>
      <c r="M161" s="109"/>
      <c r="N161" s="109"/>
      <c r="AC161" s="109"/>
      <c r="AD161" s="109"/>
      <c r="AE161" s="109"/>
      <c r="AF161" s="249"/>
      <c r="AG161" s="109"/>
      <c r="AH161" s="109"/>
      <c r="AI161" s="109"/>
      <c r="AJ161" s="249"/>
      <c r="AK161" s="109"/>
      <c r="AL161" s="109"/>
      <c r="AM161" s="109"/>
      <c r="AN161" s="239">
        <v>45.8</v>
      </c>
      <c r="AO161" s="109"/>
      <c r="AP161" s="109"/>
      <c r="AQ161" s="109"/>
      <c r="AR161" s="249"/>
      <c r="AS161" s="109"/>
      <c r="AT161" s="109"/>
      <c r="AU161" s="109"/>
      <c r="AV161" s="249"/>
      <c r="AW161" s="109"/>
      <c r="AX161" s="109"/>
      <c r="AY161" s="109"/>
      <c r="AZ161" s="109"/>
    </row>
    <row r="162" spans="2:52" outlineLevel="1">
      <c r="B162" s="3" t="s">
        <v>128</v>
      </c>
      <c r="G162" s="10"/>
      <c r="H162" s="10"/>
      <c r="I162" s="10"/>
      <c r="J162" s="109"/>
      <c r="K162" s="109"/>
      <c r="L162" s="109"/>
      <c r="M162" s="109"/>
      <c r="N162" s="109"/>
      <c r="AC162" s="109"/>
      <c r="AD162" s="109"/>
      <c r="AE162" s="109"/>
      <c r="AF162" s="249"/>
      <c r="AG162" s="109"/>
      <c r="AH162" s="109"/>
      <c r="AI162" s="109"/>
      <c r="AJ162" s="249"/>
      <c r="AK162" s="109"/>
      <c r="AL162" s="109"/>
      <c r="AM162" s="109"/>
      <c r="AN162" s="249"/>
      <c r="AO162" s="109"/>
      <c r="AP162" s="109"/>
      <c r="AQ162" s="109"/>
      <c r="AR162" s="249"/>
      <c r="AS162" s="109"/>
      <c r="AT162" s="109"/>
      <c r="AU162" s="109"/>
      <c r="AV162" s="249"/>
      <c r="AW162" s="109"/>
      <c r="AX162" s="109"/>
      <c r="AY162" s="109"/>
      <c r="AZ162" s="109"/>
    </row>
    <row r="163" spans="2:52" outlineLevel="1">
      <c r="B163" s="3"/>
      <c r="G163" s="10"/>
      <c r="H163" s="10"/>
      <c r="I163" s="10"/>
      <c r="J163" s="109"/>
      <c r="K163" s="109"/>
      <c r="L163" s="109"/>
      <c r="M163" s="109"/>
      <c r="N163" s="109"/>
      <c r="AC163" s="109"/>
      <c r="AD163" s="109"/>
      <c r="AE163" s="109"/>
      <c r="AF163" s="249"/>
      <c r="AG163" s="109"/>
      <c r="AH163" s="109"/>
      <c r="AI163" s="109"/>
      <c r="AJ163" s="249"/>
      <c r="AK163" s="109"/>
      <c r="AL163" s="109"/>
      <c r="AM163" s="109"/>
      <c r="AN163" s="249"/>
      <c r="AO163" s="109"/>
      <c r="AP163" s="109"/>
      <c r="AQ163" s="109"/>
      <c r="AR163" s="249"/>
      <c r="AS163" s="109"/>
      <c r="AT163" s="109"/>
      <c r="AU163" s="109"/>
      <c r="AV163" s="249"/>
      <c r="AW163" s="109"/>
      <c r="AX163" s="109"/>
      <c r="AY163" s="109"/>
      <c r="AZ163" s="109"/>
    </row>
    <row r="164" spans="2:52" outlineLevel="1">
      <c r="B164" s="1" t="s">
        <v>546</v>
      </c>
      <c r="G164" s="10"/>
      <c r="H164" s="10"/>
      <c r="I164" s="109">
        <f t="shared" ref="I164:N164" ca="1" si="723">OFFSET($P164,0,I$2,1,1)</f>
        <v>263.42867000000001</v>
      </c>
      <c r="J164" s="109">
        <f t="shared" ca="1" si="723"/>
        <v>415.12094333333334</v>
      </c>
      <c r="K164" s="109">
        <f t="shared" ca="1" si="723"/>
        <v>467.99214000000001</v>
      </c>
      <c r="L164" s="109">
        <f t="shared" ca="1" si="723"/>
        <v>514.79135400000007</v>
      </c>
      <c r="M164" s="109">
        <f t="shared" ca="1" si="723"/>
        <v>561.1225758600001</v>
      </c>
      <c r="N164" s="109">
        <f t="shared" ca="1" si="723"/>
        <v>606.57350450466004</v>
      </c>
      <c r="AC164" s="109">
        <v>194.16036333333332</v>
      </c>
      <c r="AD164" s="109">
        <v>192.97121999999999</v>
      </c>
      <c r="AE164" s="109">
        <v>246.92415666666668</v>
      </c>
      <c r="AF164" s="249">
        <v>263.42867000000001</v>
      </c>
      <c r="AG164" s="109">
        <v>283.26810999999998</v>
      </c>
      <c r="AH164" s="109">
        <v>293.33951333333334</v>
      </c>
      <c r="AI164" s="109">
        <v>384.74933333333337</v>
      </c>
      <c r="AJ164" s="249">
        <v>415.12094333333334</v>
      </c>
      <c r="AK164" s="109">
        <v>446.17771666666664</v>
      </c>
      <c r="AL164" s="109">
        <v>458.37677333333335</v>
      </c>
      <c r="AM164" s="109">
        <v>492.95914333333332</v>
      </c>
      <c r="AN164" s="249">
        <v>467.99214000000001</v>
      </c>
      <c r="AO164" s="204">
        <v>489.13631000000004</v>
      </c>
      <c r="AP164" s="109">
        <f t="shared" ref="AP164:AV164" si="724">+AL164*(1+AP165)</f>
        <v>501.92256680000003</v>
      </c>
      <c r="AQ164" s="109">
        <f t="shared" si="724"/>
        <v>532.3958748</v>
      </c>
      <c r="AR164" s="249">
        <f t="shared" si="724"/>
        <v>514.79135400000007</v>
      </c>
      <c r="AS164" s="109">
        <f t="shared" si="724"/>
        <v>531.52154426171012</v>
      </c>
      <c r="AT164" s="109">
        <f t="shared" si="724"/>
        <v>544.83694626139993</v>
      </c>
      <c r="AU164" s="109">
        <f t="shared" si="724"/>
        <v>570.72837778560006</v>
      </c>
      <c r="AV164" s="249">
        <f t="shared" si="724"/>
        <v>561.1225758600001</v>
      </c>
      <c r="AW164" s="109">
        <f t="shared" ref="AW164" si="725">+AS164*(1+AW165)</f>
        <v>572.97379026612271</v>
      </c>
      <c r="AX164" s="109">
        <f t="shared" ref="AX164" si="726">+AT164*(1+AX165)</f>
        <v>586.7621492762147</v>
      </c>
      <c r="AY164" s="109">
        <f t="shared" ref="AY164" si="727">+AU164*(1+AY165)</f>
        <v>607.71157666610691</v>
      </c>
      <c r="AZ164" s="109">
        <f t="shared" ref="AZ164" si="728">+AV164*(1+AZ165)</f>
        <v>606.57350450466004</v>
      </c>
    </row>
    <row r="165" spans="2:52" outlineLevel="1">
      <c r="B165" s="3" t="s">
        <v>128</v>
      </c>
      <c r="G165" s="10"/>
      <c r="H165" s="10"/>
      <c r="I165" s="10"/>
      <c r="K165" s="4">
        <f ca="1">K164/J164-1</f>
        <v>0.12736335642842334</v>
      </c>
      <c r="L165" s="4">
        <f ca="1">L164/K164-1</f>
        <v>0.10000000000000009</v>
      </c>
      <c r="M165" s="4">
        <f ca="1">M164/L164-1</f>
        <v>9.000000000000008E-2</v>
      </c>
      <c r="N165" s="4">
        <f ca="1">N164/M164-1</f>
        <v>8.0999999999999961E-2</v>
      </c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241"/>
      <c r="AC165" s="71"/>
      <c r="AD165" s="71"/>
      <c r="AE165" s="71"/>
      <c r="AF165" s="241"/>
      <c r="AG165" s="71">
        <f t="shared" ref="AG165:AO165" si="729">AG164/AC164-1</f>
        <v>0.45893891593974323</v>
      </c>
      <c r="AH165" s="71">
        <f t="shared" si="729"/>
        <v>0.5201205305813652</v>
      </c>
      <c r="AI165" s="71">
        <f t="shared" si="729"/>
        <v>0.5581680566503775</v>
      </c>
      <c r="AJ165" s="241">
        <f t="shared" si="729"/>
        <v>0.57583813232376468</v>
      </c>
      <c r="AK165" s="71">
        <f t="shared" si="729"/>
        <v>0.57510747209301694</v>
      </c>
      <c r="AL165" s="71">
        <f t="shared" si="729"/>
        <v>0.56261516944858903</v>
      </c>
      <c r="AM165" s="71">
        <f t="shared" si="729"/>
        <v>0.28124755685086722</v>
      </c>
      <c r="AN165" s="241">
        <f t="shared" si="729"/>
        <v>0.12736335642842334</v>
      </c>
      <c r="AO165" s="71">
        <f t="shared" si="729"/>
        <v>9.6281350969903201E-2</v>
      </c>
      <c r="AP165" s="66">
        <v>9.5000000000000001E-2</v>
      </c>
      <c r="AQ165" s="66">
        <v>0.08</v>
      </c>
      <c r="AR165" s="246">
        <v>0.1</v>
      </c>
      <c r="AS165" s="234">
        <f>AO165*0.9</f>
        <v>8.6653215872912887E-2</v>
      </c>
      <c r="AT165" s="66">
        <f>AP165*0.9</f>
        <v>8.5500000000000007E-2</v>
      </c>
      <c r="AU165" s="66">
        <f t="shared" ref="AU165:AV165" si="730">AQ165*0.9</f>
        <v>7.2000000000000008E-2</v>
      </c>
      <c r="AV165" s="246">
        <f t="shared" si="730"/>
        <v>9.0000000000000011E-2</v>
      </c>
      <c r="AW165" s="234">
        <f t="shared" ref="AW165:AZ165" si="731">AS165*0.9</f>
        <v>7.7987894285621598E-2</v>
      </c>
      <c r="AX165" s="66">
        <f t="shared" si="731"/>
        <v>7.6950000000000005E-2</v>
      </c>
      <c r="AY165" s="66">
        <f t="shared" si="731"/>
        <v>6.480000000000001E-2</v>
      </c>
      <c r="AZ165" s="66">
        <f t="shared" si="731"/>
        <v>8.1000000000000016E-2</v>
      </c>
    </row>
    <row r="166" spans="2:52" outlineLevel="1">
      <c r="B166" s="11" t="s">
        <v>551</v>
      </c>
      <c r="G166" s="10"/>
      <c r="H166" s="10"/>
      <c r="I166" s="10"/>
      <c r="J166" s="2">
        <f t="shared" ref="J166:N166" ca="1" si="732">+J169/J164</f>
        <v>76.938631237291702</v>
      </c>
      <c r="K166" s="2">
        <f t="shared" ca="1" si="732"/>
        <v>102.51301522927287</v>
      </c>
      <c r="L166" s="2">
        <f t="shared" ca="1" si="732"/>
        <v>108.60398338289949</v>
      </c>
      <c r="M166" s="2">
        <f t="shared" ca="1" si="732"/>
        <v>114.54831253149386</v>
      </c>
      <c r="N166" s="2">
        <f t="shared" ca="1" si="732"/>
        <v>120.68932508620072</v>
      </c>
      <c r="AC166" s="2">
        <f t="shared" ref="AC166:AN166" si="733">+AC169/AC164</f>
        <v>19.504869373527647</v>
      </c>
      <c r="AD166" s="2">
        <f t="shared" si="733"/>
        <v>22.485123628798121</v>
      </c>
      <c r="AE166" s="2">
        <f t="shared" si="733"/>
        <v>21.975562606963511</v>
      </c>
      <c r="AF166" s="221">
        <f t="shared" si="733"/>
        <v>20.467204037307962</v>
      </c>
      <c r="AG166" s="2">
        <f t="shared" si="733"/>
        <v>18.914625803918884</v>
      </c>
      <c r="AH166" s="2">
        <f t="shared" si="733"/>
        <v>23.304679570728137</v>
      </c>
      <c r="AI166" s="2">
        <f t="shared" si="733"/>
        <v>23.954442455607456</v>
      </c>
      <c r="AJ166" s="221">
        <f t="shared" si="733"/>
        <v>25.361976829676216</v>
      </c>
      <c r="AK166" s="2">
        <f t="shared" si="733"/>
        <v>24.192168012051102</v>
      </c>
      <c r="AL166" s="2">
        <f t="shared" si="733"/>
        <v>26.177819210982129</v>
      </c>
      <c r="AM166" s="2">
        <f t="shared" si="733"/>
        <v>26.523692059118112</v>
      </c>
      <c r="AN166" s="221">
        <f t="shared" si="733"/>
        <v>25.869832497258038</v>
      </c>
      <c r="AO166" s="2">
        <f t="shared" ref="AO166" si="734">+AO169/AO164</f>
        <v>25.7834124636273</v>
      </c>
      <c r="AP166" s="2">
        <f t="shared" ref="AP166:AV166" si="735">AL166*(1+AP167)</f>
        <v>27.486710171531236</v>
      </c>
      <c r="AQ166" s="2">
        <f t="shared" si="735"/>
        <v>28.645587423847562</v>
      </c>
      <c r="AR166" s="221">
        <f t="shared" si="735"/>
        <v>27.680720772066103</v>
      </c>
      <c r="AS166" s="2">
        <f t="shared" si="735"/>
        <v>27.033907968113223</v>
      </c>
      <c r="AT166" s="2">
        <f t="shared" si="735"/>
        <v>28.819815614850501</v>
      </c>
      <c r="AU166" s="2">
        <f t="shared" si="735"/>
        <v>30.86848500793813</v>
      </c>
      <c r="AV166" s="221">
        <f t="shared" si="735"/>
        <v>29.560241712489393</v>
      </c>
      <c r="AW166" s="2">
        <f t="shared" ref="AW166" si="736">AS166*(1+AW167)</f>
        <v>28.30571816847311</v>
      </c>
      <c r="AX166" s="2">
        <f t="shared" ref="AX166" si="737">AT166*(1+AX167)</f>
        <v>30.175643840451144</v>
      </c>
      <c r="AY166" s="2">
        <f t="shared" ref="AY166" si="738">AU166*(1+AY167)</f>
        <v>33.192017611455647</v>
      </c>
      <c r="AZ166" s="2">
        <f t="shared" ref="AZ166" si="739">AV166*(1+AZ167)</f>
        <v>31.507167912399083</v>
      </c>
    </row>
    <row r="167" spans="2:52" outlineLevel="1">
      <c r="B167" s="3" t="s">
        <v>128</v>
      </c>
      <c r="G167" s="10"/>
      <c r="H167" s="10"/>
      <c r="I167" s="10"/>
      <c r="K167" s="4">
        <f ca="1">K166/J166-1</f>
        <v>0.33239977863793091</v>
      </c>
      <c r="L167" s="4">
        <f ca="1">L166/K166-1</f>
        <v>5.9416534963916634E-2</v>
      </c>
      <c r="M167" s="4">
        <f ca="1">M166/L166-1</f>
        <v>5.4733988233532482E-2</v>
      </c>
      <c r="N167" s="4">
        <f ca="1">N166/M166-1</f>
        <v>5.3610676744089591E-2</v>
      </c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241"/>
      <c r="AC167" s="71"/>
      <c r="AD167" s="71"/>
      <c r="AE167" s="71"/>
      <c r="AF167" s="241"/>
      <c r="AG167" s="71">
        <f t="shared" ref="AG167:AO167" si="740">AG166/AC166-1</f>
        <v>-3.0261344400996149E-2</v>
      </c>
      <c r="AH167" s="71">
        <f t="shared" si="740"/>
        <v>3.6448807463097976E-2</v>
      </c>
      <c r="AI167" s="71">
        <f t="shared" si="740"/>
        <v>9.0049109733230992E-2</v>
      </c>
      <c r="AJ167" s="241">
        <f t="shared" si="740"/>
        <v>0.23915200060770303</v>
      </c>
      <c r="AK167" s="71">
        <f t="shared" si="740"/>
        <v>0.27901911794833256</v>
      </c>
      <c r="AL167" s="71">
        <f t="shared" si="740"/>
        <v>0.12328595342983406</v>
      </c>
      <c r="AM167" s="71">
        <f t="shared" si="740"/>
        <v>0.10725566283882437</v>
      </c>
      <c r="AN167" s="241">
        <f t="shared" si="740"/>
        <v>2.0024293492279188E-2</v>
      </c>
      <c r="AO167" s="71">
        <f t="shared" si="740"/>
        <v>6.5775190168303022E-2</v>
      </c>
      <c r="AP167" s="66">
        <f>CHOOSE(Case,Scenario!AO25,Scenario!AO13,Scenario!AO37)</f>
        <v>0.05</v>
      </c>
      <c r="AQ167" s="66">
        <f>CHOOSE(Case,Scenario!AP25,Scenario!AP13,Scenario!AP37)</f>
        <v>0.08</v>
      </c>
      <c r="AR167" s="246">
        <f>CHOOSE(Case,Scenario!AQ25,Scenario!AQ13,Scenario!AQ37)</f>
        <v>7.0000000000000007E-2</v>
      </c>
      <c r="AS167" s="234">
        <f>CHOOSE(Case,Scenario!AR25,Scenario!AR13,Scenario!AR37)</f>
        <v>4.8500000000000001E-2</v>
      </c>
      <c r="AT167" s="66">
        <f>CHOOSE(Case,Scenario!AS25,Scenario!AS13,Scenario!AS37)</f>
        <v>4.8500000000000001E-2</v>
      </c>
      <c r="AU167" s="66">
        <f>CHOOSE(Case,Scenario!AT25,Scenario!AT13,Scenario!AT37)</f>
        <v>7.7600000000000002E-2</v>
      </c>
      <c r="AV167" s="246">
        <f>CHOOSE(Case,Scenario!AU25,Scenario!AU13,Scenario!AU37)</f>
        <v>6.7900000000000002E-2</v>
      </c>
      <c r="AW167" s="234">
        <f>CHOOSE(Case,Scenario!AV25,Scenario!AV13,Scenario!AV37)</f>
        <v>4.7045000000000003E-2</v>
      </c>
      <c r="AX167" s="66">
        <f>CHOOSE(Case,Scenario!AW25,Scenario!AW13,Scenario!AW37)</f>
        <v>4.7045000000000003E-2</v>
      </c>
      <c r="AY167" s="66">
        <f>CHOOSE(Case,Scenario!AX25,Scenario!AX13,Scenario!AX37)</f>
        <v>7.5272000000000006E-2</v>
      </c>
      <c r="AZ167" s="66">
        <f>CHOOSE(Case,Scenario!AY25,Scenario!AY13,Scenario!AY37)</f>
        <v>6.5863000000000005E-2</v>
      </c>
    </row>
    <row r="168" spans="2:52" outlineLevel="1">
      <c r="B168" s="11" t="s">
        <v>549</v>
      </c>
      <c r="C168" s="1" t="s">
        <v>314</v>
      </c>
      <c r="G168" s="10"/>
      <c r="H168" s="10"/>
      <c r="I168" s="10"/>
      <c r="J168" s="2"/>
      <c r="K168" s="2"/>
      <c r="L168" s="2"/>
      <c r="M168" s="2"/>
      <c r="N168" s="2"/>
      <c r="AC168" s="2">
        <f>AC169/AC170</f>
        <v>16932.65233311605</v>
      </c>
      <c r="AD168" s="2">
        <f t="shared" ref="AD168:AM168" si="741">AD169/AD170</f>
        <v>17449.80622403037</v>
      </c>
      <c r="AE168" s="2">
        <f t="shared" si="741"/>
        <v>19828.971035441693</v>
      </c>
      <c r="AF168" s="221">
        <f t="shared" si="741"/>
        <v>18053.098593229948</v>
      </c>
      <c r="AG168" s="2">
        <f t="shared" si="741"/>
        <v>16554.387047283733</v>
      </c>
      <c r="AH168" s="2">
        <f t="shared" si="741"/>
        <v>19607.299968604231</v>
      </c>
      <c r="AI168" s="2">
        <f t="shared" si="741"/>
        <v>24665.682306495371</v>
      </c>
      <c r="AJ168" s="221">
        <f t="shared" si="741"/>
        <v>26409.520729013988</v>
      </c>
      <c r="AK168" s="2">
        <f t="shared" si="741"/>
        <v>26413.493104662724</v>
      </c>
      <c r="AL168" s="2">
        <f t="shared" si="741"/>
        <v>28661.556700731373</v>
      </c>
      <c r="AM168" s="2">
        <f t="shared" si="741"/>
        <v>30502.609826267661</v>
      </c>
      <c r="AN168" s="256">
        <f>9200*3</f>
        <v>27600</v>
      </c>
      <c r="AO168" s="2">
        <f>AO169/AO170</f>
        <v>28426.599388471062</v>
      </c>
      <c r="AP168" s="2">
        <f t="shared" ref="AP168:AZ168" si="742">AP169/AP170</f>
        <v>30887.821289289117</v>
      </c>
      <c r="AQ168" s="2">
        <f t="shared" si="742"/>
        <v>34076.303939990954</v>
      </c>
      <c r="AR168" s="221">
        <f t="shared" si="742"/>
        <v>31776.128718524098</v>
      </c>
      <c r="AS168" s="2">
        <f t="shared" si="742"/>
        <v>31946.340619258921</v>
      </c>
      <c r="AT168" s="2">
        <f t="shared" si="742"/>
        <v>34805.528238470994</v>
      </c>
      <c r="AU168" s="2">
        <f t="shared" si="742"/>
        <v>38934.475694941502</v>
      </c>
      <c r="AV168" s="221">
        <f t="shared" si="742"/>
        <v>36547.219235058576</v>
      </c>
      <c r="AW168" s="2">
        <f t="shared" si="742"/>
        <v>35628.424392831119</v>
      </c>
      <c r="AX168" s="2">
        <f t="shared" si="742"/>
        <v>38779.783941952672</v>
      </c>
      <c r="AY168" s="2">
        <f t="shared" si="742"/>
        <v>44047.065284268159</v>
      </c>
      <c r="AZ168" s="2">
        <f t="shared" si="742"/>
        <v>41608.081057011535</v>
      </c>
    </row>
    <row r="169" spans="2:52" outlineLevel="1">
      <c r="B169" s="11" t="s">
        <v>548</v>
      </c>
      <c r="C169" s="1" t="s">
        <v>314</v>
      </c>
      <c r="G169" s="10"/>
      <c r="H169" s="10"/>
      <c r="I169" s="10"/>
      <c r="J169" s="2">
        <f ca="1">SUM(OFFSET($P169,0,J$1,1,4))</f>
        <v>31938.837178000002</v>
      </c>
      <c r="K169" s="2">
        <f ca="1">SUM(OFFSET($P169,0,K$1,1,4))</f>
        <v>47975.285374999999</v>
      </c>
      <c r="L169" s="2">
        <f ca="1">SUM(OFFSET($P169,0,L$1,1,4))</f>
        <v>55908.391655476335</v>
      </c>
      <c r="M169" s="2">
        <f ca="1">SUM(OFFSET($P169,0,M$1,1,4))</f>
        <v>64275.644188088161</v>
      </c>
      <c r="N169" s="2">
        <f ca="1">SUM(OFFSET($P169,0,N$1,1,4))</f>
        <v>73206.946873838955</v>
      </c>
      <c r="AC169" s="2">
        <v>3787.0725243333331</v>
      </c>
      <c r="AD169" s="2">
        <v>4338.9817385000006</v>
      </c>
      <c r="AE169" s="2">
        <v>5426.2972639999998</v>
      </c>
      <c r="AF169" s="221">
        <v>5391.6483381666667</v>
      </c>
      <c r="AG169" s="2">
        <v>5357.9103028333329</v>
      </c>
      <c r="AH169" s="2">
        <v>6836.183363666667</v>
      </c>
      <c r="AI169" s="2">
        <v>9216.4557651666655</v>
      </c>
      <c r="AJ169" s="221">
        <v>10528.287746333333</v>
      </c>
      <c r="AK169" s="2">
        <v>10794.006284833333</v>
      </c>
      <c r="AL169" s="2">
        <v>11999.304302833334</v>
      </c>
      <c r="AM169" s="2">
        <v>13075.096515499999</v>
      </c>
      <c r="AN169" s="221">
        <v>12106.878271833333</v>
      </c>
      <c r="AO169" s="2">
        <v>12611.603231666668</v>
      </c>
      <c r="AP169" s="2">
        <f t="shared" ref="AP169:AZ169" si="743">+AP166*AP164</f>
        <v>13796.200122182627</v>
      </c>
      <c r="AQ169" s="2">
        <f t="shared" si="743"/>
        <v>15250.792575679201</v>
      </c>
      <c r="AR169" s="221">
        <f t="shared" si="743"/>
        <v>14249.795725947837</v>
      </c>
      <c r="AS169" s="2">
        <f t="shared" si="743"/>
        <v>14369.104510640491</v>
      </c>
      <c r="AT169" s="2">
        <f t="shared" si="743"/>
        <v>15702.100331411757</v>
      </c>
      <c r="AU169" s="2">
        <f t="shared" si="743"/>
        <v>17617.520373279644</v>
      </c>
      <c r="AV169" s="221">
        <f t="shared" si="743"/>
        <v>16586.91897275627</v>
      </c>
      <c r="AW169" s="2">
        <f t="shared" si="743"/>
        <v>16218.43462519469</v>
      </c>
      <c r="AX169" s="2">
        <f t="shared" si="743"/>
        <v>17705.925635616684</v>
      </c>
      <c r="AY169" s="2">
        <f t="shared" si="743"/>
        <v>20171.173355386898</v>
      </c>
      <c r="AZ169" s="2">
        <f t="shared" si="743"/>
        <v>19111.413257640685</v>
      </c>
    </row>
    <row r="170" spans="2:52" outlineLevel="1">
      <c r="B170" s="3" t="s">
        <v>547</v>
      </c>
      <c r="G170" s="10"/>
      <c r="H170" s="10"/>
      <c r="I170" s="10"/>
      <c r="J170" s="2"/>
      <c r="K170" s="2"/>
      <c r="L170" s="2"/>
      <c r="M170" s="2"/>
      <c r="N170" s="2"/>
      <c r="AC170" s="71">
        <f>AD170-0.025</f>
        <v>0.22365500984903369</v>
      </c>
      <c r="AD170" s="71">
        <f t="shared" ref="AD170:AF170" si="744">AE170-0.025</f>
        <v>0.24865500984903369</v>
      </c>
      <c r="AE170" s="71">
        <f t="shared" si="744"/>
        <v>0.27365500984903368</v>
      </c>
      <c r="AF170" s="241">
        <f t="shared" si="744"/>
        <v>0.2986550098490337</v>
      </c>
      <c r="AG170" s="71">
        <f t="shared" ref="AG170:AH170" si="745">AH170-0.025</f>
        <v>0.32365500984903373</v>
      </c>
      <c r="AH170" s="71">
        <f t="shared" si="745"/>
        <v>0.34865500984903375</v>
      </c>
      <c r="AI170" s="71">
        <f>AJ170-0.025</f>
        <v>0.37365500984903377</v>
      </c>
      <c r="AJ170" s="241">
        <f t="shared" ref="AJ170" si="746">AK170-0.01</f>
        <v>0.39865500984903379</v>
      </c>
      <c r="AK170" s="71">
        <f t="shared" ref="AK170:AM170" si="747">AL170-0.01</f>
        <v>0.4086550098490338</v>
      </c>
      <c r="AL170" s="71">
        <f t="shared" si="747"/>
        <v>0.41865500984903381</v>
      </c>
      <c r="AM170" s="71">
        <f t="shared" si="747"/>
        <v>0.42865500984903382</v>
      </c>
      <c r="AN170" s="241">
        <f>AN169/AN168</f>
        <v>0.43865500984903383</v>
      </c>
      <c r="AO170" s="234">
        <f>AN170+0.005</f>
        <v>0.44365500984903383</v>
      </c>
      <c r="AP170" s="66">
        <f>AO170+0.003</f>
        <v>0.44665500984903383</v>
      </c>
      <c r="AQ170" s="66">
        <f>AP170*1.002</f>
        <v>0.44754831986873189</v>
      </c>
      <c r="AR170" s="246">
        <f t="shared" ref="AR170" si="748">AQ170*1.002</f>
        <v>0.44844341650846936</v>
      </c>
      <c r="AS170" s="234">
        <f>AR170*1.003</f>
        <v>0.44978874675799474</v>
      </c>
      <c r="AT170" s="66">
        <f t="shared" ref="AT170:AZ170" si="749">AS170*1.003</f>
        <v>0.45113811299826867</v>
      </c>
      <c r="AU170" s="66">
        <f t="shared" si="749"/>
        <v>0.45249152733726344</v>
      </c>
      <c r="AV170" s="246">
        <f t="shared" si="749"/>
        <v>0.45384900191927519</v>
      </c>
      <c r="AW170" s="234">
        <f t="shared" si="749"/>
        <v>0.45521054892503299</v>
      </c>
      <c r="AX170" s="66">
        <f t="shared" si="749"/>
        <v>0.45657618057180804</v>
      </c>
      <c r="AY170" s="66">
        <f t="shared" si="749"/>
        <v>0.4579459091135234</v>
      </c>
      <c r="AZ170" s="66">
        <f t="shared" si="749"/>
        <v>0.45931974684086391</v>
      </c>
    </row>
    <row r="171" spans="2:52" outlineLevel="1">
      <c r="B171" s="3" t="s">
        <v>313</v>
      </c>
      <c r="G171" s="10"/>
      <c r="H171" s="10"/>
      <c r="I171" s="10"/>
      <c r="J171" s="2">
        <f t="shared" ref="J171:N171" ca="1" si="750">+J169*J153/J164</f>
        <v>27723.413912895947</v>
      </c>
      <c r="K171" s="2">
        <f t="shared" ca="1" si="750"/>
        <v>40027.281959886888</v>
      </c>
      <c r="L171" s="2">
        <f t="shared" ca="1" si="750"/>
        <v>47866.180877965351</v>
      </c>
      <c r="M171" s="2">
        <f t="shared" ca="1" si="750"/>
        <v>52486.458979247742</v>
      </c>
      <c r="N171" s="2">
        <f t="shared" ca="1" si="750"/>
        <v>56412.512883497016</v>
      </c>
      <c r="AC171" s="2">
        <f>+AC168*AC153/AC150</f>
        <v>16932.65233311605</v>
      </c>
      <c r="AD171" s="2">
        <f t="shared" ref="AD171:AN171" si="751">+AD168*AD153/AD150</f>
        <v>17123.936713494306</v>
      </c>
      <c r="AE171" s="2">
        <f t="shared" si="751"/>
        <v>19423.826209319675</v>
      </c>
      <c r="AF171" s="221">
        <f t="shared" si="751"/>
        <v>17524.594749324173</v>
      </c>
      <c r="AG171" s="2">
        <f t="shared" si="751"/>
        <v>15872.067118717918</v>
      </c>
      <c r="AH171" s="2">
        <f t="shared" si="751"/>
        <v>18476.333839199753</v>
      </c>
      <c r="AI171" s="2">
        <f t="shared" si="751"/>
        <v>23180.735212976324</v>
      </c>
      <c r="AJ171" s="221">
        <f t="shared" si="751"/>
        <v>24455.190137325731</v>
      </c>
      <c r="AK171" s="2">
        <f t="shared" si="751"/>
        <v>24249.530316889828</v>
      </c>
      <c r="AL171" s="2">
        <f t="shared" si="751"/>
        <v>25996.254451515677</v>
      </c>
      <c r="AM171" s="2">
        <f t="shared" si="751"/>
        <v>27473.792029388071</v>
      </c>
      <c r="AN171" s="221">
        <f t="shared" si="751"/>
        <v>24324.424400664608</v>
      </c>
      <c r="AO171" s="2">
        <f>+AO168*AO153/AO150*(1-AO172)</f>
        <v>27646.143528258021</v>
      </c>
      <c r="AP171" s="2">
        <f t="shared" ref="AP171:AZ171" si="752">+AP168*AP153/AP150*(1-AP172)</f>
        <v>29731.725843901357</v>
      </c>
      <c r="AQ171" s="2">
        <f t="shared" si="752"/>
        <v>32756.550769458114</v>
      </c>
      <c r="AR171" s="221">
        <f t="shared" si="752"/>
        <v>30136.425326304223</v>
      </c>
      <c r="AS171" s="2">
        <f t="shared" si="752"/>
        <v>29907.677782958344</v>
      </c>
      <c r="AT171" s="2">
        <f t="shared" si="752"/>
        <v>32168.938962715034</v>
      </c>
      <c r="AU171" s="2">
        <f t="shared" si="752"/>
        <v>35853.297205604104</v>
      </c>
      <c r="AV171" s="221">
        <f t="shared" si="752"/>
        <v>33200.009441678201</v>
      </c>
      <c r="AW171" s="2">
        <f t="shared" si="752"/>
        <v>31775.670221991022</v>
      </c>
      <c r="AX171" s="2">
        <f t="shared" si="752"/>
        <v>34036.739666965899</v>
      </c>
      <c r="AY171" s="2">
        <f t="shared" si="752"/>
        <v>38387.08578859589</v>
      </c>
      <c r="AZ171" s="2">
        <f t="shared" si="752"/>
        <v>35792.075274257921</v>
      </c>
    </row>
    <row r="172" spans="2:52" outlineLevel="1">
      <c r="B172" s="3" t="s">
        <v>312</v>
      </c>
      <c r="G172" s="10"/>
      <c r="H172" s="10"/>
      <c r="I172" s="10"/>
      <c r="J172" s="2">
        <f ca="1">AVERAGE(OFFSET($P172,0,J$1,1,4))</f>
        <v>0</v>
      </c>
      <c r="K172" s="2">
        <f ca="1">AVERAGE(OFFSET($P172,0,K$1,1,4))</f>
        <v>0</v>
      </c>
      <c r="L172" s="2">
        <f ca="1">AVERAGE(OFFSET($P172,0,L$1,1,4))</f>
        <v>0</v>
      </c>
      <c r="M172" s="2">
        <f ca="1">AVERAGE(OFFSET($P172,0,M$1,1,4))</f>
        <v>0</v>
      </c>
      <c r="N172" s="2">
        <f ca="1">AVERAGE(OFFSET($P172,0,N$1,1,4))</f>
        <v>0</v>
      </c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241"/>
      <c r="AC172" s="4">
        <f>(AC171/AC168)/(AC153/AC150)-1</f>
        <v>0</v>
      </c>
      <c r="AD172" s="4">
        <f t="shared" ref="AD172:AN172" si="753">(AD171/AD168)/(AD153/AD150)-1</f>
        <v>0</v>
      </c>
      <c r="AE172" s="4">
        <f t="shared" si="753"/>
        <v>0</v>
      </c>
      <c r="AF172" s="215">
        <f t="shared" si="753"/>
        <v>0</v>
      </c>
      <c r="AG172" s="4">
        <f t="shared" si="753"/>
        <v>0</v>
      </c>
      <c r="AH172" s="4">
        <f t="shared" si="753"/>
        <v>0</v>
      </c>
      <c r="AI172" s="4">
        <f t="shared" si="753"/>
        <v>0</v>
      </c>
      <c r="AJ172" s="215">
        <f t="shared" si="753"/>
        <v>0</v>
      </c>
      <c r="AK172" s="4">
        <f t="shared" si="753"/>
        <v>0</v>
      </c>
      <c r="AL172" s="4">
        <f t="shared" si="753"/>
        <v>0</v>
      </c>
      <c r="AM172" s="4">
        <f t="shared" si="753"/>
        <v>0</v>
      </c>
      <c r="AN172" s="215">
        <f t="shared" si="753"/>
        <v>0</v>
      </c>
      <c r="AO172" s="234">
        <v>0</v>
      </c>
      <c r="AP172" s="66">
        <v>0</v>
      </c>
      <c r="AQ172" s="66">
        <v>0</v>
      </c>
      <c r="AR172" s="246">
        <v>0</v>
      </c>
      <c r="AS172" s="234">
        <v>0</v>
      </c>
      <c r="AT172" s="66">
        <v>0</v>
      </c>
      <c r="AU172" s="66">
        <v>0</v>
      </c>
      <c r="AV172" s="246">
        <v>0</v>
      </c>
      <c r="AW172" s="234">
        <v>0</v>
      </c>
      <c r="AX172" s="66">
        <v>0</v>
      </c>
      <c r="AY172" s="66">
        <v>0</v>
      </c>
      <c r="AZ172" s="66">
        <v>0</v>
      </c>
    </row>
    <row r="173" spans="2:52" outlineLevel="1">
      <c r="B173" s="3"/>
      <c r="G173" s="10"/>
      <c r="H173" s="10"/>
      <c r="I173" s="10"/>
      <c r="J173" s="148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241"/>
      <c r="AC173" s="71"/>
      <c r="AD173" s="71"/>
      <c r="AE173" s="71"/>
      <c r="AF173" s="241"/>
      <c r="AG173" s="4"/>
      <c r="AH173" s="4"/>
      <c r="AI173" s="4"/>
      <c r="AJ173" s="215"/>
      <c r="AK173" s="4"/>
      <c r="AL173" s="4"/>
      <c r="AM173" s="4"/>
      <c r="AN173" s="215"/>
      <c r="AO173" s="4"/>
      <c r="AP173" s="4"/>
      <c r="AQ173" s="4"/>
      <c r="AR173" s="215"/>
      <c r="AS173" s="4"/>
      <c r="AT173" s="4"/>
      <c r="AU173" s="4"/>
      <c r="AV173" s="215"/>
      <c r="AW173" s="4"/>
      <c r="AX173" s="4"/>
      <c r="AY173" s="4"/>
      <c r="AZ173" s="4"/>
    </row>
    <row r="174" spans="2:52" outlineLevel="1">
      <c r="B174" s="11" t="s">
        <v>311</v>
      </c>
      <c r="G174" s="10"/>
      <c r="H174" s="10"/>
      <c r="I174" s="10"/>
      <c r="J174" s="2">
        <f ca="1">SUM(OFFSET($P174,0,J$1,1,4))</f>
        <v>16</v>
      </c>
      <c r="K174" s="2">
        <f ca="1">SUM(OFFSET($P174,0,K$1,1,4))</f>
        <v>16</v>
      </c>
      <c r="L174" s="2">
        <f ca="1">SUM(OFFSET($P174,0,L$1,1,4))</f>
        <v>16</v>
      </c>
      <c r="M174" s="2">
        <f ca="1">SUM(OFFSET($P174,0,M$1,1,4))</f>
        <v>16</v>
      </c>
      <c r="N174" s="2">
        <f ca="1">SUM(OFFSET($P174,0,N$1,1,4))</f>
        <v>16</v>
      </c>
      <c r="AC174" s="80">
        <v>4</v>
      </c>
      <c r="AD174" s="80">
        <v>4</v>
      </c>
      <c r="AE174" s="80">
        <v>4</v>
      </c>
      <c r="AF174" s="239">
        <v>4</v>
      </c>
      <c r="AG174" s="80">
        <v>4</v>
      </c>
      <c r="AH174" s="80">
        <v>4</v>
      </c>
      <c r="AI174" s="80">
        <v>4</v>
      </c>
      <c r="AJ174" s="239">
        <v>4</v>
      </c>
      <c r="AK174" s="80">
        <v>4</v>
      </c>
      <c r="AL174" s="80">
        <v>4</v>
      </c>
      <c r="AM174" s="80">
        <v>4</v>
      </c>
      <c r="AN174" s="239">
        <v>4</v>
      </c>
      <c r="AO174" s="80">
        <v>4</v>
      </c>
      <c r="AP174" s="80">
        <v>4</v>
      </c>
      <c r="AQ174" s="80">
        <v>4</v>
      </c>
      <c r="AR174" s="239">
        <v>4</v>
      </c>
      <c r="AS174" s="80">
        <v>4</v>
      </c>
      <c r="AT174" s="80">
        <v>4</v>
      </c>
      <c r="AU174" s="80">
        <v>4</v>
      </c>
      <c r="AV174" s="239">
        <v>4</v>
      </c>
      <c r="AW174" s="80">
        <v>4</v>
      </c>
      <c r="AX174" s="80">
        <v>4</v>
      </c>
      <c r="AY174" s="80">
        <v>4</v>
      </c>
      <c r="AZ174" s="80">
        <v>4</v>
      </c>
    </row>
    <row r="175" spans="2:52" outlineLevel="1">
      <c r="B175" s="11"/>
      <c r="G175" s="10"/>
      <c r="H175" s="10"/>
      <c r="I175" s="10"/>
      <c r="J175" s="2"/>
      <c r="K175" s="2"/>
      <c r="L175" s="2"/>
      <c r="M175" s="2"/>
      <c r="N175" s="2"/>
      <c r="AG175" s="80"/>
      <c r="AH175" s="80"/>
      <c r="AI175" s="80"/>
      <c r="AJ175" s="239"/>
      <c r="AK175" s="80"/>
      <c r="AL175" s="80"/>
      <c r="AM175" s="80"/>
      <c r="AN175" s="239"/>
      <c r="AO175" s="80"/>
      <c r="AP175" s="80"/>
      <c r="AQ175" s="80"/>
      <c r="AR175" s="239"/>
      <c r="AS175" s="80"/>
      <c r="AT175" s="80"/>
      <c r="AU175" s="80"/>
      <c r="AV175" s="239"/>
      <c r="AW175" s="80"/>
      <c r="AX175" s="80"/>
      <c r="AY175" s="80"/>
      <c r="AZ175" s="80"/>
    </row>
    <row r="176" spans="2:52" outlineLevel="1">
      <c r="B176" s="11" t="s">
        <v>310</v>
      </c>
      <c r="G176" s="10"/>
      <c r="H176" s="10"/>
      <c r="I176" s="10"/>
      <c r="J176" s="2">
        <f t="shared" ref="J176:N176" ca="1" si="754">+J174*J171</f>
        <v>443574.62260633515</v>
      </c>
      <c r="K176" s="2">
        <f t="shared" ca="1" si="754"/>
        <v>640436.51135819021</v>
      </c>
      <c r="L176" s="2">
        <f t="shared" ca="1" si="754"/>
        <v>765858.89404744562</v>
      </c>
      <c r="M176" s="2">
        <f t="shared" ca="1" si="754"/>
        <v>839783.34366796387</v>
      </c>
      <c r="N176" s="2">
        <f t="shared" ca="1" si="754"/>
        <v>902600.20613595226</v>
      </c>
      <c r="AC176" s="2">
        <f t="shared" ref="AC176:AN176" si="755">+AC174*AC171</f>
        <v>67730.609332464199</v>
      </c>
      <c r="AD176" s="2">
        <f t="shared" si="755"/>
        <v>68495.746853977224</v>
      </c>
      <c r="AE176" s="2">
        <f t="shared" si="755"/>
        <v>77695.304837278702</v>
      </c>
      <c r="AF176" s="221">
        <f t="shared" si="755"/>
        <v>70098.378997296692</v>
      </c>
      <c r="AG176" s="2">
        <f t="shared" si="755"/>
        <v>63488.268474871671</v>
      </c>
      <c r="AH176" s="2">
        <f t="shared" si="755"/>
        <v>73905.335356799013</v>
      </c>
      <c r="AI176" s="2">
        <f t="shared" si="755"/>
        <v>92722.940851905296</v>
      </c>
      <c r="AJ176" s="221">
        <f t="shared" si="755"/>
        <v>97820.760549302926</v>
      </c>
      <c r="AK176" s="2">
        <f t="shared" si="755"/>
        <v>96998.121267559312</v>
      </c>
      <c r="AL176" s="2">
        <f t="shared" si="755"/>
        <v>103985.01780606271</v>
      </c>
      <c r="AM176" s="2">
        <f t="shared" si="755"/>
        <v>109895.16811755228</v>
      </c>
      <c r="AN176" s="221">
        <f t="shared" si="755"/>
        <v>97297.697602658431</v>
      </c>
      <c r="AO176" s="2">
        <f>AO168*AO174</f>
        <v>113706.39755388425</v>
      </c>
      <c r="AP176" s="2">
        <f t="shared" ref="AP176:AZ176" si="756">AP168*AP174</f>
        <v>123551.28515715647</v>
      </c>
      <c r="AQ176" s="2">
        <f t="shared" si="756"/>
        <v>136305.21575996382</v>
      </c>
      <c r="AR176" s="221">
        <f t="shared" si="756"/>
        <v>127104.51487409639</v>
      </c>
      <c r="AS176" s="2">
        <f t="shared" si="756"/>
        <v>127785.36247703568</v>
      </c>
      <c r="AT176" s="2">
        <f t="shared" si="756"/>
        <v>139222.11295388397</v>
      </c>
      <c r="AU176" s="2">
        <f t="shared" si="756"/>
        <v>155737.90277976601</v>
      </c>
      <c r="AV176" s="221">
        <f t="shared" si="756"/>
        <v>146188.8769402343</v>
      </c>
      <c r="AW176" s="2">
        <f t="shared" si="756"/>
        <v>142513.69757132448</v>
      </c>
      <c r="AX176" s="2">
        <f t="shared" si="756"/>
        <v>155119.13576781069</v>
      </c>
      <c r="AY176" s="2">
        <f t="shared" si="756"/>
        <v>176188.26113707264</v>
      </c>
      <c r="AZ176" s="2">
        <f t="shared" si="756"/>
        <v>166432.32422804614</v>
      </c>
    </row>
    <row r="177" spans="2:52" outlineLevel="1">
      <c r="B177" s="3" t="s">
        <v>128</v>
      </c>
      <c r="G177" s="10"/>
      <c r="H177" s="10"/>
      <c r="I177" s="10"/>
      <c r="K177" s="4">
        <f ca="1">K176/J176-1</f>
        <v>0.44380782560359999</v>
      </c>
      <c r="L177" s="4">
        <f ca="1">L176/K176-1</f>
        <v>0.1958389012257733</v>
      </c>
      <c r="M177" s="4">
        <f ca="1">M176/L176-1</f>
        <v>9.6524895375751152E-2</v>
      </c>
      <c r="N177" s="4">
        <f ca="1">N176/M176-1</f>
        <v>7.4801272187204892E-2</v>
      </c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241"/>
      <c r="AC177" s="71"/>
      <c r="AD177" s="71"/>
      <c r="AE177" s="71"/>
      <c r="AF177" s="241"/>
      <c r="AG177" s="4">
        <f t="shared" ref="AG177:AV177" si="757">AG176/AC176-1</f>
        <v>-6.2635504086025029E-2</v>
      </c>
      <c r="AH177" s="4">
        <f t="shared" si="757"/>
        <v>7.8976998591667735E-2</v>
      </c>
      <c r="AI177" s="4">
        <f t="shared" si="757"/>
        <v>0.19341755651901682</v>
      </c>
      <c r="AJ177" s="215">
        <f t="shared" si="757"/>
        <v>0.39547821145871764</v>
      </c>
      <c r="AK177" s="4">
        <f t="shared" si="757"/>
        <v>0.527811729594589</v>
      </c>
      <c r="AL177" s="4">
        <f t="shared" si="757"/>
        <v>0.4070028544494857</v>
      </c>
      <c r="AM177" s="4">
        <f t="shared" si="757"/>
        <v>0.18519933802654109</v>
      </c>
      <c r="AN177" s="215">
        <f t="shared" si="757"/>
        <v>-5.3471568172981376E-3</v>
      </c>
      <c r="AO177" s="4">
        <f t="shared" si="757"/>
        <v>0.17225360726561778</v>
      </c>
      <c r="AP177" s="4">
        <f t="shared" si="757"/>
        <v>0.18816429293290926</v>
      </c>
      <c r="AQ177" s="4">
        <f t="shared" si="757"/>
        <v>0.24032037163054643</v>
      </c>
      <c r="AR177" s="215">
        <f t="shared" si="757"/>
        <v>0.30634658379237489</v>
      </c>
      <c r="AS177" s="4">
        <f t="shared" si="757"/>
        <v>0.12381858212049646</v>
      </c>
      <c r="AT177" s="4">
        <f t="shared" si="757"/>
        <v>0.12683662316255395</v>
      </c>
      <c r="AU177" s="4">
        <f t="shared" si="757"/>
        <v>0.14256744990612491</v>
      </c>
      <c r="AV177" s="215">
        <f t="shared" si="757"/>
        <v>0.15014700370826284</v>
      </c>
      <c r="AW177" s="4">
        <f t="shared" ref="AW177" si="758">AW176/AS176-1</f>
        <v>0.11525838960573931</v>
      </c>
      <c r="AX177" s="4">
        <f t="shared" ref="AX177" si="759">AX176/AT176-1</f>
        <v>0.11418461102650013</v>
      </c>
      <c r="AY177" s="4">
        <f t="shared" ref="AY177" si="760">AY176/AU176-1</f>
        <v>0.13131266051672807</v>
      </c>
      <c r="AZ177" s="4">
        <f t="shared" ref="AZ177" si="761">AZ176/AV176-1</f>
        <v>0.13847460703927483</v>
      </c>
    </row>
    <row r="178" spans="2:52" outlineLevel="1">
      <c r="B178" s="3"/>
      <c r="G178" s="10"/>
      <c r="H178" s="10"/>
      <c r="I178" s="10"/>
      <c r="K178" s="4"/>
      <c r="L178" s="4"/>
      <c r="M178" s="4"/>
      <c r="N178" s="4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241"/>
      <c r="AC178" s="71"/>
      <c r="AD178" s="71"/>
      <c r="AE178" s="71"/>
      <c r="AF178" s="241"/>
      <c r="AG178" s="71"/>
      <c r="AH178" s="71"/>
      <c r="AI178" s="71"/>
      <c r="AJ178" s="241"/>
      <c r="AK178" s="4"/>
      <c r="AL178" s="4"/>
      <c r="AM178" s="4"/>
      <c r="AN178" s="215"/>
      <c r="AO178" s="4"/>
      <c r="AP178" s="4"/>
      <c r="AQ178" s="4"/>
      <c r="AR178" s="215"/>
      <c r="AS178" s="4"/>
      <c r="AT178" s="4"/>
      <c r="AU178" s="4"/>
      <c r="AV178" s="215"/>
      <c r="AW178" s="4"/>
      <c r="AX178" s="4"/>
      <c r="AY178" s="4"/>
      <c r="AZ178" s="4"/>
    </row>
    <row r="179" spans="2:52" outlineLevel="1">
      <c r="B179" s="11" t="s">
        <v>309</v>
      </c>
      <c r="G179" s="10"/>
      <c r="H179" s="10"/>
      <c r="I179" s="10"/>
      <c r="J179" s="2">
        <f ca="1">J216/J176*1000</f>
        <v>12.73825352496462</v>
      </c>
      <c r="K179" s="2">
        <f ca="1">K216/K176*1000</f>
        <v>12.739629698339904</v>
      </c>
      <c r="L179" s="2">
        <f ca="1">L216/L176*1000</f>
        <v>14.252279195139584</v>
      </c>
      <c r="M179" s="2">
        <f ca="1">M216/M176*1000</f>
        <v>15.706583269351329</v>
      </c>
      <c r="N179" s="2">
        <f ca="1">N216/N176*1000</f>
        <v>17.204086477514952</v>
      </c>
      <c r="AC179" s="150">
        <f t="shared" ref="AC179:AM179" si="762">+AC216/(AC176/1000)</f>
        <v>7.7496206375025629</v>
      </c>
      <c r="AD179" s="150">
        <f t="shared" si="762"/>
        <v>8.4806656421792628</v>
      </c>
      <c r="AE179" s="150">
        <f t="shared" si="762"/>
        <v>10.977323309793434</v>
      </c>
      <c r="AF179" s="250">
        <f t="shared" si="762"/>
        <v>20.560710317572312</v>
      </c>
      <c r="AG179" s="150">
        <f t="shared" si="762"/>
        <v>17.272057127121339</v>
      </c>
      <c r="AH179" s="150">
        <f t="shared" si="762"/>
        <v>21.483293355409074</v>
      </c>
      <c r="AI179" s="150">
        <f t="shared" si="762"/>
        <v>17.533977946155627</v>
      </c>
      <c r="AJ179" s="250">
        <f t="shared" si="762"/>
        <v>13.701191776407127</v>
      </c>
      <c r="AK179" s="150">
        <f t="shared" si="762"/>
        <v>15.190448853495361</v>
      </c>
      <c r="AL179" s="150">
        <f t="shared" si="762"/>
        <v>18.353153562558038</v>
      </c>
      <c r="AM179" s="150">
        <f t="shared" si="762"/>
        <v>23.969998364097968</v>
      </c>
      <c r="AN179" s="250">
        <f t="shared" ref="AN179" si="763">+AN216/(AN176/1000)</f>
        <v>22.023532445247213</v>
      </c>
      <c r="AO179" s="150">
        <f t="shared" ref="AO179:AV179" si="764">+AK179*(1+AO180)</f>
        <v>19.747583509543972</v>
      </c>
      <c r="AP179" s="150">
        <f t="shared" si="764"/>
        <v>19.729640079749892</v>
      </c>
      <c r="AQ179" s="150">
        <f t="shared" si="764"/>
        <v>24.569248323200416</v>
      </c>
      <c r="AR179" s="250">
        <f t="shared" si="764"/>
        <v>22.684238418604629</v>
      </c>
      <c r="AS179" s="150">
        <f t="shared" si="764"/>
        <v>22.709721035975566</v>
      </c>
      <c r="AT179" s="150">
        <f t="shared" si="764"/>
        <v>20.716122083737389</v>
      </c>
      <c r="AU179" s="150">
        <f t="shared" si="764"/>
        <v>25.183479531280422</v>
      </c>
      <c r="AV179" s="250">
        <f t="shared" si="764"/>
        <v>23.818450339534863</v>
      </c>
      <c r="AW179" s="150">
        <f t="shared" ref="AW179" si="765">+AS179*(1+AW180)</f>
        <v>24.980693139573123</v>
      </c>
      <c r="AX179" s="150">
        <f t="shared" ref="AX179" si="766">+AT179*(1+AX180)</f>
        <v>21.544766967086886</v>
      </c>
      <c r="AY179" s="150">
        <f t="shared" ref="AY179" si="767">+AU179*(1+AY180)</f>
        <v>25.561231724249627</v>
      </c>
      <c r="AZ179" s="150">
        <f t="shared" ref="AZ179" si="768">+AV179*(1+AZ180)</f>
        <v>24.771188353116258</v>
      </c>
    </row>
    <row r="180" spans="2:52" outlineLevel="1">
      <c r="B180" s="3" t="s">
        <v>128</v>
      </c>
      <c r="G180" s="10"/>
      <c r="H180" s="10"/>
      <c r="I180" s="10"/>
      <c r="K180" s="4">
        <f ca="1">K179/J179-1</f>
        <v>1.080346982094138E-4</v>
      </c>
      <c r="L180" s="4">
        <f ca="1">L179/K179-1</f>
        <v>0.11873575077278686</v>
      </c>
      <c r="M180" s="4">
        <f ca="1">M179/L179-1</f>
        <v>0.10204010560694754</v>
      </c>
      <c r="N180" s="4">
        <f ca="1">N179/M179-1</f>
        <v>9.5342391307073227E-2</v>
      </c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241"/>
      <c r="AC180" s="71"/>
      <c r="AD180" s="71"/>
      <c r="AE180" s="71"/>
      <c r="AF180" s="241"/>
      <c r="AG180" s="71">
        <f t="shared" ref="AG180:AN180" si="769">AG179/AC179-1</f>
        <v>1.2287616304128575</v>
      </c>
      <c r="AH180" s="71">
        <f t="shared" si="769"/>
        <v>1.5332083897471693</v>
      </c>
      <c r="AI180" s="71">
        <f t="shared" si="769"/>
        <v>0.59729083778671854</v>
      </c>
      <c r="AJ180" s="241">
        <f t="shared" si="769"/>
        <v>-0.33362264412152454</v>
      </c>
      <c r="AK180" s="71">
        <f t="shared" si="769"/>
        <v>-0.12051883908821404</v>
      </c>
      <c r="AL180" s="71">
        <f t="shared" si="769"/>
        <v>-0.14570111486481785</v>
      </c>
      <c r="AM180" s="71">
        <f t="shared" si="769"/>
        <v>0.36705991291345597</v>
      </c>
      <c r="AN180" s="241">
        <f t="shared" si="769"/>
        <v>0.60741728198935263</v>
      </c>
      <c r="AO180" s="234">
        <f>CHOOSE(Case,Scenario!AN24,Scenario!AN12,Scenario!AN36)</f>
        <v>0.3</v>
      </c>
      <c r="AP180" s="66">
        <f>CHOOSE(Case,Scenario!AO24,Scenario!AO12,Scenario!AO36)</f>
        <v>7.4999999999999997E-2</v>
      </c>
      <c r="AQ180" s="66">
        <f>CHOOSE(Case,Scenario!AP24,Scenario!AP12,Scenario!AP36)</f>
        <v>2.5000000000000001E-2</v>
      </c>
      <c r="AR180" s="246">
        <f>CHOOSE(Case,Scenario!AQ24,Scenario!AQ12,Scenario!AQ36)</f>
        <v>0.03</v>
      </c>
      <c r="AS180" s="234">
        <f>CHOOSE(Case,Scenario!AR24,Scenario!AR12,Scenario!AR36)</f>
        <v>0.15</v>
      </c>
      <c r="AT180" s="66">
        <f>CHOOSE(Case,Scenario!AS24,Scenario!AS12,Scenario!AS36)</f>
        <v>0.05</v>
      </c>
      <c r="AU180" s="66">
        <f>CHOOSE(Case,Scenario!AT24,Scenario!AT12,Scenario!AT36)</f>
        <v>2.5000000000000001E-2</v>
      </c>
      <c r="AV180" s="246">
        <f>CHOOSE(Case,Scenario!AU24,Scenario!AU12,Scenario!AU36)</f>
        <v>0.05</v>
      </c>
      <c r="AW180" s="234">
        <f>CHOOSE(Case,Scenario!AV24,Scenario!AV12,Scenario!AV36)</f>
        <v>0.1</v>
      </c>
      <c r="AX180" s="66">
        <f>CHOOSE(Case,Scenario!AW24,Scenario!AW12,Scenario!AW36)</f>
        <v>0.04</v>
      </c>
      <c r="AY180" s="66">
        <f>CHOOSE(Case,Scenario!AX24,Scenario!AX12,Scenario!AX36)</f>
        <v>1.4999999999999999E-2</v>
      </c>
      <c r="AZ180" s="66">
        <f>CHOOSE(Case,Scenario!AY24,Scenario!AY12,Scenario!AY36)</f>
        <v>0.04</v>
      </c>
    </row>
    <row r="181" spans="2:52" outlineLevel="1">
      <c r="B181" s="11"/>
      <c r="G181" s="10"/>
      <c r="H181" s="10"/>
      <c r="I181" s="10"/>
      <c r="AG181" s="10"/>
      <c r="AH181" s="10"/>
      <c r="AI181" s="10"/>
      <c r="AJ181" s="255"/>
      <c r="AK181" s="146"/>
      <c r="AL181" s="146"/>
      <c r="AM181" s="146"/>
    </row>
    <row r="182" spans="2:52" outlineLevel="1">
      <c r="B182" s="11" t="s">
        <v>308</v>
      </c>
      <c r="G182" s="10"/>
      <c r="H182" s="10"/>
      <c r="I182" s="10"/>
      <c r="J182" s="2">
        <f t="shared" ref="J182:N182" ca="1" si="770">J216/J153</f>
        <v>15.681020649030145</v>
      </c>
      <c r="K182" s="2">
        <f t="shared" ca="1" si="770"/>
        <v>20.895645652499443</v>
      </c>
      <c r="L182" s="2">
        <f t="shared" ca="1" si="770"/>
        <v>24.765668686038136</v>
      </c>
      <c r="M182" s="2">
        <f t="shared" ca="1" si="770"/>
        <v>28.786601746233416</v>
      </c>
      <c r="N182" s="2">
        <f t="shared" ca="1" si="770"/>
        <v>33.221593371134588</v>
      </c>
      <c r="AC182" s="2">
        <f t="shared" ref="AC182:AZ182" si="771">AC216/AC153</f>
        <v>1.9484107088817855</v>
      </c>
      <c r="AD182" s="2">
        <f t="shared" si="771"/>
        <v>2.2108722894695809</v>
      </c>
      <c r="AE182" s="2">
        <f t="shared" si="771"/>
        <v>2.5413747106465299</v>
      </c>
      <c r="AF182" s="221">
        <f t="shared" si="771"/>
        <v>4.062211004213113</v>
      </c>
      <c r="AG182" s="2">
        <f t="shared" si="771"/>
        <v>3.142685009376565</v>
      </c>
      <c r="AH182" s="2">
        <f t="shared" si="771"/>
        <v>4.8593754266055873</v>
      </c>
      <c r="AI182" s="2">
        <f t="shared" si="771"/>
        <v>4.1659247342353423</v>
      </c>
      <c r="AJ182" s="221">
        <f t="shared" si="771"/>
        <v>3.5702210974960042</v>
      </c>
      <c r="AK182" s="2">
        <f t="shared" si="771"/>
        <v>3.7567504055464456</v>
      </c>
      <c r="AL182" s="2">
        <f t="shared" si="771"/>
        <v>4.8916701470486998</v>
      </c>
      <c r="AM182" s="2">
        <f t="shared" si="771"/>
        <v>6.4534006787870783</v>
      </c>
      <c r="AN182" s="221">
        <f t="shared" si="771"/>
        <v>5.7711796391058439</v>
      </c>
      <c r="AO182" s="2">
        <f t="shared" si="771"/>
        <v>5.2446534639043714</v>
      </c>
      <c r="AP182" s="2">
        <f t="shared" si="771"/>
        <v>5.606016278043005</v>
      </c>
      <c r="AQ182" s="2">
        <f t="shared" si="771"/>
        <v>7.2707878307521261</v>
      </c>
      <c r="AR182" s="221">
        <f t="shared" si="771"/>
        <v>6.5617650552919233</v>
      </c>
      <c r="AS182" s="2">
        <f t="shared" si="771"/>
        <v>6.479894744605093</v>
      </c>
      <c r="AT182" s="2">
        <f t="shared" si="771"/>
        <v>6.3638380000858881</v>
      </c>
      <c r="AU182" s="2">
        <f t="shared" si="771"/>
        <v>8.2916948370052381</v>
      </c>
      <c r="AV182" s="221">
        <f t="shared" si="771"/>
        <v>7.5900338299863961</v>
      </c>
      <c r="AW182" s="2">
        <f t="shared" si="771"/>
        <v>7.7407978168625036</v>
      </c>
      <c r="AX182" s="2">
        <f t="shared" si="771"/>
        <v>7.2104108159390581</v>
      </c>
      <c r="AY182" s="2">
        <f t="shared" si="771"/>
        <v>9.4482323004191215</v>
      </c>
      <c r="AZ182" s="2">
        <f t="shared" si="771"/>
        <v>8.7790875655876803</v>
      </c>
    </row>
    <row r="183" spans="2:52" outlineLevel="1">
      <c r="B183" s="3" t="s">
        <v>128</v>
      </c>
      <c r="G183" s="10"/>
      <c r="H183" s="10"/>
      <c r="I183" s="10"/>
      <c r="K183" s="4">
        <f ca="1">K182/J182-1</f>
        <v>0.33254372404590993</v>
      </c>
      <c r="L183" s="4">
        <f ca="1">L182/K182-1</f>
        <v>0.18520715262396203</v>
      </c>
      <c r="M183" s="4">
        <f ca="1">M182/L182-1</f>
        <v>0.16235915578011895</v>
      </c>
      <c r="N183" s="4">
        <f ca="1">N182/M182-1</f>
        <v>0.15406443817153481</v>
      </c>
      <c r="AG183" s="10"/>
      <c r="AH183" s="10"/>
      <c r="AI183" s="10"/>
      <c r="AJ183" s="255"/>
      <c r="AK183" s="4">
        <f t="shared" ref="AK183:AV183" si="772">AK182/AG182-1</f>
        <v>0.19539514597795993</v>
      </c>
      <c r="AL183" s="4">
        <f t="shared" si="772"/>
        <v>6.6458582858808235E-3</v>
      </c>
      <c r="AM183" s="4">
        <f t="shared" si="772"/>
        <v>0.54909200009145231</v>
      </c>
      <c r="AN183" s="215">
        <f t="shared" si="772"/>
        <v>0.61647681796331755</v>
      </c>
      <c r="AO183" s="4">
        <f t="shared" si="772"/>
        <v>0.39606119591048539</v>
      </c>
      <c r="AP183" s="4">
        <f t="shared" si="772"/>
        <v>0.14603317671067684</v>
      </c>
      <c r="AQ183" s="4">
        <f t="shared" si="772"/>
        <v>0.1266599104332502</v>
      </c>
      <c r="AR183" s="215">
        <f t="shared" si="772"/>
        <v>0.13698853018350476</v>
      </c>
      <c r="AS183" s="4">
        <f t="shared" si="772"/>
        <v>0.23552390814800361</v>
      </c>
      <c r="AT183" s="4">
        <f t="shared" si="772"/>
        <v>0.13518007876841742</v>
      </c>
      <c r="AU183" s="4">
        <f t="shared" si="772"/>
        <v>0.1404121575292212</v>
      </c>
      <c r="AV183" s="215">
        <f t="shared" si="772"/>
        <v>0.15670612495721659</v>
      </c>
      <c r="AW183" s="4">
        <f t="shared" ref="AW183" si="773">AW182/AS182-1</f>
        <v>0.1945869681459238</v>
      </c>
      <c r="AX183" s="4">
        <f t="shared" ref="AX183" si="774">AX182/AT182-1</f>
        <v>0.13302865595286129</v>
      </c>
      <c r="AY183" s="4">
        <f t="shared" ref="AY183" si="775">AY182/AU182-1</f>
        <v>0.13948143125725521</v>
      </c>
      <c r="AZ183" s="4">
        <f t="shared" ref="AZ183" si="776">AZ182/AV182-1</f>
        <v>0.15665987296441553</v>
      </c>
    </row>
    <row r="184" spans="2:52" outlineLevel="1">
      <c r="G184" s="10"/>
      <c r="H184" s="10"/>
      <c r="I184" s="10"/>
    </row>
    <row r="185" spans="2:52" outlineLevel="1">
      <c r="B185" s="1" t="s">
        <v>505</v>
      </c>
      <c r="I185" s="67">
        <v>868.46100000000001</v>
      </c>
      <c r="J185" s="67">
        <v>1214.634</v>
      </c>
      <c r="K185" s="67">
        <v>1633.82</v>
      </c>
    </row>
    <row r="186" spans="2:52" outlineLevel="1">
      <c r="B186" s="1" t="s">
        <v>610</v>
      </c>
      <c r="I186" s="58">
        <f ca="1">I185+I216</f>
        <v>4268.3959999999997</v>
      </c>
      <c r="J186" s="58">
        <f t="shared" ref="J186:K186" ca="1" si="777">J185+J216</f>
        <v>6865</v>
      </c>
      <c r="K186" s="58">
        <f t="shared" ca="1" si="777"/>
        <v>9792.7440000000006</v>
      </c>
    </row>
    <row r="187" spans="2:52" outlineLevel="1">
      <c r="B187" s="3" t="s">
        <v>611</v>
      </c>
      <c r="G187" s="10"/>
      <c r="H187" s="10"/>
      <c r="I187" s="4">
        <f ca="1">I185/I186</f>
        <v>0.20346308074508551</v>
      </c>
      <c r="J187" s="4">
        <f t="shared" ref="J187:K187" ca="1" si="778">J185/J186</f>
        <v>0.17693139111434814</v>
      </c>
      <c r="K187" s="4">
        <f t="shared" ca="1" si="778"/>
        <v>0.166839856122043</v>
      </c>
    </row>
    <row r="188" spans="2:52" outlineLevel="1">
      <c r="G188" s="10"/>
      <c r="H188" s="10"/>
      <c r="I188" s="10"/>
    </row>
    <row r="189" spans="2:52" outlineLevel="1">
      <c r="B189" s="1" t="s">
        <v>545</v>
      </c>
      <c r="G189" s="10"/>
      <c r="H189" s="10"/>
      <c r="I189" s="10"/>
      <c r="J189" s="2">
        <f ca="1">AVERAGE(OFFSET($P189,0,J$1,1,4))</f>
        <v>22.5</v>
      </c>
      <c r="K189" s="2">
        <f ca="1">AVERAGE(OFFSET($P189,0,K$1,1,4))</f>
        <v>42.5</v>
      </c>
      <c r="L189" s="2">
        <f ca="1">AVERAGE(OFFSET($P189,0,L$1,1,4))</f>
        <v>68.820962500000007</v>
      </c>
      <c r="M189" s="2">
        <f ca="1">AVERAGE(OFFSET($P189,0,M$1,1,4))</f>
        <v>93.848675459143379</v>
      </c>
      <c r="N189" s="2">
        <f ca="1">AVERAGE(OFFSET($P189,0,N$1,1,4))</f>
        <v>126.08601289479208</v>
      </c>
      <c r="AC189" s="80"/>
      <c r="AD189" s="177">
        <v>5</v>
      </c>
      <c r="AE189" s="177">
        <v>7</v>
      </c>
      <c r="AF189" s="239">
        <v>10.7</v>
      </c>
      <c r="AG189" s="177">
        <v>15</v>
      </c>
      <c r="AH189" s="177">
        <v>20</v>
      </c>
      <c r="AI189" s="177">
        <v>25</v>
      </c>
      <c r="AJ189" s="239">
        <v>30</v>
      </c>
      <c r="AK189" s="177">
        <v>35</v>
      </c>
      <c r="AL189" s="177">
        <v>40</v>
      </c>
      <c r="AM189" s="177">
        <v>45</v>
      </c>
      <c r="AN189" s="239">
        <v>50</v>
      </c>
      <c r="AO189" s="2">
        <f t="shared" ref="AO189:AV189" si="779">+AN189*(1+AO191)</f>
        <v>61</v>
      </c>
      <c r="AP189" s="2">
        <f t="shared" si="779"/>
        <v>67.100000000000009</v>
      </c>
      <c r="AQ189" s="2">
        <f t="shared" si="779"/>
        <v>71.797000000000011</v>
      </c>
      <c r="AR189" s="221">
        <f t="shared" si="779"/>
        <v>75.38685000000001</v>
      </c>
      <c r="AS189" s="2">
        <f t="shared" si="779"/>
        <v>83.679403500000021</v>
      </c>
      <c r="AT189" s="2">
        <f t="shared" si="779"/>
        <v>91.62894683250002</v>
      </c>
      <c r="AU189" s="2">
        <f t="shared" si="779"/>
        <v>97.722271796861278</v>
      </c>
      <c r="AV189" s="221">
        <f t="shared" si="779"/>
        <v>102.3640797072122</v>
      </c>
      <c r="AW189" s="2">
        <f t="shared" ref="AW189" si="780">+AV189*(1+AW191)</f>
        <v>113.06112603661587</v>
      </c>
      <c r="AX189" s="2">
        <f t="shared" ref="AX189" si="781">+AW189*(1+AX191)</f>
        <v>123.26489266142045</v>
      </c>
      <c r="AY189" s="2">
        <f t="shared" ref="AY189" si="782">+AX189*(1+AY191)</f>
        <v>131.05215225530569</v>
      </c>
      <c r="AZ189" s="2">
        <f t="shared" ref="AZ189" si="783">+AY189*(1+AZ191)</f>
        <v>136.96588062582637</v>
      </c>
    </row>
    <row r="190" spans="2:52" outlineLevel="1">
      <c r="B190" s="3" t="s">
        <v>305</v>
      </c>
      <c r="G190" s="10"/>
      <c r="H190" s="10"/>
      <c r="I190" s="10"/>
      <c r="K190" s="4">
        <f ca="1">K189/J189-1</f>
        <v>0.88888888888888884</v>
      </c>
      <c r="L190" s="4">
        <f ca="1">L189/K189-1</f>
        <v>0.61931676470588259</v>
      </c>
      <c r="M190" s="4">
        <f ca="1">M189/L189-1</f>
        <v>0.36366409375840059</v>
      </c>
      <c r="N190" s="4">
        <f ca="1">N189/M189-1</f>
        <v>0.34350338220471843</v>
      </c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241"/>
      <c r="AC190" s="71"/>
      <c r="AD190" s="71"/>
      <c r="AE190" s="71"/>
      <c r="AH190" s="4">
        <f t="shared" ref="AH190:AV190" si="784">AH189/AD189-1</f>
        <v>3</v>
      </c>
      <c r="AI190" s="4">
        <f t="shared" si="784"/>
        <v>2.5714285714285716</v>
      </c>
      <c r="AJ190" s="215">
        <f t="shared" si="784"/>
        <v>1.8037383177570097</v>
      </c>
      <c r="AK190" s="4">
        <f t="shared" si="784"/>
        <v>1.3333333333333335</v>
      </c>
      <c r="AL190" s="4">
        <f t="shared" si="784"/>
        <v>1</v>
      </c>
      <c r="AM190" s="4">
        <f t="shared" si="784"/>
        <v>0.8</v>
      </c>
      <c r="AN190" s="215">
        <f t="shared" si="784"/>
        <v>0.66666666666666674</v>
      </c>
      <c r="AO190" s="4">
        <f t="shared" si="784"/>
        <v>0.74285714285714288</v>
      </c>
      <c r="AP190" s="4">
        <f t="shared" si="784"/>
        <v>0.67750000000000021</v>
      </c>
      <c r="AQ190" s="4">
        <f t="shared" si="784"/>
        <v>0.59548888888888918</v>
      </c>
      <c r="AR190" s="215">
        <f t="shared" si="784"/>
        <v>0.5077370000000001</v>
      </c>
      <c r="AS190" s="4">
        <f t="shared" si="784"/>
        <v>0.37179350000000033</v>
      </c>
      <c r="AT190" s="4">
        <f t="shared" si="784"/>
        <v>0.36555807500000004</v>
      </c>
      <c r="AU190" s="4">
        <f t="shared" si="784"/>
        <v>0.36109129625000014</v>
      </c>
      <c r="AV190" s="215">
        <f t="shared" si="784"/>
        <v>0.35785060268750035</v>
      </c>
      <c r="AW190" s="4">
        <f t="shared" ref="AW190" si="785">AW189/AS189-1</f>
        <v>0.35112251411562512</v>
      </c>
      <c r="AX190" s="4">
        <f t="shared" ref="AX190" si="786">AX189/AT189-1</f>
        <v>0.34526148037859383</v>
      </c>
      <c r="AY190" s="4">
        <f t="shared" ref="AY190" si="787">AY189/AU189-1</f>
        <v>0.34106739278153908</v>
      </c>
      <c r="AZ190" s="4">
        <f t="shared" ref="AZ190" si="788">AZ189/AV189-1</f>
        <v>0.338026786521056</v>
      </c>
    </row>
    <row r="191" spans="2:52" outlineLevel="1">
      <c r="B191" s="3" t="s">
        <v>307</v>
      </c>
      <c r="G191" s="10"/>
      <c r="H191" s="10"/>
      <c r="I191" s="10"/>
      <c r="K191" s="4"/>
      <c r="L191" s="4"/>
      <c r="M191" s="4"/>
      <c r="N191" s="4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241"/>
      <c r="AC191" s="71"/>
      <c r="AD191" s="71"/>
      <c r="AE191" s="71"/>
      <c r="AF191" s="215">
        <f t="shared" ref="AF191:AN191" si="789">+AF189/AE189-1</f>
        <v>0.52857142857142847</v>
      </c>
      <c r="AG191" s="4">
        <f t="shared" si="789"/>
        <v>0.40186915887850483</v>
      </c>
      <c r="AH191" s="4">
        <f t="shared" si="789"/>
        <v>0.33333333333333326</v>
      </c>
      <c r="AI191" s="4">
        <f t="shared" si="789"/>
        <v>0.25</v>
      </c>
      <c r="AJ191" s="215">
        <f t="shared" si="789"/>
        <v>0.19999999999999996</v>
      </c>
      <c r="AK191" s="4">
        <f t="shared" si="789"/>
        <v>0.16666666666666674</v>
      </c>
      <c r="AL191" s="4">
        <f t="shared" si="789"/>
        <v>0.14285714285714279</v>
      </c>
      <c r="AM191" s="4">
        <f t="shared" si="789"/>
        <v>0.125</v>
      </c>
      <c r="AN191" s="215">
        <f t="shared" si="789"/>
        <v>0.11111111111111116</v>
      </c>
      <c r="AO191" s="234">
        <f>CHOOSE(Case,Scenario!AN26,Scenario!AN14,Scenario!AN38)</f>
        <v>0.22</v>
      </c>
      <c r="AP191" s="66">
        <f>CHOOSE(Case,Scenario!AO26,Scenario!AO14,Scenario!AO38)</f>
        <v>0.1</v>
      </c>
      <c r="AQ191" s="66">
        <f>CHOOSE(Case,Scenario!AP26,Scenario!AP14,Scenario!AP38)</f>
        <v>7.0000000000000007E-2</v>
      </c>
      <c r="AR191" s="246">
        <f>CHOOSE(Case,Scenario!AQ26,Scenario!AQ14,Scenario!AQ38)</f>
        <v>0.05</v>
      </c>
      <c r="AS191" s="234">
        <f>CHOOSE(Case,Scenario!AR26,Scenario!AR14,Scenario!AR38)</f>
        <v>0.11</v>
      </c>
      <c r="AT191" s="66">
        <f>CHOOSE(Case,Scenario!AS26,Scenario!AS14,Scenario!AS38)</f>
        <v>9.5000000000000001E-2</v>
      </c>
      <c r="AU191" s="66">
        <f>CHOOSE(Case,Scenario!AT26,Scenario!AT14,Scenario!AT38)</f>
        <v>6.6500000000000004E-2</v>
      </c>
      <c r="AV191" s="246">
        <f>CHOOSE(Case,Scenario!AU26,Scenario!AU14,Scenario!AU38)</f>
        <v>4.7500000000000001E-2</v>
      </c>
      <c r="AW191" s="234">
        <f>CHOOSE(Case,Scenario!AV26,Scenario!AV14,Scenario!AV38)</f>
        <v>0.1045</v>
      </c>
      <c r="AX191" s="66">
        <f>CHOOSE(Case,Scenario!AW26,Scenario!AW14,Scenario!AW38)</f>
        <v>9.0249999999999997E-2</v>
      </c>
      <c r="AY191" s="66">
        <f>CHOOSE(Case,Scenario!AX26,Scenario!AX14,Scenario!AX38)</f>
        <v>6.3174999999999995E-2</v>
      </c>
      <c r="AZ191" s="66">
        <f>CHOOSE(Case,Scenario!AY26,Scenario!AY14,Scenario!AY38)</f>
        <v>4.5124999999999998E-2</v>
      </c>
    </row>
    <row r="192" spans="2:52" outlineLevel="1">
      <c r="B192" s="3" t="s">
        <v>438</v>
      </c>
      <c r="G192" s="10"/>
      <c r="H192" s="10"/>
      <c r="I192" s="10"/>
      <c r="J192" s="71">
        <f ca="1">J189/J150</f>
        <v>5.8772590148926045E-2</v>
      </c>
      <c r="K192" s="71">
        <f t="shared" ref="K192:N192" ca="1" si="790">K189/K150</f>
        <v>9.8161382322694515E-2</v>
      </c>
      <c r="L192" s="71">
        <f t="shared" ca="1" si="790"/>
        <v>0.15006575683087348</v>
      </c>
      <c r="M192" s="71">
        <f t="shared" ca="1" si="790"/>
        <v>0.1888884341855899</v>
      </c>
      <c r="N192" s="71">
        <f t="shared" ca="1" si="790"/>
        <v>0.23604773278885396</v>
      </c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241"/>
      <c r="AC192" s="71"/>
      <c r="AD192" s="71">
        <f>AD189/AD150</f>
        <v>1.8674677893402918E-2</v>
      </c>
      <c r="AE192" s="71">
        <f t="shared" ref="AE192:AZ192" si="791">AE189/AE150</f>
        <v>2.0431964190066838E-2</v>
      </c>
      <c r="AF192" s="241">
        <f t="shared" si="791"/>
        <v>2.9274965800273597E-2</v>
      </c>
      <c r="AG192" s="71">
        <f t="shared" si="791"/>
        <v>4.1216864545750222E-2</v>
      </c>
      <c r="AH192" s="71">
        <f t="shared" si="791"/>
        <v>5.7680870452097591E-2</v>
      </c>
      <c r="AI192" s="71">
        <f t="shared" si="791"/>
        <v>6.0202960334407932E-2</v>
      </c>
      <c r="AJ192" s="241">
        <f t="shared" si="791"/>
        <v>7.4000986679822398E-2</v>
      </c>
      <c r="AK192" s="71">
        <f t="shared" si="791"/>
        <v>8.1926414624459293E-2</v>
      </c>
      <c r="AL192" s="71">
        <f t="shared" si="791"/>
        <v>9.2992236152605198E-2</v>
      </c>
      <c r="AM192" s="71">
        <f t="shared" si="791"/>
        <v>9.9297004883539236E-2</v>
      </c>
      <c r="AN192" s="241">
        <f t="shared" si="791"/>
        <v>0.11868027533823879</v>
      </c>
      <c r="AO192" s="71">
        <f t="shared" si="791"/>
        <v>0.13856623683851599</v>
      </c>
      <c r="AP192" s="71">
        <f t="shared" si="791"/>
        <v>0.14853995513866494</v>
      </c>
      <c r="AQ192" s="71">
        <f t="shared" si="791"/>
        <v>0.14984046312231955</v>
      </c>
      <c r="AR192" s="241">
        <f t="shared" si="791"/>
        <v>0.1627128467015137</v>
      </c>
      <c r="AS192" s="71">
        <f t="shared" si="791"/>
        <v>0.17492633366187699</v>
      </c>
      <c r="AT192" s="71">
        <f t="shared" si="791"/>
        <v>0.1868631369873254</v>
      </c>
      <c r="AU192" s="71">
        <f t="shared" si="791"/>
        <v>0.1902486475577036</v>
      </c>
      <c r="AV192" s="241">
        <f t="shared" si="791"/>
        <v>0.20269700638408183</v>
      </c>
      <c r="AW192" s="71">
        <f t="shared" si="791"/>
        <v>0.219248202113522</v>
      </c>
      <c r="AX192" s="71">
        <f t="shared" si="791"/>
        <v>0.23341824624333285</v>
      </c>
      <c r="AY192" s="71">
        <f t="shared" si="791"/>
        <v>0.23960955837755774</v>
      </c>
      <c r="AZ192" s="71">
        <f t="shared" si="791"/>
        <v>0.25089178916700372</v>
      </c>
    </row>
    <row r="193" spans="2:52" outlineLevel="1">
      <c r="B193" s="1" t="s">
        <v>544</v>
      </c>
      <c r="G193" s="10"/>
      <c r="H193" s="10"/>
      <c r="I193" s="10"/>
      <c r="J193" s="2"/>
      <c r="K193" s="2"/>
      <c r="L193" s="2"/>
      <c r="M193" s="2"/>
      <c r="N193" s="2"/>
      <c r="AC193" s="80"/>
      <c r="AD193" s="80"/>
      <c r="AE193" s="80"/>
      <c r="AF193" s="239">
        <v>10.7</v>
      </c>
      <c r="AG193" s="80"/>
      <c r="AH193" s="80"/>
      <c r="AI193" s="80"/>
      <c r="AJ193" s="239">
        <v>30.2</v>
      </c>
      <c r="AK193" s="80"/>
      <c r="AL193" s="80"/>
      <c r="AM193" s="80"/>
      <c r="AN193" s="239">
        <v>50.8</v>
      </c>
      <c r="AO193" s="2"/>
      <c r="AP193" s="2"/>
      <c r="AQ193" s="2"/>
      <c r="AR193" s="221"/>
      <c r="AS193" s="2"/>
      <c r="AT193" s="2"/>
      <c r="AU193" s="2"/>
      <c r="AV193" s="221"/>
      <c r="AW193" s="2"/>
      <c r="AX193" s="2"/>
      <c r="AY193" s="2"/>
      <c r="AZ193" s="2"/>
    </row>
    <row r="194" spans="2:52" outlineLevel="1">
      <c r="B194" s="3" t="s">
        <v>305</v>
      </c>
      <c r="G194" s="10"/>
      <c r="H194" s="10"/>
      <c r="I194" s="10"/>
      <c r="K194" s="4"/>
      <c r="L194" s="4"/>
      <c r="M194" s="4"/>
      <c r="N194" s="4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241"/>
      <c r="AC194" s="71"/>
      <c r="AD194" s="71"/>
      <c r="AE194" s="71"/>
      <c r="AH194" s="4"/>
      <c r="AI194" s="4"/>
      <c r="AJ194" s="215"/>
      <c r="AK194" s="4"/>
      <c r="AL194" s="4"/>
      <c r="AM194" s="4"/>
      <c r="AN194" s="215"/>
      <c r="AO194" s="4"/>
      <c r="AP194" s="4"/>
      <c r="AQ194" s="4"/>
      <c r="AR194" s="215"/>
      <c r="AS194" s="4"/>
      <c r="AT194" s="4"/>
      <c r="AU194" s="4"/>
      <c r="AV194" s="215"/>
      <c r="AW194" s="4"/>
      <c r="AX194" s="4"/>
      <c r="AY194" s="4"/>
      <c r="AZ194" s="4"/>
    </row>
    <row r="195" spans="2:52" outlineLevel="1">
      <c r="B195" s="3" t="s">
        <v>307</v>
      </c>
      <c r="G195" s="10"/>
      <c r="H195" s="10"/>
      <c r="I195" s="10"/>
      <c r="K195" s="4"/>
      <c r="L195" s="4"/>
      <c r="M195" s="4"/>
      <c r="N195" s="4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241"/>
      <c r="AC195" s="71"/>
      <c r="AD195" s="71"/>
      <c r="AE195" s="71"/>
      <c r="AF195" s="215"/>
      <c r="AG195" s="4"/>
      <c r="AH195" s="4"/>
      <c r="AI195" s="4"/>
      <c r="AJ195" s="215"/>
      <c r="AK195" s="4"/>
      <c r="AL195" s="4"/>
      <c r="AM195" s="4"/>
      <c r="AN195" s="215"/>
      <c r="AO195" s="234"/>
      <c r="AP195" s="66"/>
      <c r="AQ195" s="66"/>
      <c r="AR195" s="246"/>
      <c r="AS195" s="234"/>
      <c r="AT195" s="66"/>
      <c r="AU195" s="66"/>
      <c r="AV195" s="246"/>
      <c r="AW195" s="234"/>
      <c r="AX195" s="66"/>
      <c r="AY195" s="66"/>
      <c r="AZ195" s="66"/>
    </row>
    <row r="196" spans="2:52" outlineLevel="1">
      <c r="B196" s="1" t="s">
        <v>306</v>
      </c>
      <c r="G196" s="10"/>
      <c r="H196" s="10"/>
      <c r="I196" s="10"/>
      <c r="J196" s="2">
        <f ca="1">J218/J189</f>
        <v>167.20813333333334</v>
      </c>
      <c r="K196" s="2">
        <f ca="1">K218/K189</f>
        <v>153.78889411764706</v>
      </c>
      <c r="L196" s="2">
        <f ca="1">L218/L189</f>
        <v>155.42204690990857</v>
      </c>
      <c r="M196" s="2">
        <f ca="1">M218/M189</f>
        <v>162.31365305992196</v>
      </c>
      <c r="N196" s="2">
        <f ca="1">N218/N189</f>
        <v>167.89799565665416</v>
      </c>
      <c r="AC196" s="2"/>
      <c r="AD196" s="2">
        <f t="shared" ref="AD196:AM196" si="792">AD218/AD189/3</f>
        <v>14.173724029665609</v>
      </c>
      <c r="AE196" s="2">
        <f t="shared" si="792"/>
        <v>11.901529996144509</v>
      </c>
      <c r="AF196" s="221">
        <f t="shared" si="792"/>
        <v>9.8540162362765784</v>
      </c>
      <c r="AG196" s="2">
        <f t="shared" si="792"/>
        <v>8.7054106010300725</v>
      </c>
      <c r="AH196" s="2">
        <f t="shared" si="792"/>
        <v>15.65090871589411</v>
      </c>
      <c r="AI196" s="2">
        <f t="shared" si="792"/>
        <v>15.579106666666666</v>
      </c>
      <c r="AJ196" s="221">
        <f t="shared" si="792"/>
        <v>14.0328</v>
      </c>
      <c r="AK196" s="2">
        <f t="shared" si="792"/>
        <v>12.666438095238098</v>
      </c>
      <c r="AL196" s="2">
        <f t="shared" si="792"/>
        <v>13.162750000000001</v>
      </c>
      <c r="AM196" s="2">
        <f t="shared" si="792"/>
        <v>12.568125925925925</v>
      </c>
      <c r="AN196" s="221">
        <f t="shared" ref="AN196" si="793">AN218/AN189/3</f>
        <v>12.865499999999999</v>
      </c>
      <c r="AO196" s="2">
        <f t="shared" ref="AO196:AV196" si="794">AK196*(1+AO197)</f>
        <v>12.033116190476193</v>
      </c>
      <c r="AP196" s="2">
        <f t="shared" si="794"/>
        <v>12.899495</v>
      </c>
      <c r="AQ196" s="2">
        <f t="shared" si="794"/>
        <v>13.196532222222221</v>
      </c>
      <c r="AR196" s="221">
        <f t="shared" si="794"/>
        <v>13.508775</v>
      </c>
      <c r="AS196" s="2">
        <f t="shared" si="794"/>
        <v>12.634772000000003</v>
      </c>
      <c r="AT196" s="2">
        <f t="shared" si="794"/>
        <v>13.544469750000001</v>
      </c>
      <c r="AU196" s="2">
        <f t="shared" si="794"/>
        <v>13.72439351111111</v>
      </c>
      <c r="AV196" s="221">
        <f t="shared" si="794"/>
        <v>14.049126000000001</v>
      </c>
      <c r="AW196" s="2">
        <f t="shared" ref="AW196" si="795">AS196*(1+AW197)</f>
        <v>13.140162880000004</v>
      </c>
      <c r="AX196" s="2">
        <f t="shared" ref="AX196" si="796">AT196*(1+AX197)</f>
        <v>14.086248540000001</v>
      </c>
      <c r="AY196" s="2">
        <f t="shared" ref="AY196" si="797">AU196*(1+AY197)</f>
        <v>14.136125316444444</v>
      </c>
      <c r="AZ196" s="2">
        <f t="shared" ref="AZ196" si="798">AV196*(1+AZ197)</f>
        <v>14.470599780000002</v>
      </c>
    </row>
    <row r="197" spans="2:52" outlineLevel="1">
      <c r="B197" s="3" t="s">
        <v>305</v>
      </c>
      <c r="G197" s="10"/>
      <c r="H197" s="10"/>
      <c r="I197" s="10"/>
      <c r="J197" s="2"/>
      <c r="K197" s="2"/>
      <c r="L197" s="2"/>
      <c r="M197" s="2"/>
      <c r="N197" s="2"/>
      <c r="AC197" s="2"/>
      <c r="AD197" s="2"/>
      <c r="AE197" s="2"/>
      <c r="AF197" s="221"/>
      <c r="AG197" s="2"/>
      <c r="AH197" s="4">
        <f t="shared" ref="AH197:AN197" si="799">AH196/AD196-1</f>
        <v>0.10421994128972401</v>
      </c>
      <c r="AI197" s="4">
        <f t="shared" si="799"/>
        <v>0.30900032783293452</v>
      </c>
      <c r="AJ197" s="215">
        <f t="shared" si="799"/>
        <v>0.42406909665316417</v>
      </c>
      <c r="AK197" s="4">
        <f t="shared" si="799"/>
        <v>0.45500754366937435</v>
      </c>
      <c r="AL197" s="4">
        <f t="shared" si="799"/>
        <v>-0.15897854629790831</v>
      </c>
      <c r="AM197" s="4">
        <f t="shared" si="799"/>
        <v>-0.19327043617867312</v>
      </c>
      <c r="AN197" s="215">
        <f t="shared" si="799"/>
        <v>-8.3183683940482367E-2</v>
      </c>
      <c r="AO197" s="234">
        <f>CHOOSE(Case,Scenario!AN27,Scenario!AN15,Scenario!AN39)</f>
        <v>-0.05</v>
      </c>
      <c r="AP197" s="66">
        <f>CHOOSE(Case,Scenario!AO27,Scenario!AO15,Scenario!AO39)</f>
        <v>-0.02</v>
      </c>
      <c r="AQ197" s="66">
        <f>CHOOSE(Case,Scenario!AP27,Scenario!AP15,Scenario!AP39)</f>
        <v>0.05</v>
      </c>
      <c r="AR197" s="246">
        <f>CHOOSE(Case,Scenario!AQ27,Scenario!AQ15,Scenario!AQ39)</f>
        <v>0.05</v>
      </c>
      <c r="AS197" s="234">
        <f>CHOOSE(Case,Scenario!AR27,Scenario!AR15,Scenario!AR39)</f>
        <v>0.05</v>
      </c>
      <c r="AT197" s="66">
        <f>CHOOSE(Case,Scenario!AS27,Scenario!AS15,Scenario!AS39)</f>
        <v>0.05</v>
      </c>
      <c r="AU197" s="66">
        <f>CHOOSE(Case,Scenario!AT27,Scenario!AT15,Scenario!AT39)</f>
        <v>0.04</v>
      </c>
      <c r="AV197" s="246">
        <f>CHOOSE(Case,Scenario!AU27,Scenario!AU15,Scenario!AU39)</f>
        <v>0.04</v>
      </c>
      <c r="AW197" s="234">
        <f>CHOOSE(Case,Scenario!AV27,Scenario!AV15,Scenario!AV39)</f>
        <v>0.04</v>
      </c>
      <c r="AX197" s="66">
        <f>CHOOSE(Case,Scenario!AW27,Scenario!AW15,Scenario!AW39)</f>
        <v>0.04</v>
      </c>
      <c r="AY197" s="66">
        <f>CHOOSE(Case,Scenario!AX27,Scenario!AX15,Scenario!AX39)</f>
        <v>0.03</v>
      </c>
      <c r="AZ197" s="66">
        <f>CHOOSE(Case,Scenario!AY27,Scenario!AY15,Scenario!AY39)</f>
        <v>0.03</v>
      </c>
    </row>
    <row r="198" spans="2:52" outlineLevel="1">
      <c r="B198" s="1" t="s">
        <v>304</v>
      </c>
      <c r="G198" s="10"/>
      <c r="H198" s="10"/>
      <c r="I198" s="10"/>
      <c r="J198" s="2"/>
      <c r="K198" s="2"/>
      <c r="L198" s="2"/>
      <c r="M198" s="2"/>
      <c r="N198" s="2"/>
      <c r="AC198" s="2"/>
      <c r="AD198" s="2"/>
      <c r="AE198" s="2"/>
      <c r="AF198" s="221"/>
      <c r="AG198" s="2"/>
      <c r="AH198" s="2"/>
      <c r="AI198" s="2"/>
      <c r="AJ198" s="221"/>
      <c r="AK198" s="2"/>
      <c r="AL198" s="2"/>
      <c r="AM198" s="2"/>
      <c r="AN198" s="221"/>
      <c r="AO198" s="2"/>
      <c r="AP198" s="2"/>
      <c r="AQ198" s="2"/>
      <c r="AR198" s="221"/>
      <c r="AS198" s="2"/>
      <c r="AT198" s="2"/>
      <c r="AU198" s="2"/>
      <c r="AV198" s="221"/>
      <c r="AW198" s="2"/>
      <c r="AX198" s="2"/>
      <c r="AY198" s="2"/>
      <c r="AZ198" s="2"/>
    </row>
    <row r="199" spans="2:52" outlineLevel="1">
      <c r="B199" s="3" t="s">
        <v>299</v>
      </c>
      <c r="G199" s="10"/>
      <c r="H199" s="10"/>
      <c r="I199" s="10"/>
      <c r="AE199" s="80">
        <v>19.8</v>
      </c>
      <c r="AF199" s="221">
        <f t="shared" ref="AF199:AM199" si="800">+AE199</f>
        <v>19.8</v>
      </c>
      <c r="AG199" s="2">
        <f t="shared" si="800"/>
        <v>19.8</v>
      </c>
      <c r="AH199" s="2">
        <f t="shared" si="800"/>
        <v>19.8</v>
      </c>
      <c r="AI199" s="2">
        <f t="shared" si="800"/>
        <v>19.8</v>
      </c>
      <c r="AJ199" s="221">
        <f t="shared" si="800"/>
        <v>19.8</v>
      </c>
      <c r="AK199" s="2">
        <f t="shared" si="800"/>
        <v>19.8</v>
      </c>
      <c r="AL199" s="2">
        <f t="shared" si="800"/>
        <v>19.8</v>
      </c>
      <c r="AM199" s="2">
        <f t="shared" si="800"/>
        <v>19.8</v>
      </c>
      <c r="AN199" s="221">
        <v>15</v>
      </c>
      <c r="AO199" s="2">
        <f>+AN199</f>
        <v>15</v>
      </c>
      <c r="AP199" s="2">
        <f>AM199</f>
        <v>19.8</v>
      </c>
      <c r="AQ199" s="2">
        <f t="shared" ref="AQ199:AV201" si="801">AP199</f>
        <v>19.8</v>
      </c>
      <c r="AR199" s="221">
        <f t="shared" si="801"/>
        <v>19.8</v>
      </c>
      <c r="AS199" s="2">
        <f t="shared" si="801"/>
        <v>19.8</v>
      </c>
      <c r="AT199" s="2">
        <f t="shared" si="801"/>
        <v>19.8</v>
      </c>
      <c r="AU199" s="2">
        <f t="shared" si="801"/>
        <v>19.8</v>
      </c>
      <c r="AV199" s="221">
        <f t="shared" si="801"/>
        <v>19.8</v>
      </c>
      <c r="AW199" s="2">
        <f t="shared" ref="AW199:AW201" si="802">AV199</f>
        <v>19.8</v>
      </c>
      <c r="AX199" s="2">
        <f t="shared" ref="AX199:AX201" si="803">AW199</f>
        <v>19.8</v>
      </c>
      <c r="AY199" s="2">
        <f t="shared" ref="AY199:AY201" si="804">AX199</f>
        <v>19.8</v>
      </c>
      <c r="AZ199" s="2">
        <f t="shared" ref="AZ199:AZ201" si="805">AY199</f>
        <v>19.8</v>
      </c>
    </row>
    <row r="200" spans="2:52" outlineLevel="1">
      <c r="B200" s="3" t="s">
        <v>298</v>
      </c>
      <c r="G200" s="10"/>
      <c r="H200" s="10"/>
      <c r="I200" s="10"/>
      <c r="AE200" s="80"/>
      <c r="AF200" s="221"/>
      <c r="AG200" s="2"/>
      <c r="AH200" s="2"/>
      <c r="AI200" s="2"/>
      <c r="AJ200" s="221"/>
      <c r="AK200" s="80">
        <f>58/3</f>
        <v>19.333333333333332</v>
      </c>
      <c r="AL200" s="2">
        <f>AK200</f>
        <v>19.333333333333332</v>
      </c>
      <c r="AM200" s="2">
        <f>AL200</f>
        <v>19.333333333333332</v>
      </c>
      <c r="AN200" s="221">
        <f>45/3</f>
        <v>15</v>
      </c>
      <c r="AO200" s="2">
        <f>+AN200</f>
        <v>15</v>
      </c>
      <c r="AP200" s="2">
        <f>AM200</f>
        <v>19.333333333333332</v>
      </c>
      <c r="AQ200" s="2">
        <f t="shared" si="801"/>
        <v>19.333333333333332</v>
      </c>
      <c r="AR200" s="221">
        <f t="shared" si="801"/>
        <v>19.333333333333332</v>
      </c>
      <c r="AS200" s="2">
        <f t="shared" si="801"/>
        <v>19.333333333333332</v>
      </c>
      <c r="AT200" s="2">
        <f t="shared" si="801"/>
        <v>19.333333333333332</v>
      </c>
      <c r="AU200" s="2">
        <f t="shared" si="801"/>
        <v>19.333333333333332</v>
      </c>
      <c r="AV200" s="221">
        <f t="shared" si="801"/>
        <v>19.333333333333332</v>
      </c>
      <c r="AW200" s="2">
        <f t="shared" si="802"/>
        <v>19.333333333333332</v>
      </c>
      <c r="AX200" s="2">
        <f t="shared" si="803"/>
        <v>19.333333333333332</v>
      </c>
      <c r="AY200" s="2">
        <f t="shared" si="804"/>
        <v>19.333333333333332</v>
      </c>
      <c r="AZ200" s="2">
        <f t="shared" si="805"/>
        <v>19.333333333333332</v>
      </c>
    </row>
    <row r="201" spans="2:52" outlineLevel="1">
      <c r="B201" s="3" t="s">
        <v>296</v>
      </c>
      <c r="G201" s="10"/>
      <c r="H201" s="10"/>
      <c r="I201" s="10"/>
      <c r="AE201" s="80"/>
      <c r="AF201" s="221"/>
      <c r="AG201" s="2"/>
      <c r="AH201" s="2"/>
      <c r="AI201" s="2"/>
      <c r="AJ201" s="221"/>
      <c r="AK201" s="80">
        <f>198/12</f>
        <v>16.5</v>
      </c>
      <c r="AL201" s="2">
        <f>AK201</f>
        <v>16.5</v>
      </c>
      <c r="AM201" s="2">
        <f>AL201</f>
        <v>16.5</v>
      </c>
      <c r="AN201" s="221">
        <f>180/12</f>
        <v>15</v>
      </c>
      <c r="AO201" s="2">
        <f>+AN201</f>
        <v>15</v>
      </c>
      <c r="AP201" s="2">
        <f>AM201</f>
        <v>16.5</v>
      </c>
      <c r="AQ201" s="2">
        <f t="shared" si="801"/>
        <v>16.5</v>
      </c>
      <c r="AR201" s="221">
        <f t="shared" si="801"/>
        <v>16.5</v>
      </c>
      <c r="AS201" s="2">
        <f t="shared" si="801"/>
        <v>16.5</v>
      </c>
      <c r="AT201" s="2">
        <f t="shared" si="801"/>
        <v>16.5</v>
      </c>
      <c r="AU201" s="2">
        <f t="shared" si="801"/>
        <v>16.5</v>
      </c>
      <c r="AV201" s="221">
        <f t="shared" si="801"/>
        <v>16.5</v>
      </c>
      <c r="AW201" s="2">
        <f t="shared" si="802"/>
        <v>16.5</v>
      </c>
      <c r="AX201" s="2">
        <f t="shared" si="803"/>
        <v>16.5</v>
      </c>
      <c r="AY201" s="2">
        <f t="shared" si="804"/>
        <v>16.5</v>
      </c>
      <c r="AZ201" s="2">
        <f t="shared" si="805"/>
        <v>16.5</v>
      </c>
    </row>
    <row r="202" spans="2:52" outlineLevel="1">
      <c r="B202" s="3" t="s">
        <v>303</v>
      </c>
      <c r="G202" s="10"/>
      <c r="H202" s="10"/>
      <c r="I202" s="10"/>
      <c r="AE202" s="80">
        <f>(3.99*(AE211)+3.99*2*(1-AE211)*AE211+3.99*3*(1-AE211-(1-AE211)*AE211))/FX/3</f>
        <v>21.489628506744271</v>
      </c>
      <c r="AF202" s="221">
        <f t="shared" ref="AF202:AK202" si="806">3.99*(AF211)+3.99*2*(1-AF211)*AF211+3.99*3*(1-AF211-(1-AF211)*AF211)</f>
        <v>10.536093750000001</v>
      </c>
      <c r="AG202" s="2">
        <f t="shared" si="806"/>
        <v>10.812900000000001</v>
      </c>
      <c r="AH202" s="2">
        <f t="shared" si="806"/>
        <v>11.094693750000003</v>
      </c>
      <c r="AI202" s="2">
        <f t="shared" si="806"/>
        <v>11.381475</v>
      </c>
      <c r="AJ202" s="221">
        <f t="shared" si="806"/>
        <v>11.381475</v>
      </c>
      <c r="AK202" s="2">
        <f t="shared" si="806"/>
        <v>11.381475</v>
      </c>
      <c r="AL202" s="2"/>
      <c r="AM202" s="2"/>
      <c r="AN202" s="221"/>
      <c r="AO202" s="2"/>
      <c r="AP202" s="2"/>
      <c r="AQ202" s="2"/>
      <c r="AR202" s="221"/>
      <c r="AS202" s="2"/>
      <c r="AT202" s="2"/>
      <c r="AU202" s="2"/>
      <c r="AV202" s="221"/>
      <c r="AW202" s="2"/>
      <c r="AX202" s="2"/>
      <c r="AY202" s="2"/>
      <c r="AZ202" s="2"/>
    </row>
    <row r="203" spans="2:52" outlineLevel="1">
      <c r="B203" s="3" t="s">
        <v>302</v>
      </c>
      <c r="G203" s="10"/>
      <c r="H203" s="10"/>
      <c r="I203" s="10"/>
      <c r="AE203" s="80">
        <f>9.9/FX/3</f>
        <v>20.726970216285938</v>
      </c>
      <c r="AF203" s="221">
        <f t="shared" ref="AF203:AK204" si="807">+AE203</f>
        <v>20.726970216285938</v>
      </c>
      <c r="AG203" s="2">
        <f t="shared" si="807"/>
        <v>20.726970216285938</v>
      </c>
      <c r="AH203" s="2">
        <f t="shared" si="807"/>
        <v>20.726970216285938</v>
      </c>
      <c r="AI203" s="2">
        <f t="shared" si="807"/>
        <v>20.726970216285938</v>
      </c>
      <c r="AJ203" s="221">
        <f t="shared" si="807"/>
        <v>20.726970216285938</v>
      </c>
      <c r="AK203" s="2">
        <f t="shared" si="807"/>
        <v>20.726970216285938</v>
      </c>
      <c r="AL203" s="2"/>
      <c r="AM203" s="2"/>
      <c r="AN203" s="221"/>
      <c r="AO203" s="2"/>
      <c r="AP203" s="2"/>
      <c r="AQ203" s="2"/>
      <c r="AR203" s="221"/>
      <c r="AS203" s="2"/>
      <c r="AT203" s="2"/>
      <c r="AU203" s="2"/>
      <c r="AV203" s="221"/>
      <c r="AW203" s="2"/>
      <c r="AX203" s="2"/>
      <c r="AY203" s="2"/>
      <c r="AZ203" s="2"/>
    </row>
    <row r="204" spans="2:52" outlineLevel="1">
      <c r="B204" s="3" t="s">
        <v>301</v>
      </c>
      <c r="G204" s="10"/>
      <c r="H204" s="10"/>
      <c r="I204" s="10"/>
      <c r="AE204" s="80">
        <f>37.99/4/FX/3</f>
        <v>19.884282790825825</v>
      </c>
      <c r="AF204" s="221">
        <f t="shared" si="807"/>
        <v>19.884282790825825</v>
      </c>
      <c r="AG204" s="2">
        <f t="shared" si="807"/>
        <v>19.884282790825825</v>
      </c>
      <c r="AH204" s="2">
        <f t="shared" si="807"/>
        <v>19.884282790825825</v>
      </c>
      <c r="AI204" s="2">
        <f t="shared" si="807"/>
        <v>19.884282790825825</v>
      </c>
      <c r="AJ204" s="221">
        <f t="shared" si="807"/>
        <v>19.884282790825825</v>
      </c>
      <c r="AK204" s="2">
        <f t="shared" si="807"/>
        <v>19.884282790825825</v>
      </c>
      <c r="AL204" s="2"/>
      <c r="AM204" s="2"/>
      <c r="AN204" s="221"/>
      <c r="AO204" s="2"/>
      <c r="AP204" s="2"/>
      <c r="AQ204" s="2"/>
      <c r="AR204" s="221"/>
      <c r="AS204" s="2"/>
      <c r="AT204" s="2"/>
      <c r="AU204" s="2"/>
      <c r="AV204" s="221"/>
      <c r="AW204" s="2"/>
      <c r="AX204" s="2"/>
      <c r="AY204" s="2"/>
      <c r="AZ204" s="2"/>
    </row>
    <row r="205" spans="2:52" outlineLevel="1">
      <c r="B205" s="1" t="s">
        <v>300</v>
      </c>
      <c r="G205" s="10"/>
      <c r="H205" s="10"/>
      <c r="I205" s="10"/>
      <c r="AE205" s="80"/>
      <c r="AF205" s="221"/>
      <c r="AG205" s="2"/>
      <c r="AH205" s="2"/>
      <c r="AI205" s="2"/>
      <c r="AJ205" s="221"/>
      <c r="AK205" s="2"/>
      <c r="AL205" s="2"/>
      <c r="AM205" s="2"/>
      <c r="AN205" s="221"/>
      <c r="AO205" s="2"/>
      <c r="AP205" s="2"/>
      <c r="AQ205" s="2"/>
      <c r="AR205" s="221"/>
      <c r="AS205" s="2"/>
      <c r="AT205" s="2"/>
      <c r="AU205" s="2"/>
      <c r="AV205" s="221"/>
      <c r="AW205" s="2"/>
      <c r="AX205" s="2"/>
      <c r="AY205" s="2"/>
      <c r="AZ205" s="2"/>
    </row>
    <row r="206" spans="2:52" outlineLevel="1">
      <c r="B206" s="3" t="s">
        <v>299</v>
      </c>
      <c r="G206" s="10"/>
      <c r="H206" s="10"/>
      <c r="I206" s="10"/>
      <c r="AE206" s="80"/>
      <c r="AF206" s="221"/>
      <c r="AG206" s="2"/>
      <c r="AH206" s="2"/>
      <c r="AI206" s="2"/>
      <c r="AJ206" s="221"/>
      <c r="AK206" s="80">
        <v>49.8</v>
      </c>
      <c r="AL206" s="80">
        <v>49.8</v>
      </c>
      <c r="AM206" s="80">
        <v>49.8</v>
      </c>
      <c r="AN206" s="221">
        <v>49.8</v>
      </c>
      <c r="AO206" s="2">
        <f>AN206</f>
        <v>49.8</v>
      </c>
      <c r="AP206" s="2">
        <f>AM206</f>
        <v>49.8</v>
      </c>
      <c r="AQ206" s="2">
        <f t="shared" ref="AQ206:AV209" si="808">AP206</f>
        <v>49.8</v>
      </c>
      <c r="AR206" s="221">
        <f t="shared" si="808"/>
        <v>49.8</v>
      </c>
      <c r="AS206" s="2">
        <f t="shared" si="808"/>
        <v>49.8</v>
      </c>
      <c r="AT206" s="2">
        <f t="shared" si="808"/>
        <v>49.8</v>
      </c>
      <c r="AU206" s="2">
        <f t="shared" si="808"/>
        <v>49.8</v>
      </c>
      <c r="AV206" s="221">
        <f t="shared" si="808"/>
        <v>49.8</v>
      </c>
      <c r="AW206" s="2">
        <f t="shared" ref="AW206:AW209" si="809">AV206</f>
        <v>49.8</v>
      </c>
      <c r="AX206" s="2">
        <f t="shared" ref="AX206:AX209" si="810">AW206</f>
        <v>49.8</v>
      </c>
      <c r="AY206" s="2">
        <f t="shared" ref="AY206:AY209" si="811">AX206</f>
        <v>49.8</v>
      </c>
      <c r="AZ206" s="2">
        <f t="shared" ref="AZ206:AZ209" si="812">AY206</f>
        <v>49.8</v>
      </c>
    </row>
    <row r="207" spans="2:52" outlineLevel="1">
      <c r="B207" s="3" t="s">
        <v>298</v>
      </c>
      <c r="G207" s="10"/>
      <c r="H207" s="10"/>
      <c r="I207" s="10"/>
      <c r="AE207" s="80"/>
      <c r="AF207" s="221"/>
      <c r="AG207" s="2"/>
      <c r="AH207" s="2"/>
      <c r="AI207" s="2"/>
      <c r="AJ207" s="221"/>
      <c r="AK207" s="80">
        <f>148/3</f>
        <v>49.333333333333336</v>
      </c>
      <c r="AL207" s="80">
        <f>148/3</f>
        <v>49.333333333333336</v>
      </c>
      <c r="AM207" s="80">
        <f>148/3</f>
        <v>49.333333333333336</v>
      </c>
      <c r="AN207" s="221">
        <f>120/3</f>
        <v>40</v>
      </c>
      <c r="AO207" s="2">
        <f>AN207</f>
        <v>40</v>
      </c>
      <c r="AP207" s="2">
        <f>AM207</f>
        <v>49.333333333333336</v>
      </c>
      <c r="AQ207" s="2">
        <f t="shared" si="808"/>
        <v>49.333333333333336</v>
      </c>
      <c r="AR207" s="221">
        <f t="shared" si="808"/>
        <v>49.333333333333336</v>
      </c>
      <c r="AS207" s="2">
        <f t="shared" si="808"/>
        <v>49.333333333333336</v>
      </c>
      <c r="AT207" s="2">
        <f t="shared" si="808"/>
        <v>49.333333333333336</v>
      </c>
      <c r="AU207" s="2">
        <f t="shared" si="808"/>
        <v>49.333333333333336</v>
      </c>
      <c r="AV207" s="221">
        <f t="shared" si="808"/>
        <v>49.333333333333336</v>
      </c>
      <c r="AW207" s="2">
        <f t="shared" si="809"/>
        <v>49.333333333333336</v>
      </c>
      <c r="AX207" s="2">
        <f t="shared" si="810"/>
        <v>49.333333333333336</v>
      </c>
      <c r="AY207" s="2">
        <f t="shared" si="811"/>
        <v>49.333333333333336</v>
      </c>
      <c r="AZ207" s="2">
        <f t="shared" si="812"/>
        <v>49.333333333333336</v>
      </c>
    </row>
    <row r="208" spans="2:52" outlineLevel="1">
      <c r="B208" s="3" t="s">
        <v>297</v>
      </c>
      <c r="G208" s="10"/>
      <c r="H208" s="10"/>
      <c r="I208" s="10"/>
      <c r="AE208" s="10"/>
      <c r="AF208" s="255"/>
      <c r="AG208" s="10"/>
      <c r="AH208" s="10"/>
      <c r="AI208" s="10"/>
      <c r="AJ208" s="255"/>
      <c r="AK208" s="80">
        <f>268/6</f>
        <v>44.666666666666664</v>
      </c>
      <c r="AL208" s="80">
        <f>268/6</f>
        <v>44.666666666666664</v>
      </c>
      <c r="AM208" s="80">
        <f>268/6</f>
        <v>44.666666666666664</v>
      </c>
      <c r="AN208" s="221">
        <f>210/6</f>
        <v>35</v>
      </c>
      <c r="AO208" s="2">
        <f>AN208</f>
        <v>35</v>
      </c>
      <c r="AP208" s="2">
        <f>AM208</f>
        <v>44.666666666666664</v>
      </c>
      <c r="AQ208" s="2">
        <f t="shared" si="808"/>
        <v>44.666666666666664</v>
      </c>
      <c r="AR208" s="221">
        <f t="shared" si="808"/>
        <v>44.666666666666664</v>
      </c>
      <c r="AS208" s="2">
        <f t="shared" si="808"/>
        <v>44.666666666666664</v>
      </c>
      <c r="AT208" s="2">
        <f t="shared" si="808"/>
        <v>44.666666666666664</v>
      </c>
      <c r="AU208" s="2">
        <f t="shared" si="808"/>
        <v>44.666666666666664</v>
      </c>
      <c r="AV208" s="221">
        <f t="shared" si="808"/>
        <v>44.666666666666664</v>
      </c>
      <c r="AW208" s="2">
        <f t="shared" si="809"/>
        <v>44.666666666666664</v>
      </c>
      <c r="AX208" s="2">
        <f t="shared" si="810"/>
        <v>44.666666666666664</v>
      </c>
      <c r="AY208" s="2">
        <f t="shared" si="811"/>
        <v>44.666666666666664</v>
      </c>
      <c r="AZ208" s="2">
        <f t="shared" si="812"/>
        <v>44.666666666666664</v>
      </c>
    </row>
    <row r="209" spans="2:52" outlineLevel="1">
      <c r="B209" s="3" t="s">
        <v>296</v>
      </c>
      <c r="G209" s="10"/>
      <c r="H209" s="10"/>
      <c r="I209" s="10"/>
      <c r="AE209" s="10"/>
      <c r="AF209" s="255"/>
      <c r="AG209" s="10"/>
      <c r="AH209" s="10"/>
      <c r="AI209" s="10"/>
      <c r="AJ209" s="255"/>
      <c r="AK209" s="80">
        <f>498/12</f>
        <v>41.5</v>
      </c>
      <c r="AL209" s="80">
        <f>498/12</f>
        <v>41.5</v>
      </c>
      <c r="AM209" s="80">
        <f>498/12</f>
        <v>41.5</v>
      </c>
      <c r="AN209" s="221">
        <f>360/12</f>
        <v>30</v>
      </c>
      <c r="AO209" s="2">
        <f>AN209</f>
        <v>30</v>
      </c>
      <c r="AP209" s="2">
        <f>AM209</f>
        <v>41.5</v>
      </c>
      <c r="AQ209" s="2">
        <f t="shared" si="808"/>
        <v>41.5</v>
      </c>
      <c r="AR209" s="221">
        <f t="shared" si="808"/>
        <v>41.5</v>
      </c>
      <c r="AS209" s="2">
        <f t="shared" si="808"/>
        <v>41.5</v>
      </c>
      <c r="AT209" s="2">
        <f t="shared" si="808"/>
        <v>41.5</v>
      </c>
      <c r="AU209" s="2">
        <f t="shared" si="808"/>
        <v>41.5</v>
      </c>
      <c r="AV209" s="221">
        <f t="shared" si="808"/>
        <v>41.5</v>
      </c>
      <c r="AW209" s="2">
        <f t="shared" si="809"/>
        <v>41.5</v>
      </c>
      <c r="AX209" s="2">
        <f t="shared" si="810"/>
        <v>41.5</v>
      </c>
      <c r="AY209" s="2">
        <f t="shared" si="811"/>
        <v>41.5</v>
      </c>
      <c r="AZ209" s="2">
        <f t="shared" si="812"/>
        <v>41.5</v>
      </c>
    </row>
    <row r="210" spans="2:52" outlineLevel="1">
      <c r="B210" s="3"/>
      <c r="G210" s="10"/>
      <c r="H210" s="10"/>
      <c r="I210" s="10"/>
      <c r="AE210" s="10"/>
      <c r="AF210" s="255"/>
      <c r="AG210" s="10"/>
      <c r="AH210" s="10"/>
      <c r="AI210" s="10"/>
      <c r="AJ210" s="255"/>
    </row>
    <row r="211" spans="2:52" outlineLevel="1">
      <c r="B211" s="1" t="s">
        <v>295</v>
      </c>
      <c r="G211" s="10"/>
      <c r="H211" s="10"/>
      <c r="I211" s="10"/>
      <c r="AE211" s="145">
        <v>0.15</v>
      </c>
      <c r="AF211" s="251">
        <f>+AE211-0.025</f>
        <v>0.125</v>
      </c>
      <c r="AG211" s="145">
        <f>+AF211-0.025</f>
        <v>0.1</v>
      </c>
      <c r="AH211" s="145">
        <f>+AG211-0.025</f>
        <v>7.5000000000000011E-2</v>
      </c>
      <c r="AI211" s="145">
        <f>+AH211-0.025</f>
        <v>5.000000000000001E-2</v>
      </c>
      <c r="AJ211" s="251">
        <f>+AI211</f>
        <v>5.000000000000001E-2</v>
      </c>
      <c r="AK211" s="145">
        <f>+AJ211</f>
        <v>5.000000000000001E-2</v>
      </c>
      <c r="AL211" s="145"/>
      <c r="AM211" s="145"/>
      <c r="AN211" s="215"/>
      <c r="AO211" s="4"/>
      <c r="AP211" s="4"/>
      <c r="AQ211" s="4"/>
      <c r="AR211" s="215"/>
      <c r="AS211" s="4"/>
      <c r="AT211" s="4"/>
      <c r="AU211" s="4"/>
      <c r="AV211" s="215"/>
      <c r="AW211" s="4"/>
      <c r="AX211" s="4"/>
      <c r="AY211" s="4"/>
      <c r="AZ211" s="4"/>
    </row>
    <row r="212" spans="2:52" outlineLevel="1">
      <c r="G212" s="10"/>
      <c r="H212" s="10"/>
      <c r="I212" s="10"/>
      <c r="AE212" s="149"/>
      <c r="AF212" s="258"/>
      <c r="AG212" s="149"/>
      <c r="AH212" s="149"/>
      <c r="AI212" s="149"/>
      <c r="AJ212" s="258"/>
      <c r="AK212" s="4"/>
      <c r="AL212" s="4"/>
      <c r="AM212" s="4"/>
      <c r="AN212" s="215"/>
      <c r="AO212" s="4"/>
      <c r="AP212" s="4"/>
      <c r="AQ212" s="4"/>
      <c r="AR212" s="215"/>
      <c r="AS212" s="4"/>
      <c r="AT212" s="4"/>
      <c r="AU212" s="4"/>
      <c r="AV212" s="215"/>
      <c r="AW212" s="4"/>
      <c r="AX212" s="4"/>
      <c r="AY212" s="4"/>
      <c r="AZ212" s="4"/>
    </row>
    <row r="213" spans="2:52" outlineLevel="1">
      <c r="B213" s="57" t="s">
        <v>294</v>
      </c>
      <c r="C213" s="56"/>
      <c r="D213" s="56"/>
      <c r="E213" s="56"/>
      <c r="F213" s="56"/>
      <c r="G213" s="88"/>
      <c r="H213" s="88"/>
      <c r="I213" s="88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232"/>
      <c r="AC213" s="56"/>
      <c r="AD213" s="56"/>
      <c r="AE213" s="56"/>
      <c r="AF213" s="232"/>
      <c r="AG213" s="56"/>
      <c r="AH213" s="56"/>
      <c r="AI213" s="56"/>
      <c r="AJ213" s="232"/>
      <c r="AK213" s="56"/>
      <c r="AL213" s="56"/>
      <c r="AM213" s="56"/>
      <c r="AN213" s="232"/>
      <c r="AO213" s="56"/>
      <c r="AP213" s="56"/>
      <c r="AQ213" s="56"/>
      <c r="AR213" s="232"/>
      <c r="AS213" s="56"/>
      <c r="AT213" s="56"/>
      <c r="AU213" s="56"/>
      <c r="AV213" s="232"/>
      <c r="AW213" s="56"/>
      <c r="AX213" s="56"/>
      <c r="AY213" s="56"/>
      <c r="AZ213" s="56"/>
    </row>
    <row r="214" spans="2:52" outlineLevel="1">
      <c r="B214" s="1" t="s">
        <v>136</v>
      </c>
      <c r="F214" s="10"/>
      <c r="G214" s="2">
        <f t="shared" ref="G214:N214" ca="1" si="813">SUM(OFFSET($P214,0,G$1,1,4))</f>
        <v>1345.0419999999999</v>
      </c>
      <c r="H214" s="2">
        <f t="shared" ca="1" si="813"/>
        <v>2873.5520000000001</v>
      </c>
      <c r="I214" s="2">
        <f t="shared" ca="1" si="813"/>
        <v>5318.5839999999998</v>
      </c>
      <c r="J214" s="2">
        <f t="shared" ca="1" si="813"/>
        <v>11237.406999999999</v>
      </c>
      <c r="K214" s="2">
        <f t="shared" ca="1" si="813"/>
        <v>17378.350000000002</v>
      </c>
      <c r="L214" s="2">
        <f t="shared" ca="1" si="813"/>
        <v>25086.789113457951</v>
      </c>
      <c r="M214" s="2">
        <f t="shared" ca="1" si="813"/>
        <v>32581.779156902514</v>
      </c>
      <c r="N214" s="2">
        <f t="shared" ca="1" si="813"/>
        <v>41537.038351479554</v>
      </c>
      <c r="Q214" s="10"/>
      <c r="R214" s="10"/>
      <c r="S214" s="10"/>
      <c r="T214" s="10"/>
      <c r="U214" s="2">
        <f>BIDU_IS!U311</f>
        <v>155.163449288208</v>
      </c>
      <c r="V214" s="2">
        <f>BIDU_IS!V311</f>
        <v>244.02797718122903</v>
      </c>
      <c r="W214" s="2">
        <f>BIDU_IS!W311</f>
        <v>359.96119003479174</v>
      </c>
      <c r="X214" s="2">
        <f>BIDU_IS!X311</f>
        <v>585.88938349577109</v>
      </c>
      <c r="Y214" s="2">
        <f>BIDU_IS!Y311</f>
        <v>330.68507104082636</v>
      </c>
      <c r="Z214" s="2">
        <f>BIDU_IS!Z311</f>
        <v>515.05595436245801</v>
      </c>
      <c r="AA214" s="2">
        <f>BIDU_IS!AA311</f>
        <v>755.92432056784367</v>
      </c>
      <c r="AB214" s="221">
        <f>BIDU_IS!AB311</f>
        <v>1271.8866540288723</v>
      </c>
      <c r="AC214" s="2">
        <f>BIDU_IS!AC311</f>
        <v>795.67812787348771</v>
      </c>
      <c r="AD214" s="2">
        <f>BIDU_IS!AD311</f>
        <v>1030.7107769799331</v>
      </c>
      <c r="AE214" s="2">
        <f>BIDU_IS!AE311</f>
        <v>1381.6808558517662</v>
      </c>
      <c r="AF214" s="221">
        <f>BIDU_IS!AF311</f>
        <v>2110.5142392948128</v>
      </c>
      <c r="AG214" s="2">
        <f>BIDU_IS!AG311</f>
        <v>1925.405</v>
      </c>
      <c r="AH214" s="2">
        <f>BIDU_IS!AH311</f>
        <v>2899.2299999999996</v>
      </c>
      <c r="AI214" s="2">
        <f>BIDU_IS!AI311</f>
        <v>3257.6559999999999</v>
      </c>
      <c r="AJ214" s="221">
        <f>BIDU_IS!AJ311</f>
        <v>3155.116</v>
      </c>
      <c r="AK214" s="2">
        <f>BIDU_IS!AK311</f>
        <v>3284.0340000000006</v>
      </c>
      <c r="AL214" s="2">
        <f>BIDU_IS!AL311</f>
        <v>4326.3190000000004</v>
      </c>
      <c r="AM214" s="2">
        <f>BIDU_IS!AM311</f>
        <v>4950.5829999999996</v>
      </c>
      <c r="AN214" s="221">
        <f>BIDU_IS!AN311</f>
        <v>4817.4139999999998</v>
      </c>
      <c r="AO214" s="2">
        <f>AO216+AO218+AO220+AO226</f>
        <v>5113.3945998747795</v>
      </c>
      <c r="AP214" s="2">
        <f t="shared" ref="AP214:AZ214" si="814">AP216+AP218+AP220+AP226</f>
        <v>6172.2678767450325</v>
      </c>
      <c r="AQ214" s="2">
        <f t="shared" si="814"/>
        <v>6973.8501308370242</v>
      </c>
      <c r="AR214" s="221">
        <f t="shared" si="814"/>
        <v>6827.2765060011143</v>
      </c>
      <c r="AS214" s="2">
        <f t="shared" si="814"/>
        <v>6880.4392926215614</v>
      </c>
      <c r="AT214" s="2">
        <f t="shared" si="814"/>
        <v>7996.2146101674343</v>
      </c>
      <c r="AU214" s="2">
        <f t="shared" si="814"/>
        <v>8876.671232227889</v>
      </c>
      <c r="AV214" s="221">
        <f t="shared" si="814"/>
        <v>8828.4540218856273</v>
      </c>
      <c r="AW214" s="2">
        <f t="shared" si="814"/>
        <v>8965.4944183851949</v>
      </c>
      <c r="AX214" s="2">
        <f t="shared" si="814"/>
        <v>10193.498094495686</v>
      </c>
      <c r="AY214" s="2">
        <f t="shared" si="814"/>
        <v>11139.241401344339</v>
      </c>
      <c r="AZ214" s="2">
        <f t="shared" si="814"/>
        <v>11238.80443725433</v>
      </c>
    </row>
    <row r="215" spans="2:52" outlineLevel="1">
      <c r="B215" s="3" t="s">
        <v>128</v>
      </c>
      <c r="F215" s="10"/>
      <c r="G215" s="10"/>
      <c r="H215" s="4">
        <f t="shared" ref="H215:N215" ca="1" si="815">+H214/G214-1</f>
        <v>1.1364031755142219</v>
      </c>
      <c r="I215" s="4">
        <f t="shared" ca="1" si="815"/>
        <v>0.85087445781388316</v>
      </c>
      <c r="J215" s="4">
        <f t="shared" ca="1" si="815"/>
        <v>1.1128569183075796</v>
      </c>
      <c r="K215" s="4">
        <f t="shared" ca="1" si="815"/>
        <v>0.54647331007945188</v>
      </c>
      <c r="L215" s="4">
        <f t="shared" ca="1" si="815"/>
        <v>0.44356564998736636</v>
      </c>
      <c r="M215" s="4">
        <f t="shared" ca="1" si="815"/>
        <v>0.29876242868497793</v>
      </c>
      <c r="N215" s="4">
        <f t="shared" ca="1" si="815"/>
        <v>0.27485482457700128</v>
      </c>
      <c r="Q215" s="10"/>
      <c r="R215" s="10"/>
      <c r="S215" s="10"/>
      <c r="T215" s="10"/>
      <c r="U215" s="2"/>
      <c r="V215" s="2"/>
      <c r="W215" s="2"/>
      <c r="X215" s="2"/>
      <c r="Y215" s="4">
        <f t="shared" ref="Y215:AV215" si="816">Y214/U214-1</f>
        <v>1.1312046912968281</v>
      </c>
      <c r="Z215" s="4">
        <f t="shared" si="816"/>
        <v>1.1106430513086138</v>
      </c>
      <c r="AA215" s="4">
        <f t="shared" si="816"/>
        <v>1.1000161725623268</v>
      </c>
      <c r="AB215" s="215">
        <f t="shared" si="816"/>
        <v>1.1708648250972322</v>
      </c>
      <c r="AC215" s="4">
        <f t="shared" si="816"/>
        <v>1.4061507384324989</v>
      </c>
      <c r="AD215" s="4">
        <f t="shared" si="816"/>
        <v>1.0011627246514574</v>
      </c>
      <c r="AE215" s="4">
        <f t="shared" si="816"/>
        <v>0.82780315205874011</v>
      </c>
      <c r="AF215" s="215">
        <f t="shared" si="816"/>
        <v>0.65935717039680752</v>
      </c>
      <c r="AG215" s="4">
        <f t="shared" si="816"/>
        <v>1.4198289893248619</v>
      </c>
      <c r="AH215" s="4">
        <f t="shared" si="816"/>
        <v>1.8128453342604804</v>
      </c>
      <c r="AI215" s="4">
        <f t="shared" si="816"/>
        <v>1.3577485250685837</v>
      </c>
      <c r="AJ215" s="215">
        <f t="shared" si="816"/>
        <v>0.49495129729815068</v>
      </c>
      <c r="AK215" s="4">
        <f t="shared" si="816"/>
        <v>0.70563284088282763</v>
      </c>
      <c r="AL215" s="4">
        <f t="shared" si="816"/>
        <v>0.49223035081728628</v>
      </c>
      <c r="AM215" s="4">
        <f t="shared" si="816"/>
        <v>0.51967641764507966</v>
      </c>
      <c r="AN215" s="215">
        <f t="shared" si="816"/>
        <v>0.52685796655336903</v>
      </c>
      <c r="AO215" s="4">
        <f t="shared" si="816"/>
        <v>0.55704679058584006</v>
      </c>
      <c r="AP215" s="4">
        <f t="shared" si="816"/>
        <v>0.42667886412098421</v>
      </c>
      <c r="AQ215" s="4">
        <f t="shared" si="816"/>
        <v>0.40869269959457788</v>
      </c>
      <c r="AR215" s="215">
        <f t="shared" si="816"/>
        <v>0.41720776042937446</v>
      </c>
      <c r="AS215" s="4">
        <f t="shared" si="816"/>
        <v>0.34557174460779039</v>
      </c>
      <c r="AT215" s="4">
        <f t="shared" si="816"/>
        <v>0.29550673591053966</v>
      </c>
      <c r="AU215" s="4">
        <f t="shared" si="816"/>
        <v>0.27285087371994932</v>
      </c>
      <c r="AV215" s="215">
        <f t="shared" si="816"/>
        <v>0.29311505314388486</v>
      </c>
      <c r="AW215" s="4">
        <f t="shared" ref="AW215" si="817">AW214/AS214-1</f>
        <v>0.30304098867634854</v>
      </c>
      <c r="AX215" s="4">
        <f t="shared" ref="AX215" si="818">AX214/AT214-1</f>
        <v>0.27479045916730871</v>
      </c>
      <c r="AY215" s="4">
        <f t="shared" ref="AY215" si="819">AY214/AU214-1</f>
        <v>0.25488948615128382</v>
      </c>
      <c r="AZ215" s="4">
        <f t="shared" ref="AZ215" si="820">AZ214/AV214-1</f>
        <v>0.27302066810264569</v>
      </c>
    </row>
    <row r="216" spans="2:52" outlineLevel="1">
      <c r="B216" s="3" t="s">
        <v>293</v>
      </c>
      <c r="F216" s="10"/>
      <c r="G216" s="2">
        <f t="shared" ref="G216:N216" ca="1" si="821">SUM(OFFSET($P216,0,G$1,1,4))</f>
        <v>1345.0419999999999</v>
      </c>
      <c r="H216" s="2">
        <f t="shared" ca="1" si="821"/>
        <v>2644.9520000000011</v>
      </c>
      <c r="I216" s="2">
        <f t="shared" ca="1" si="821"/>
        <v>3399.9349999999995</v>
      </c>
      <c r="J216" s="2">
        <f t="shared" ca="1" si="821"/>
        <v>5650.366</v>
      </c>
      <c r="K216" s="2">
        <f t="shared" ca="1" si="821"/>
        <v>8158.9240000000009</v>
      </c>
      <c r="L216" s="2">
        <f t="shared" ca="1" si="821"/>
        <v>10915.234782045021</v>
      </c>
      <c r="M216" s="2">
        <f t="shared" ca="1" si="821"/>
        <v>13190.127015535158</v>
      </c>
      <c r="N216" s="2">
        <f t="shared" ca="1" si="821"/>
        <v>15528.412000985743</v>
      </c>
      <c r="O216" s="2"/>
      <c r="P216" s="2"/>
      <c r="Q216" s="2"/>
      <c r="R216" s="2"/>
      <c r="S216" s="2"/>
      <c r="T216" s="2"/>
      <c r="U216" s="2">
        <f>+U214-U218-U220-U226</f>
        <v>155.163449288208</v>
      </c>
      <c r="V216" s="2">
        <f t="shared" ref="V216:AN216" si="822">+V214-V218-V220-V226</f>
        <v>244.02797718122903</v>
      </c>
      <c r="W216" s="2">
        <f t="shared" si="822"/>
        <v>359.96119003479174</v>
      </c>
      <c r="X216" s="2">
        <f t="shared" si="822"/>
        <v>585.88938349577109</v>
      </c>
      <c r="Y216" s="2">
        <f t="shared" si="822"/>
        <v>318.08507104082639</v>
      </c>
      <c r="Z216" s="2">
        <f t="shared" si="822"/>
        <v>488.05595436245812</v>
      </c>
      <c r="AA216" s="2">
        <f t="shared" si="822"/>
        <v>701.92432056784389</v>
      </c>
      <c r="AB216" s="221">
        <f t="shared" si="822"/>
        <v>1136.8866540288727</v>
      </c>
      <c r="AC216" s="2">
        <f t="shared" si="822"/>
        <v>524.88652787348826</v>
      </c>
      <c r="AD216" s="2">
        <f t="shared" si="822"/>
        <v>580.88952697993295</v>
      </c>
      <c r="AE216" s="2">
        <f t="shared" si="822"/>
        <v>852.88648085176601</v>
      </c>
      <c r="AF216" s="221">
        <f t="shared" si="822"/>
        <v>1441.2724642948124</v>
      </c>
      <c r="AG216" s="2">
        <f t="shared" si="822"/>
        <v>1096.5730000000003</v>
      </c>
      <c r="AH216" s="2">
        <f t="shared" si="822"/>
        <v>1587.7299999999996</v>
      </c>
      <c r="AI216" s="2">
        <f t="shared" si="822"/>
        <v>1625.8019999999999</v>
      </c>
      <c r="AJ216" s="221">
        <f t="shared" si="822"/>
        <v>1340.261</v>
      </c>
      <c r="AK216" s="2">
        <f t="shared" si="822"/>
        <v>1473.4450000000004</v>
      </c>
      <c r="AL216" s="2">
        <f t="shared" si="822"/>
        <v>1908.4530000000009</v>
      </c>
      <c r="AM216" s="2">
        <f t="shared" si="822"/>
        <v>2634.1869999999994</v>
      </c>
      <c r="AN216" s="221">
        <f t="shared" si="822"/>
        <v>2142.8389999999999</v>
      </c>
      <c r="AO216" s="2">
        <f t="shared" ref="AO216:AV216" si="823">+AO179*AO176/1000</f>
        <v>2245.4265812647359</v>
      </c>
      <c r="AP216" s="2">
        <f t="shared" si="823"/>
        <v>2437.622387541242</v>
      </c>
      <c r="AQ216" s="2">
        <f t="shared" si="823"/>
        <v>3348.9166937539621</v>
      </c>
      <c r="AR216" s="221">
        <f t="shared" si="823"/>
        <v>2883.2691194850809</v>
      </c>
      <c r="AS216" s="2">
        <f t="shared" si="823"/>
        <v>2901.9699343344996</v>
      </c>
      <c r="AT216" s="2">
        <f t="shared" si="823"/>
        <v>2884.1422887085369</v>
      </c>
      <c r="AU216" s="2">
        <f t="shared" si="823"/>
        <v>3922.022286898778</v>
      </c>
      <c r="AV216" s="221">
        <f t="shared" si="823"/>
        <v>3481.992505593344</v>
      </c>
      <c r="AW216" s="2">
        <f t="shared" ref="AW216:AZ216" si="824">+AW179*AW176/1000</f>
        <v>3560.0909472151843</v>
      </c>
      <c r="AX216" s="2">
        <f t="shared" si="824"/>
        <v>3342.0056322533937</v>
      </c>
      <c r="AY216" s="2">
        <f t="shared" si="824"/>
        <v>4503.5889700173184</v>
      </c>
      <c r="AZ216" s="2">
        <f t="shared" si="824"/>
        <v>4122.7264514998451</v>
      </c>
    </row>
    <row r="217" spans="2:52" outlineLevel="1">
      <c r="B217" s="52" t="s">
        <v>128</v>
      </c>
      <c r="F217" s="10"/>
      <c r="G217" s="10"/>
      <c r="H217" s="4">
        <f t="shared" ref="H217:N217" ca="1" si="825">+H216/G216-1</f>
        <v>0.96644565745902455</v>
      </c>
      <c r="I217" s="4">
        <f t="shared" ca="1" si="825"/>
        <v>0.2854429872451365</v>
      </c>
      <c r="J217" s="4">
        <f t="shared" ca="1" si="825"/>
        <v>0.66190412463767712</v>
      </c>
      <c r="K217" s="4">
        <f t="shared" ca="1" si="825"/>
        <v>0.44396380694631121</v>
      </c>
      <c r="L217" s="4">
        <f t="shared" ca="1" si="825"/>
        <v>0.33782773096611995</v>
      </c>
      <c r="M217" s="4">
        <f t="shared" ca="1" si="825"/>
        <v>0.20841441150053974</v>
      </c>
      <c r="N217" s="4">
        <f t="shared" ca="1" si="825"/>
        <v>0.17727539565741735</v>
      </c>
      <c r="AC217" s="4">
        <f t="shared" ref="AC217:AV217" si="826">AC216/Y216-1</f>
        <v>0.65014512047350626</v>
      </c>
      <c r="AD217" s="4">
        <f t="shared" si="826"/>
        <v>0.19021092107920756</v>
      </c>
      <c r="AE217" s="4">
        <f t="shared" si="826"/>
        <v>0.21506899798228463</v>
      </c>
      <c r="AF217" s="215">
        <f t="shared" si="826"/>
        <v>0.26773628592372356</v>
      </c>
      <c r="AG217" s="4">
        <f t="shared" si="826"/>
        <v>1.089162022204357</v>
      </c>
      <c r="AH217" s="4">
        <f t="shared" si="826"/>
        <v>1.7332735851766325</v>
      </c>
      <c r="AI217" s="4">
        <f t="shared" si="826"/>
        <v>0.90623492868163869</v>
      </c>
      <c r="AJ217" s="215">
        <f t="shared" si="826"/>
        <v>-7.0084919262115686E-2</v>
      </c>
      <c r="AK217" s="4">
        <f t="shared" si="826"/>
        <v>0.34368163359849269</v>
      </c>
      <c r="AL217" s="4">
        <f t="shared" si="826"/>
        <v>0.20200096993821459</v>
      </c>
      <c r="AM217" s="4">
        <f t="shared" si="826"/>
        <v>0.62023850382764922</v>
      </c>
      <c r="AN217" s="215">
        <f t="shared" si="826"/>
        <v>0.59882216971172042</v>
      </c>
      <c r="AO217" s="4">
        <f t="shared" si="826"/>
        <v>0.5239296894453036</v>
      </c>
      <c r="AP217" s="4">
        <f t="shared" si="826"/>
        <v>0.27727661490287736</v>
      </c>
      <c r="AQ217" s="4">
        <f t="shared" si="826"/>
        <v>0.27132838092131006</v>
      </c>
      <c r="AR217" s="215">
        <f t="shared" si="826"/>
        <v>0.34553698130614618</v>
      </c>
      <c r="AS217" s="4">
        <f t="shared" si="826"/>
        <v>0.29239136943857047</v>
      </c>
      <c r="AT217" s="4">
        <f t="shared" si="826"/>
        <v>0.18317845432068181</v>
      </c>
      <c r="AU217" s="4">
        <f t="shared" si="826"/>
        <v>0.1711316361537778</v>
      </c>
      <c r="AV217" s="215">
        <f t="shared" si="826"/>
        <v>0.20765435389367615</v>
      </c>
      <c r="AW217" s="4">
        <f t="shared" ref="AW217" si="827">AW216/AS216-1</f>
        <v>0.22678422856631353</v>
      </c>
      <c r="AX217" s="4">
        <f t="shared" ref="AX217" si="828">AX216/AT216-1</f>
        <v>0.15875199546756047</v>
      </c>
      <c r="AY217" s="4">
        <f t="shared" ref="AY217" si="829">AY216/AU216-1</f>
        <v>0.14828235042447879</v>
      </c>
      <c r="AZ217" s="4">
        <f t="shared" ref="AZ217" si="830">AZ216/AV216-1</f>
        <v>0.1840135913208456</v>
      </c>
    </row>
    <row r="218" spans="2:52" outlineLevel="1">
      <c r="B218" s="3" t="s">
        <v>407</v>
      </c>
      <c r="G218" s="2">
        <f t="shared" ref="G218:N218" ca="1" si="831">SUM(OFFSET($P218,0,G$1,1,4))</f>
        <v>0</v>
      </c>
      <c r="H218" s="2">
        <f t="shared" ca="1" si="831"/>
        <v>183.89033566777391</v>
      </c>
      <c r="I218" s="2">
        <f t="shared" ca="1" si="831"/>
        <v>996.68200000000002</v>
      </c>
      <c r="J218" s="2">
        <f t="shared" ca="1" si="831"/>
        <v>3762.183</v>
      </c>
      <c r="K218" s="2">
        <f t="shared" ca="1" si="831"/>
        <v>6536.0280000000002</v>
      </c>
      <c r="L218" s="2">
        <f t="shared" ca="1" si="831"/>
        <v>10696.29486206006</v>
      </c>
      <c r="M218" s="2">
        <f t="shared" ca="1" si="831"/>
        <v>15232.921348608612</v>
      </c>
      <c r="N218" s="2">
        <f t="shared" ca="1" si="831"/>
        <v>21169.588845374641</v>
      </c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>
        <f>BIDU_IS!Y355</f>
        <v>10.135687792711947</v>
      </c>
      <c r="Z218" s="2">
        <f>BIDU_IS!Z355</f>
        <v>21.719330984382747</v>
      </c>
      <c r="AA218" s="2">
        <f>BIDU_IS!AA355</f>
        <v>43.438661968765494</v>
      </c>
      <c r="AB218" s="221">
        <f>BIDU_IS!AB355</f>
        <v>108.59665492191374</v>
      </c>
      <c r="AC218" s="2">
        <f>BIDU_IS!AC355</f>
        <v>217.83008845150312</v>
      </c>
      <c r="AD218" s="2">
        <f>BIDU_IS!AD355</f>
        <v>212.60586044498413</v>
      </c>
      <c r="AE218" s="2">
        <f>BIDU_IS!AE355</f>
        <v>249.93212991903468</v>
      </c>
      <c r="AF218" s="221">
        <f>BIDU_IS!AF355</f>
        <v>316.31392118447815</v>
      </c>
      <c r="AG218" s="2">
        <f>BIDU_IS!AG355</f>
        <v>391.74347704635329</v>
      </c>
      <c r="AH218" s="2">
        <f>BIDU_IS!AH355</f>
        <v>939.05452295364648</v>
      </c>
      <c r="AI218" s="2">
        <f>BIDU_IS!AI355</f>
        <v>1168.433</v>
      </c>
      <c r="AJ218" s="221">
        <f>BIDU_IS!AJ355</f>
        <v>1262.952</v>
      </c>
      <c r="AK218" s="2">
        <f>BIDU_IS!AK355</f>
        <v>1329.9760000000001</v>
      </c>
      <c r="AL218" s="2">
        <f>BIDU_IS!AL355</f>
        <v>1579.53</v>
      </c>
      <c r="AM218" s="2">
        <f>BIDU_IS!AM355</f>
        <v>1696.6969999999999</v>
      </c>
      <c r="AN218" s="221">
        <f>BIDU_IS!AN355</f>
        <v>1929.825</v>
      </c>
      <c r="AO218" s="2">
        <f t="shared" ref="AO218:AV218" si="832">+AO189*AO196*3</f>
        <v>2202.0602628571432</v>
      </c>
      <c r="AP218" s="2">
        <f t="shared" si="832"/>
        <v>2596.6683435000004</v>
      </c>
      <c r="AQ218" s="2">
        <f t="shared" si="832"/>
        <v>2842.4142718766666</v>
      </c>
      <c r="AR218" s="221">
        <f t="shared" si="832"/>
        <v>3055.1519838262507</v>
      </c>
      <c r="AS218" s="2">
        <f t="shared" si="832"/>
        <v>3171.8105529555078</v>
      </c>
      <c r="AT218" s="2">
        <f t="shared" si="832"/>
        <v>3723.1964957914643</v>
      </c>
      <c r="AU218" s="2">
        <f t="shared" si="832"/>
        <v>4023.5367388196373</v>
      </c>
      <c r="AV218" s="221">
        <f t="shared" si="832"/>
        <v>4314.3775610420025</v>
      </c>
      <c r="AW218" s="2">
        <f t="shared" ref="AW218:AZ218" si="833">+AW189*AW196*3</f>
        <v>4456.9248345520255</v>
      </c>
      <c r="AX218" s="2">
        <f t="shared" si="833"/>
        <v>5209.0197428555721</v>
      </c>
      <c r="AY218" s="2">
        <f t="shared" si="833"/>
        <v>5557.708941812275</v>
      </c>
      <c r="AZ218" s="2">
        <f t="shared" si="833"/>
        <v>5945.9353261547685</v>
      </c>
    </row>
    <row r="219" spans="2:52" outlineLevel="1">
      <c r="B219" s="52" t="s">
        <v>128</v>
      </c>
      <c r="G219" s="10"/>
      <c r="H219" s="38"/>
      <c r="I219" s="4">
        <f t="shared" ref="I219:N219" ca="1" si="834">+I218/H218-1</f>
        <v>4.4199803180557504</v>
      </c>
      <c r="J219" s="4">
        <f t="shared" ca="1" si="834"/>
        <v>2.7747074794167044</v>
      </c>
      <c r="K219" s="4">
        <f t="shared" ca="1" si="834"/>
        <v>0.73729667057663062</v>
      </c>
      <c r="L219" s="4">
        <f t="shared" ca="1" si="834"/>
        <v>0.63651301096936241</v>
      </c>
      <c r="M219" s="4">
        <f t="shared" ca="1" si="834"/>
        <v>0.42413064944946899</v>
      </c>
      <c r="N219" s="4">
        <f t="shared" ca="1" si="834"/>
        <v>0.38972613072070317</v>
      </c>
      <c r="AC219" s="4">
        <f t="shared" ref="AC219:AV227" si="835">AC218/Y218-1</f>
        <v>20.491396825396848</v>
      </c>
      <c r="AD219" s="4">
        <f t="shared" si="835"/>
        <v>8.7887849583331121</v>
      </c>
      <c r="AE219" s="4">
        <f t="shared" si="835"/>
        <v>4.7536792937763144</v>
      </c>
      <c r="AF219" s="215">
        <f t="shared" si="835"/>
        <v>1.912740925693551</v>
      </c>
      <c r="AG219" s="4">
        <f t="shared" si="835"/>
        <v>0.7983901114449099</v>
      </c>
      <c r="AH219" s="4">
        <f t="shared" si="835"/>
        <v>3.416879765158896</v>
      </c>
      <c r="AI219" s="4">
        <f t="shared" si="835"/>
        <v>3.6750011708319095</v>
      </c>
      <c r="AJ219" s="215">
        <f t="shared" si="835"/>
        <v>2.9927170934200866</v>
      </c>
      <c r="AK219" s="4">
        <f t="shared" si="835"/>
        <v>2.3950176018952063</v>
      </c>
      <c r="AL219" s="4">
        <f t="shared" si="835"/>
        <v>0.68204290740418339</v>
      </c>
      <c r="AM219" s="4">
        <f t="shared" si="835"/>
        <v>0.4521132148783884</v>
      </c>
      <c r="AN219" s="215">
        <f t="shared" si="835"/>
        <v>0.52802719343252957</v>
      </c>
      <c r="AO219" s="4">
        <f t="shared" si="835"/>
        <v>0.65571428571428592</v>
      </c>
      <c r="AP219" s="4">
        <f t="shared" si="835"/>
        <v>0.64395000000000024</v>
      </c>
      <c r="AQ219" s="4">
        <f t="shared" si="835"/>
        <v>0.67526333333333333</v>
      </c>
      <c r="AR219" s="215">
        <f t="shared" si="835"/>
        <v>0.58312385000000022</v>
      </c>
      <c r="AS219" s="4">
        <f t="shared" si="835"/>
        <v>0.44038317500000046</v>
      </c>
      <c r="AT219" s="4">
        <f t="shared" si="835"/>
        <v>0.43383597874999991</v>
      </c>
      <c r="AU219" s="4">
        <f t="shared" si="835"/>
        <v>0.41553494810000036</v>
      </c>
      <c r="AV219" s="215">
        <f t="shared" si="835"/>
        <v>0.41216462679500054</v>
      </c>
      <c r="AW219" s="4">
        <f t="shared" ref="AW219" si="836">AW218/AS218-1</f>
        <v>0.40516741468025019</v>
      </c>
      <c r="AX219" s="4">
        <f t="shared" ref="AX219" si="837">AX218/AT218-1</f>
        <v>0.39907193959373788</v>
      </c>
      <c r="AY219" s="4">
        <f t="shared" ref="AY219" si="838">AY218/AU218-1</f>
        <v>0.38129941456498528</v>
      </c>
      <c r="AZ219" s="4">
        <f t="shared" ref="AZ219" si="839">AZ218/AV218-1</f>
        <v>0.37816759011668744</v>
      </c>
    </row>
    <row r="220" spans="2:52" outlineLevel="1">
      <c r="B220" s="3" t="s">
        <v>409</v>
      </c>
      <c r="G220" s="2">
        <f t="shared" ref="G220:N220" ca="1" si="840">SUM(OFFSET($P220,0,G$1,1,4))</f>
        <v>0</v>
      </c>
      <c r="H220" s="2">
        <f t="shared" ca="1" si="840"/>
        <v>43.261856479287445</v>
      </c>
      <c r="I220" s="2">
        <f t="shared" ca="1" si="840"/>
        <v>387.68700000000001</v>
      </c>
      <c r="J220" s="2">
        <f t="shared" ca="1" si="840"/>
        <v>500.95199999999994</v>
      </c>
      <c r="K220" s="2">
        <f t="shared" ca="1" si="840"/>
        <v>1191.816</v>
      </c>
      <c r="L220" s="2">
        <f t="shared" ca="1" si="840"/>
        <v>1752.625</v>
      </c>
      <c r="M220" s="2">
        <f t="shared" ca="1" si="840"/>
        <v>2218.6521947396877</v>
      </c>
      <c r="N220" s="2">
        <f t="shared" ca="1" si="840"/>
        <v>2699.4175796917543</v>
      </c>
      <c r="Y220" s="2">
        <f>BIDU_IS!Y356</f>
        <v>2.3845117744489137</v>
      </c>
      <c r="Z220" s="2">
        <f>BIDU_IS!Z356</f>
        <v>5.109668088104816</v>
      </c>
      <c r="AA220" s="2">
        <f>BIDU_IS!AA356</f>
        <v>10.219336176209632</v>
      </c>
      <c r="AB220" s="221">
        <f>BIDU_IS!AB356</f>
        <v>25.548340440524079</v>
      </c>
      <c r="AC220" s="2">
        <f>BIDU_IS!AC356</f>
        <v>51.246488779512788</v>
      </c>
      <c r="AD220" s="2">
        <f>BIDU_IS!AD356</f>
        <v>91.839312860347391</v>
      </c>
      <c r="AE220" s="2">
        <f>BIDU_IS!AE356</f>
        <v>107.96313434373509</v>
      </c>
      <c r="AF220" s="221">
        <f>BIDU_IS!AF356</f>
        <v>136.63806401640474</v>
      </c>
      <c r="AG220" s="2">
        <f>BIDU_IS!AG356</f>
        <v>169.22135483076306</v>
      </c>
      <c r="AH220" s="2">
        <f>BIDU_IS!AH356</f>
        <v>95.307645169236949</v>
      </c>
      <c r="AI220" s="2">
        <f>BIDU_IS!AI356</f>
        <v>118.58799999999999</v>
      </c>
      <c r="AJ220" s="221">
        <f>BIDU_IS!AJ356</f>
        <v>117.83499999999999</v>
      </c>
      <c r="AK220" s="2">
        <f>BIDU_IS!AK356</f>
        <v>196.01599999999999</v>
      </c>
      <c r="AL220" s="2">
        <f>BIDU_IS!AL356</f>
        <v>486.26299999999998</v>
      </c>
      <c r="AM220" s="2">
        <f>BIDU_IS!AM356</f>
        <v>276.05200000000002</v>
      </c>
      <c r="AN220" s="221">
        <f>BIDU_IS!AN356</f>
        <v>233.48500000000001</v>
      </c>
      <c r="AO220" s="2">
        <f>AK220*(1+AO221)</f>
        <v>333.22719999999998</v>
      </c>
      <c r="AP220" s="2">
        <f t="shared" ref="AP220:AZ220" si="841">AL220*(1+AP221)</f>
        <v>729.39449999999999</v>
      </c>
      <c r="AQ220" s="2">
        <f t="shared" si="841"/>
        <v>386.47280000000001</v>
      </c>
      <c r="AR220" s="221">
        <f t="shared" si="841"/>
        <v>303.53050000000002</v>
      </c>
      <c r="AS220" s="2">
        <f t="shared" si="841"/>
        <v>428.19695199999995</v>
      </c>
      <c r="AT220" s="2">
        <f t="shared" si="841"/>
        <v>926.87806087500007</v>
      </c>
      <c r="AU220" s="2">
        <f t="shared" si="841"/>
        <v>485.87843507000002</v>
      </c>
      <c r="AV220" s="221">
        <f t="shared" si="841"/>
        <v>377.69874679468751</v>
      </c>
      <c r="AW220" s="2">
        <f t="shared" si="841"/>
        <v>527.59614368596067</v>
      </c>
      <c r="AX220" s="2">
        <f t="shared" si="841"/>
        <v>1131.2802247192315</v>
      </c>
      <c r="AY220" s="2">
        <f t="shared" si="841"/>
        <v>587.67054484311393</v>
      </c>
      <c r="AZ220" s="2">
        <f t="shared" si="841"/>
        <v>452.87066644344844</v>
      </c>
    </row>
    <row r="221" spans="2:52" outlineLevel="1">
      <c r="B221" s="52" t="s">
        <v>128</v>
      </c>
      <c r="G221" s="10"/>
      <c r="H221" s="38"/>
      <c r="I221" s="4">
        <f t="shared" ref="I221:N221" ca="1" si="842">+I220/H220-1</f>
        <v>7.9614046079047398</v>
      </c>
      <c r="J221" s="4">
        <f t="shared" ca="1" si="842"/>
        <v>0.29215578546611032</v>
      </c>
      <c r="K221" s="4">
        <f t="shared" ca="1" si="842"/>
        <v>1.3791021894313231</v>
      </c>
      <c r="L221" s="4">
        <f t="shared" ca="1" si="842"/>
        <v>0.470549984225753</v>
      </c>
      <c r="M221" s="4">
        <f t="shared" ca="1" si="842"/>
        <v>0.2659024005361601</v>
      </c>
      <c r="N221" s="4">
        <f t="shared" ca="1" si="842"/>
        <v>0.21669254247778769</v>
      </c>
      <c r="Y221" s="2"/>
      <c r="Z221" s="2"/>
      <c r="AA221" s="2"/>
      <c r="AB221" s="221"/>
      <c r="AC221" s="4">
        <f t="shared" si="835"/>
        <v>20.491396825396848</v>
      </c>
      <c r="AD221" s="4">
        <f t="shared" ref="AD221" si="843">AD220/Z220-1</f>
        <v>16.97363571895151</v>
      </c>
      <c r="AE221" s="4">
        <f t="shared" ref="AE221" si="844">AE220/AA220-1</f>
        <v>9.5645936763554822</v>
      </c>
      <c r="AF221" s="215">
        <f t="shared" ref="AF221" si="845">AF220/AB220-1</f>
        <v>4.3482168180158265</v>
      </c>
      <c r="AG221" s="4">
        <f t="shared" ref="AG221" si="846">AG220/AC220-1</f>
        <v>2.3021063269102258</v>
      </c>
      <c r="AH221" s="4">
        <f t="shared" ref="AH221" si="847">AH220/AD220-1</f>
        <v>3.7765224944175779E-2</v>
      </c>
      <c r="AI221" s="4">
        <f t="shared" ref="AI221" si="848">AI220/AE220-1</f>
        <v>9.8411978504044262E-2</v>
      </c>
      <c r="AJ221" s="215">
        <f t="shared" ref="AJ221" si="849">AJ220/AF220-1</f>
        <v>-0.13761219577984696</v>
      </c>
      <c r="AK221" s="4">
        <f t="shared" ref="AK221" si="850">AK220/AG220-1</f>
        <v>0.15834080276708606</v>
      </c>
      <c r="AL221" s="4">
        <f t="shared" ref="AL221" si="851">AL220/AH220-1</f>
        <v>4.1020356146303589</v>
      </c>
      <c r="AM221" s="4">
        <f t="shared" ref="AM221" si="852">AM220/AI220-1</f>
        <v>1.3278240631429825</v>
      </c>
      <c r="AN221" s="215">
        <f t="shared" ref="AN221" si="853">AN220/AJ220-1</f>
        <v>0.98145712224721038</v>
      </c>
      <c r="AO221" s="234">
        <v>0.7</v>
      </c>
      <c r="AP221" s="66">
        <v>0.5</v>
      </c>
      <c r="AQ221" s="66">
        <v>0.4</v>
      </c>
      <c r="AR221" s="246">
        <v>0.3</v>
      </c>
      <c r="AS221" s="234">
        <f>AR221*0.95</f>
        <v>0.28499999999999998</v>
      </c>
      <c r="AT221" s="66">
        <f t="shared" ref="AT221:AZ221" si="854">AS221*0.95</f>
        <v>0.27074999999999999</v>
      </c>
      <c r="AU221" s="66">
        <f t="shared" si="854"/>
        <v>0.25721249999999996</v>
      </c>
      <c r="AV221" s="246">
        <f t="shared" si="854"/>
        <v>0.24435187499999994</v>
      </c>
      <c r="AW221" s="234">
        <f t="shared" si="854"/>
        <v>0.23213428124999994</v>
      </c>
      <c r="AX221" s="66">
        <f t="shared" si="854"/>
        <v>0.22052756718749994</v>
      </c>
      <c r="AY221" s="66">
        <f t="shared" si="854"/>
        <v>0.20950118882812493</v>
      </c>
      <c r="AZ221" s="66">
        <f t="shared" si="854"/>
        <v>0.19902612938671868</v>
      </c>
    </row>
    <row r="222" spans="2:52" outlineLevel="1">
      <c r="B222" s="52" t="s">
        <v>582</v>
      </c>
      <c r="G222" s="10"/>
      <c r="H222" s="38"/>
      <c r="I222" s="2">
        <f>-'IQ_BS + CFS'!I75</f>
        <v>349.834</v>
      </c>
      <c r="J222" s="2">
        <f>-'IQ_BS + CFS'!J75</f>
        <v>382.47800000000001</v>
      </c>
      <c r="K222" s="2">
        <f>-'IQ_BS + CFS'!K75</f>
        <v>762.74099999999999</v>
      </c>
      <c r="L222" s="2">
        <f ca="1">SUM(OFFSET($P222,0,L$1,1,4))</f>
        <v>1065.5663272424183</v>
      </c>
      <c r="M222" s="2">
        <f ca="1">SUM(OFFSET($P222,0,M$1,1,4))</f>
        <v>1281.457823007343</v>
      </c>
      <c r="N222" s="2">
        <f ca="1">SUM(OFFSET($P222,0,N$1,1,4))</f>
        <v>1481.1831679152124</v>
      </c>
      <c r="Y222" s="2"/>
      <c r="Z222" s="2"/>
      <c r="AA222" s="2"/>
      <c r="AB222" s="221"/>
      <c r="AC222" s="2">
        <f ca="1">AC220*AC223</f>
        <v>46.242881901358764</v>
      </c>
      <c r="AD222" s="2">
        <f t="shared" ref="AD222:AN222" ca="1" si="855">AD220*AD223</f>
        <v>82.872302076641134</v>
      </c>
      <c r="AE222" s="2">
        <f t="shared" ca="1" si="855"/>
        <v>97.421825183733844</v>
      </c>
      <c r="AF222" s="221">
        <f t="shared" ca="1" si="855"/>
        <v>123.29699083826627</v>
      </c>
      <c r="AG222" s="2">
        <f t="shared" ca="1" si="855"/>
        <v>129.20089220715877</v>
      </c>
      <c r="AH222" s="2">
        <f t="shared" ca="1" si="855"/>
        <v>72.767605497212131</v>
      </c>
      <c r="AI222" s="2">
        <f t="shared" ca="1" si="855"/>
        <v>90.542209760615791</v>
      </c>
      <c r="AJ222" s="221">
        <f t="shared" ca="1" si="855"/>
        <v>89.967292535013343</v>
      </c>
      <c r="AK222" s="2">
        <f t="shared" ca="1" si="855"/>
        <v>125.44674669244246</v>
      </c>
      <c r="AL222" s="2">
        <f t="shared" ca="1" si="855"/>
        <v>311.19965404307374</v>
      </c>
      <c r="AM222" s="2">
        <f t="shared" ca="1" si="855"/>
        <v>176.66836032743311</v>
      </c>
      <c r="AN222" s="221">
        <f t="shared" ca="1" si="855"/>
        <v>149.4262389370507</v>
      </c>
      <c r="AO222" s="2">
        <f t="shared" ref="AO222" ca="1" si="856">AO220*AO223</f>
        <v>202.59649590829457</v>
      </c>
      <c r="AP222" s="2">
        <f t="shared" ref="AP222" ca="1" si="857">AP220*AP223</f>
        <v>443.45950701138014</v>
      </c>
      <c r="AQ222" s="2">
        <f t="shared" ref="AQ222" ca="1" si="858">AQ220*AQ223</f>
        <v>234.96891923548603</v>
      </c>
      <c r="AR222" s="221">
        <f t="shared" ref="AR222" ca="1" si="859">AR220*AR223</f>
        <v>184.54140508725763</v>
      </c>
      <c r="AS222" s="2">
        <f t="shared" ref="AS222" ca="1" si="860">AS220*AS223</f>
        <v>247.31967238005058</v>
      </c>
      <c r="AT222" s="2">
        <f t="shared" ref="AT222" ca="1" si="861">AT220*AT223</f>
        <v>535.34986010797581</v>
      </c>
      <c r="AU222" s="2">
        <f t="shared" ref="AU222" ca="1" si="862">AU220*AU223</f>
        <v>280.63556925562631</v>
      </c>
      <c r="AV222" s="221">
        <f t="shared" ref="AV222" ca="1" si="863">AV220*AV223</f>
        <v>218.15272126369035</v>
      </c>
      <c r="AW222" s="2">
        <f t="shared" ref="AW222" ca="1" si="864">AW220*AW223</f>
        <v>289.49449442863011</v>
      </c>
      <c r="AX222" s="2">
        <f t="shared" ref="AX222" ca="1" si="865">AX220*AX223</f>
        <v>620.73879923416825</v>
      </c>
      <c r="AY222" s="2">
        <f t="shared" ref="AY222" ca="1" si="866">AY220*AY223</f>
        <v>322.45760191003069</v>
      </c>
      <c r="AZ222" s="2">
        <f t="shared" ref="AZ222" ca="1" si="867">AZ220*AZ223</f>
        <v>248.49227234238322</v>
      </c>
    </row>
    <row r="223" spans="2:52" outlineLevel="1">
      <c r="B223" s="61" t="s">
        <v>584</v>
      </c>
      <c r="G223" s="10"/>
      <c r="H223" s="38"/>
      <c r="I223" s="4">
        <f ca="1">I222/I220</f>
        <v>0.90236195693948984</v>
      </c>
      <c r="J223" s="4">
        <f t="shared" ref="J223:K223" ca="1" si="868">J222/J220</f>
        <v>0.76350229163672378</v>
      </c>
      <c r="K223" s="4">
        <f t="shared" ca="1" si="868"/>
        <v>0.63998217845707728</v>
      </c>
      <c r="L223" s="4">
        <f t="shared" ref="L223" ca="1" si="869">L222/L220</f>
        <v>0.60798306953422343</v>
      </c>
      <c r="M223" s="4">
        <f t="shared" ref="M223" ca="1" si="870">M222/M220</f>
        <v>0.57758391605751225</v>
      </c>
      <c r="N223" s="4">
        <f t="shared" ref="N223" ca="1" si="871">N222/N220</f>
        <v>0.54870472025463668</v>
      </c>
      <c r="Y223" s="2"/>
      <c r="Z223" s="2"/>
      <c r="AA223" s="2"/>
      <c r="AB223" s="221"/>
      <c r="AC223" s="4">
        <f ca="1">I223</f>
        <v>0.90236195693948984</v>
      </c>
      <c r="AD223" s="4">
        <f ca="1">AC223</f>
        <v>0.90236195693948984</v>
      </c>
      <c r="AE223" s="4">
        <f t="shared" ref="AE223:AF223" ca="1" si="872">AD223</f>
        <v>0.90236195693948984</v>
      </c>
      <c r="AF223" s="215">
        <f t="shared" ca="1" si="872"/>
        <v>0.90236195693948984</v>
      </c>
      <c r="AG223" s="4">
        <f ca="1">J223</f>
        <v>0.76350229163672378</v>
      </c>
      <c r="AH223" s="4">
        <f ca="1">AG223</f>
        <v>0.76350229163672378</v>
      </c>
      <c r="AI223" s="4">
        <f t="shared" ref="AI223:AJ223" ca="1" si="873">AH223</f>
        <v>0.76350229163672378</v>
      </c>
      <c r="AJ223" s="215">
        <f t="shared" ca="1" si="873"/>
        <v>0.76350229163672378</v>
      </c>
      <c r="AK223" s="4">
        <f ca="1">K223</f>
        <v>0.63998217845707728</v>
      </c>
      <c r="AL223" s="4">
        <f ca="1">AK223</f>
        <v>0.63998217845707728</v>
      </c>
      <c r="AM223" s="4">
        <f t="shared" ref="AM223:AN223" ca="1" si="874">AL223</f>
        <v>0.63998217845707728</v>
      </c>
      <c r="AN223" s="215">
        <f t="shared" ca="1" si="874"/>
        <v>0.63998217845707728</v>
      </c>
      <c r="AO223" s="234">
        <f ca="1">AN223*0.95</f>
        <v>0.60798306953422343</v>
      </c>
      <c r="AP223" s="66">
        <f ca="1">AO223</f>
        <v>0.60798306953422343</v>
      </c>
      <c r="AQ223" s="66">
        <f t="shared" ref="AQ223:AR223" ca="1" si="875">AP223</f>
        <v>0.60798306953422343</v>
      </c>
      <c r="AR223" s="246">
        <f t="shared" ca="1" si="875"/>
        <v>0.60798306953422343</v>
      </c>
      <c r="AS223" s="234">
        <f ca="1">AR223*0.95</f>
        <v>0.57758391605751225</v>
      </c>
      <c r="AT223" s="66">
        <f ca="1">AS223</f>
        <v>0.57758391605751225</v>
      </c>
      <c r="AU223" s="66">
        <f t="shared" ref="AU223:AV223" ca="1" si="876">AT223</f>
        <v>0.57758391605751225</v>
      </c>
      <c r="AV223" s="246">
        <f t="shared" ca="1" si="876"/>
        <v>0.57758391605751225</v>
      </c>
      <c r="AW223" s="234">
        <f ca="1">AV223*0.95</f>
        <v>0.54870472025463657</v>
      </c>
      <c r="AX223" s="66">
        <f ca="1">AW223</f>
        <v>0.54870472025463657</v>
      </c>
      <c r="AY223" s="66">
        <f t="shared" ref="AY223:AZ223" ca="1" si="877">AX223</f>
        <v>0.54870472025463657</v>
      </c>
      <c r="AZ223" s="66">
        <f t="shared" ca="1" si="877"/>
        <v>0.54870472025463657</v>
      </c>
    </row>
    <row r="224" spans="2:52" outlineLevel="1">
      <c r="B224" s="52" t="s">
        <v>583</v>
      </c>
      <c r="G224" s="10"/>
      <c r="H224" s="38"/>
      <c r="I224" s="2">
        <f ca="1">I220-I222</f>
        <v>37.853000000000009</v>
      </c>
      <c r="J224" s="2">
        <f t="shared" ref="J224:K224" ca="1" si="878">J220-J222</f>
        <v>118.47399999999993</v>
      </c>
      <c r="K224" s="2">
        <f t="shared" ca="1" si="878"/>
        <v>429.07500000000005</v>
      </c>
      <c r="L224" s="2">
        <f ca="1">SUM(OFFSET($P224,0,L$1,1,4))</f>
        <v>687.05867275758169</v>
      </c>
      <c r="M224" s="2">
        <f ca="1">SUM(OFFSET($P224,0,M$1,1,4))</f>
        <v>937.19437173234473</v>
      </c>
      <c r="N224" s="2">
        <f ca="1">SUM(OFFSET($P224,0,N$1,1,4))</f>
        <v>1218.2344117765422</v>
      </c>
      <c r="Y224" s="2"/>
      <c r="Z224" s="2"/>
      <c r="AA224" s="2"/>
      <c r="AB224" s="221"/>
      <c r="AC224" s="2">
        <f ca="1">AC220*AC225</f>
        <v>5.0036068781540202</v>
      </c>
      <c r="AD224" s="2">
        <f t="shared" ref="AD224:AN224" ca="1" si="879">AD220*AD225</f>
        <v>8.9670107837062627</v>
      </c>
      <c r="AE224" s="2">
        <f t="shared" ca="1" si="879"/>
        <v>10.54130916000125</v>
      </c>
      <c r="AF224" s="221">
        <f t="shared" ca="1" si="879"/>
        <v>13.341073178138469</v>
      </c>
      <c r="AG224" s="2">
        <f t="shared" ca="1" si="879"/>
        <v>40.020462623604288</v>
      </c>
      <c r="AH224" s="2">
        <f t="shared" ca="1" si="879"/>
        <v>22.540039672024811</v>
      </c>
      <c r="AI224" s="2">
        <f t="shared" ca="1" si="879"/>
        <v>28.0457902393842</v>
      </c>
      <c r="AJ224" s="221">
        <f t="shared" ca="1" si="879"/>
        <v>27.867707464986651</v>
      </c>
      <c r="AK224" s="2">
        <f t="shared" ca="1" si="879"/>
        <v>70.569253307557531</v>
      </c>
      <c r="AL224" s="2">
        <f t="shared" ca="1" si="879"/>
        <v>175.06334595692621</v>
      </c>
      <c r="AM224" s="2">
        <f t="shared" ca="1" si="879"/>
        <v>99.383639672566915</v>
      </c>
      <c r="AN224" s="221">
        <f t="shared" ca="1" si="879"/>
        <v>84.058761062949316</v>
      </c>
      <c r="AO224" s="2">
        <f t="shared" ref="AO224" ca="1" si="880">AO220*AO225</f>
        <v>130.63070409170541</v>
      </c>
      <c r="AP224" s="2">
        <f t="shared" ref="AP224" ca="1" si="881">AP220*AP225</f>
        <v>285.93499298861985</v>
      </c>
      <c r="AQ224" s="2">
        <f t="shared" ref="AQ224" ca="1" si="882">AQ220*AQ225</f>
        <v>151.50388076451398</v>
      </c>
      <c r="AR224" s="221">
        <f t="shared" ref="AR224" ca="1" si="883">AR220*AR225</f>
        <v>118.9890949127424</v>
      </c>
      <c r="AS224" s="2">
        <f t="shared" ref="AS224" ca="1" si="884">AS220*AS225</f>
        <v>180.87727961994938</v>
      </c>
      <c r="AT224" s="2">
        <f t="shared" ref="AT224" ca="1" si="885">AT220*AT225</f>
        <v>391.52820076702432</v>
      </c>
      <c r="AU224" s="2">
        <f t="shared" ref="AU224" ca="1" si="886">AU220*AU225</f>
        <v>205.24286581437372</v>
      </c>
      <c r="AV224" s="221">
        <f t="shared" ref="AV224" ca="1" si="887">AV220*AV225</f>
        <v>159.54602553099716</v>
      </c>
      <c r="AW224" s="2">
        <f t="shared" ref="AW224" ca="1" si="888">AW220*AW225</f>
        <v>238.10164925733059</v>
      </c>
      <c r="AX224" s="2">
        <f t="shared" ref="AX224" ca="1" si="889">AX220*AX225</f>
        <v>510.54142548506314</v>
      </c>
      <c r="AY224" s="2">
        <f t="shared" ref="AY224" ca="1" si="890">AY220*AY225</f>
        <v>265.21294293308324</v>
      </c>
      <c r="AZ224" s="2">
        <f t="shared" ref="AZ224" ca="1" si="891">AZ220*AZ225</f>
        <v>204.37839410106523</v>
      </c>
    </row>
    <row r="225" spans="2:52" outlineLevel="1">
      <c r="B225" s="61" t="s">
        <v>584</v>
      </c>
      <c r="G225" s="10"/>
      <c r="H225" s="38"/>
      <c r="I225" s="4">
        <f ca="1">I224/I220</f>
        <v>9.7638043060510174E-2</v>
      </c>
      <c r="J225" s="4">
        <f t="shared" ref="J225:K225" ca="1" si="892">J224/J220</f>
        <v>0.23649770836327622</v>
      </c>
      <c r="K225" s="4">
        <f t="shared" ca="1" si="892"/>
        <v>0.36001782154292278</v>
      </c>
      <c r="L225" s="4">
        <f t="shared" ref="L225" ca="1" si="893">L224/L220</f>
        <v>0.39201693046577657</v>
      </c>
      <c r="M225" s="4">
        <f t="shared" ref="M225" ca="1" si="894">M224/M220</f>
        <v>0.42241608394248781</v>
      </c>
      <c r="N225" s="4">
        <f t="shared" ref="N225" ca="1" si="895">N224/N220</f>
        <v>0.45129527974536343</v>
      </c>
      <c r="Y225" s="2"/>
      <c r="Z225" s="2"/>
      <c r="AA225" s="2"/>
      <c r="AB225" s="221"/>
      <c r="AC225" s="4">
        <f ca="1">1-AC223</f>
        <v>9.763804306051016E-2</v>
      </c>
      <c r="AD225" s="4">
        <f t="shared" ref="AD225:AZ225" ca="1" si="896">1-AD223</f>
        <v>9.763804306051016E-2</v>
      </c>
      <c r="AE225" s="4">
        <f t="shared" ca="1" si="896"/>
        <v>9.763804306051016E-2</v>
      </c>
      <c r="AF225" s="215">
        <f t="shared" ca="1" si="896"/>
        <v>9.763804306051016E-2</v>
      </c>
      <c r="AG225" s="4">
        <f t="shared" ca="1" si="896"/>
        <v>0.23649770836327622</v>
      </c>
      <c r="AH225" s="4">
        <f t="shared" ca="1" si="896"/>
        <v>0.23649770836327622</v>
      </c>
      <c r="AI225" s="4">
        <f t="shared" ca="1" si="896"/>
        <v>0.23649770836327622</v>
      </c>
      <c r="AJ225" s="215">
        <f t="shared" ca="1" si="896"/>
        <v>0.23649770836327622</v>
      </c>
      <c r="AK225" s="4">
        <f t="shared" ca="1" si="896"/>
        <v>0.36001782154292272</v>
      </c>
      <c r="AL225" s="4">
        <f t="shared" ca="1" si="896"/>
        <v>0.36001782154292272</v>
      </c>
      <c r="AM225" s="4">
        <f t="shared" ca="1" si="896"/>
        <v>0.36001782154292272</v>
      </c>
      <c r="AN225" s="215">
        <f t="shared" ca="1" si="896"/>
        <v>0.36001782154292272</v>
      </c>
      <c r="AO225" s="4">
        <f t="shared" ca="1" si="896"/>
        <v>0.39201693046577657</v>
      </c>
      <c r="AP225" s="4">
        <f t="shared" ca="1" si="896"/>
        <v>0.39201693046577657</v>
      </c>
      <c r="AQ225" s="4">
        <f t="shared" ca="1" si="896"/>
        <v>0.39201693046577657</v>
      </c>
      <c r="AR225" s="215">
        <f t="shared" ca="1" si="896"/>
        <v>0.39201693046577657</v>
      </c>
      <c r="AS225" s="4">
        <f t="shared" ca="1" si="896"/>
        <v>0.42241608394248775</v>
      </c>
      <c r="AT225" s="4">
        <f t="shared" ca="1" si="896"/>
        <v>0.42241608394248775</v>
      </c>
      <c r="AU225" s="4">
        <f t="shared" ca="1" si="896"/>
        <v>0.42241608394248775</v>
      </c>
      <c r="AV225" s="215">
        <f t="shared" ca="1" si="896"/>
        <v>0.42241608394248775</v>
      </c>
      <c r="AW225" s="4">
        <f t="shared" ca="1" si="896"/>
        <v>0.45129527974536343</v>
      </c>
      <c r="AX225" s="4">
        <f t="shared" ca="1" si="896"/>
        <v>0.45129527974536343</v>
      </c>
      <c r="AY225" s="4">
        <f t="shared" ca="1" si="896"/>
        <v>0.45129527974536343</v>
      </c>
      <c r="AZ225" s="4">
        <f t="shared" ca="1" si="896"/>
        <v>0.45129527974536343</v>
      </c>
    </row>
    <row r="226" spans="2:52" outlineLevel="1">
      <c r="B226" s="3" t="s">
        <v>410</v>
      </c>
      <c r="G226" s="2">
        <f t="shared" ref="G226:N226" ca="1" si="897">SUM(OFFSET($P226,0,G$1,1,4))</f>
        <v>0</v>
      </c>
      <c r="H226" s="2">
        <f t="shared" ca="1" si="897"/>
        <v>1.4478078529379714</v>
      </c>
      <c r="I226" s="2">
        <f t="shared" ca="1" si="897"/>
        <v>534.28</v>
      </c>
      <c r="J226" s="2">
        <f t="shared" ca="1" si="897"/>
        <v>1323.9059999999999</v>
      </c>
      <c r="K226" s="2">
        <f t="shared" ca="1" si="897"/>
        <v>1491.5819999999999</v>
      </c>
      <c r="L226" s="2">
        <f t="shared" ca="1" si="897"/>
        <v>1722.6344693528695</v>
      </c>
      <c r="M226" s="2">
        <f t="shared" ca="1" si="897"/>
        <v>1940.078598019054</v>
      </c>
      <c r="N226" s="2">
        <f t="shared" ca="1" si="897"/>
        <v>2139.6199254274134</v>
      </c>
      <c r="Y226" s="2">
        <f>BIDU_IS!Y357</f>
        <v>7.9800432839100766E-2</v>
      </c>
      <c r="Z226" s="2">
        <f>BIDU_IS!Z357</f>
        <v>0.17100092751235882</v>
      </c>
      <c r="AA226" s="2">
        <f>BIDU_IS!AA357</f>
        <v>0.34200185502471764</v>
      </c>
      <c r="AB226" s="221">
        <f>BIDU_IS!AB357</f>
        <v>0.85500463756179412</v>
      </c>
      <c r="AC226" s="2">
        <f>BIDU_IS!AC357</f>
        <v>1.7150227689835447</v>
      </c>
      <c r="AD226" s="2">
        <f>BIDU_IS!AD357</f>
        <v>145.37607669466871</v>
      </c>
      <c r="AE226" s="2">
        <f>BIDU_IS!AE357</f>
        <v>170.89911073723039</v>
      </c>
      <c r="AF226" s="221">
        <f>BIDU_IS!AF357</f>
        <v>216.28978979911736</v>
      </c>
      <c r="AG226" s="2">
        <f>BIDU_IS!AG357</f>
        <v>267.86716812288341</v>
      </c>
      <c r="AH226" s="2">
        <f>BIDU_IS!AH357</f>
        <v>277.13783187711647</v>
      </c>
      <c r="AI226" s="2">
        <f>BIDU_IS!AI357</f>
        <v>344.83300000000003</v>
      </c>
      <c r="AJ226" s="221">
        <f>BIDU_IS!AJ357</f>
        <v>434.06799999999998</v>
      </c>
      <c r="AK226" s="2">
        <f>BIDU_IS!AK357</f>
        <v>284.59699999999998</v>
      </c>
      <c r="AL226" s="2">
        <f>BIDU_IS!AL357</f>
        <v>352.07299999999998</v>
      </c>
      <c r="AM226" s="2">
        <f>BIDU_IS!AM357</f>
        <v>343.64699999999999</v>
      </c>
      <c r="AN226" s="221">
        <f>BIDU_IS!AN357</f>
        <v>511.26499999999999</v>
      </c>
      <c r="AO226" s="2">
        <f>AK226*(1+AO227)</f>
        <v>332.68055575290043</v>
      </c>
      <c r="AP226" s="2">
        <f t="shared" ref="AP226" si="898">AL226*(1+AP227)</f>
        <v>408.58264570378952</v>
      </c>
      <c r="AQ226" s="2">
        <f t="shared" ref="AQ226" si="899">AM226*(1+AQ227)</f>
        <v>396.04636520639656</v>
      </c>
      <c r="AR226" s="221">
        <f t="shared" ref="AR226" si="900">AN226*(1+AR227)</f>
        <v>585.32490268978302</v>
      </c>
      <c r="AS226" s="2">
        <f t="shared" ref="AS226" si="901">AO226*(1+AS227)</f>
        <v>378.46185333155461</v>
      </c>
      <c r="AT226" s="2">
        <f t="shared" ref="AT226" si="902">AP226*(1+AT227)</f>
        <v>461.99776479243241</v>
      </c>
      <c r="AU226" s="2">
        <f t="shared" ref="AU226" si="903">AQ226*(1+AU227)</f>
        <v>445.2337714394734</v>
      </c>
      <c r="AV226" s="221">
        <f t="shared" ref="AV226" si="904">AR226*(1+AV227)</f>
        <v>654.38520845559356</v>
      </c>
      <c r="AW226" s="2">
        <f t="shared" ref="AW226" si="905">AS226*(1+AW227)</f>
        <v>420.8824929320254</v>
      </c>
      <c r="AX226" s="2">
        <f t="shared" ref="AX226" si="906">AT226*(1+AX227)</f>
        <v>511.19249466748784</v>
      </c>
      <c r="AY226" s="2">
        <f t="shared" ref="AY226" si="907">AU226*(1+AY227)</f>
        <v>490.27294467163154</v>
      </c>
      <c r="AZ226" s="2">
        <f t="shared" ref="AZ226" si="908">AV226*(1+AZ227)</f>
        <v>717.27199315626865</v>
      </c>
    </row>
    <row r="227" spans="2:52" outlineLevel="1">
      <c r="B227" s="52" t="s">
        <v>128</v>
      </c>
      <c r="G227" s="10"/>
      <c r="H227" s="38"/>
      <c r="I227" s="4">
        <f t="shared" ref="I227:N227" ca="1" si="909">+I226/H226-1</f>
        <v>368.02686977129565</v>
      </c>
      <c r="J227" s="4">
        <f t="shared" ca="1" si="909"/>
        <v>1.4779254323575652</v>
      </c>
      <c r="K227" s="4">
        <f t="shared" ca="1" si="909"/>
        <v>0.12665249647633581</v>
      </c>
      <c r="L227" s="4">
        <f t="shared" ca="1" si="909"/>
        <v>0.15490430251428999</v>
      </c>
      <c r="M227" s="4">
        <f t="shared" ca="1" si="909"/>
        <v>0.1262276661327173</v>
      </c>
      <c r="N227" s="4">
        <f t="shared" ca="1" si="909"/>
        <v>0.10285218733514401</v>
      </c>
      <c r="AC227" s="4">
        <f t="shared" si="835"/>
        <v>20.491396825396848</v>
      </c>
      <c r="AD227" s="4">
        <f t="shared" ref="AD227" si="910">AD226/Z226-1</f>
        <v>849.14788404678029</v>
      </c>
      <c r="AE227" s="4">
        <f t="shared" ref="AE227" si="911">AE226/AA226-1</f>
        <v>498.70229174598757</v>
      </c>
      <c r="AF227" s="215">
        <f t="shared" ref="AF227" si="912">AF226/AB226-1</f>
        <v>251.96914226793928</v>
      </c>
      <c r="AG227" s="4">
        <f t="shared" ref="AG227" si="913">AG226/AC226-1</f>
        <v>155.18869496504834</v>
      </c>
      <c r="AH227" s="4">
        <f t="shared" ref="AH227" si="914">AH226/AD226-1</f>
        <v>0.90635101853233446</v>
      </c>
      <c r="AI227" s="4">
        <f t="shared" ref="AI227" si="915">AI226/AE226-1</f>
        <v>1.0177577198175447</v>
      </c>
      <c r="AJ227" s="215">
        <f t="shared" ref="AJ227" si="916">AJ226/AF226-1</f>
        <v>1.0068816027013927</v>
      </c>
      <c r="AK227" s="4">
        <f t="shared" ref="AK227" si="917">AK226/AG226-1</f>
        <v>6.2455701437220457E-2</v>
      </c>
      <c r="AL227" s="4">
        <f t="shared" ref="AL227" si="918">AL226/AH226-1</f>
        <v>0.27038953005921584</v>
      </c>
      <c r="AM227" s="4">
        <f t="shared" ref="AM227" si="919">AM226/AI226-1</f>
        <v>-3.4393460022679179E-3</v>
      </c>
      <c r="AN227" s="215">
        <f t="shared" ref="AN227" si="920">AN226/AJ226-1</f>
        <v>0.17784540671046933</v>
      </c>
      <c r="AO227" s="234">
        <f>AN227*0.95</f>
        <v>0.16895313637494586</v>
      </c>
      <c r="AP227" s="66">
        <f t="shared" ref="AP227:AZ227" si="921">AO227*0.95</f>
        <v>0.16050547955619857</v>
      </c>
      <c r="AQ227" s="66">
        <f t="shared" si="921"/>
        <v>0.15248020557838862</v>
      </c>
      <c r="AR227" s="246">
        <f t="shared" si="921"/>
        <v>0.14485619529946919</v>
      </c>
      <c r="AS227" s="234">
        <f t="shared" si="921"/>
        <v>0.13761338553449573</v>
      </c>
      <c r="AT227" s="66">
        <f t="shared" si="921"/>
        <v>0.13073271625777094</v>
      </c>
      <c r="AU227" s="66">
        <f t="shared" si="921"/>
        <v>0.1241960804448824</v>
      </c>
      <c r="AV227" s="246">
        <f t="shared" si="921"/>
        <v>0.11798627642263827</v>
      </c>
      <c r="AW227" s="234">
        <f t="shared" si="921"/>
        <v>0.11208696260150636</v>
      </c>
      <c r="AX227" s="66">
        <f t="shared" si="921"/>
        <v>0.10648261447143104</v>
      </c>
      <c r="AY227" s="66">
        <f t="shared" si="921"/>
        <v>0.10115848374785948</v>
      </c>
      <c r="AZ227" s="66">
        <f t="shared" si="921"/>
        <v>9.6100559560466495E-2</v>
      </c>
    </row>
    <row r="228" spans="2:52" outlineLevel="1">
      <c r="B228" s="3"/>
      <c r="G228" s="10"/>
      <c r="H228" s="10"/>
      <c r="I228" s="10"/>
      <c r="J228" s="38"/>
      <c r="K228" s="10"/>
      <c r="AE228" s="10"/>
      <c r="AF228" s="255"/>
      <c r="AG228" s="10"/>
      <c r="AH228" s="10"/>
      <c r="AI228" s="10"/>
      <c r="AJ228" s="255"/>
      <c r="AK228" s="10"/>
      <c r="AL228" s="10"/>
      <c r="AM228" s="10"/>
    </row>
    <row r="229" spans="2:52" outlineLevel="1">
      <c r="B229" s="3" t="s">
        <v>560</v>
      </c>
      <c r="G229" s="10"/>
      <c r="H229" s="10"/>
      <c r="I229" s="10"/>
      <c r="J229" s="38"/>
      <c r="K229" s="10"/>
      <c r="AE229" s="10"/>
      <c r="AF229" s="255"/>
      <c r="AG229" s="10"/>
      <c r="AH229" s="10"/>
      <c r="AI229" s="10"/>
      <c r="AJ229" s="255"/>
      <c r="AK229" s="10"/>
      <c r="AL229" s="10"/>
      <c r="AM229" s="10"/>
    </row>
    <row r="230" spans="2:52" outlineLevel="1">
      <c r="B230" s="52" t="str">
        <f>B216</f>
        <v>Advertising</v>
      </c>
      <c r="G230" s="10"/>
      <c r="H230" s="10"/>
      <c r="I230" s="4">
        <f ca="1">I216/I$214</f>
        <v>0.6392556740666312</v>
      </c>
      <c r="J230" s="4">
        <f t="shared" ref="J230:N230" ca="1" si="922">J216/J$214</f>
        <v>0.50281759840148177</v>
      </c>
      <c r="K230" s="4">
        <f t="shared" ca="1" si="922"/>
        <v>0.4694878397546372</v>
      </c>
      <c r="L230" s="4">
        <f t="shared" ca="1" si="922"/>
        <v>0.43509891730980754</v>
      </c>
      <c r="M230" s="4">
        <f t="shared" ca="1" si="922"/>
        <v>0.40483139217217373</v>
      </c>
      <c r="N230" s="4">
        <f t="shared" ca="1" si="922"/>
        <v>0.37384494940604307</v>
      </c>
      <c r="AC230" s="4">
        <f>AC216/AC$214</f>
        <v>0.65967193201136332</v>
      </c>
      <c r="AD230" s="4">
        <f t="shared" ref="AD230:AZ230" si="923">AD216/AD$214</f>
        <v>0.56358150118696415</v>
      </c>
      <c r="AE230" s="4">
        <f t="shared" si="923"/>
        <v>0.61728182542269228</v>
      </c>
      <c r="AF230" s="215">
        <f t="shared" si="923"/>
        <v>0.68290108517646653</v>
      </c>
      <c r="AG230" s="4">
        <f t="shared" si="923"/>
        <v>0.56952848881144502</v>
      </c>
      <c r="AH230" s="4">
        <f t="shared" si="923"/>
        <v>0.54763851091496696</v>
      </c>
      <c r="AI230" s="4">
        <f t="shared" si="923"/>
        <v>0.49907111125299908</v>
      </c>
      <c r="AJ230" s="215">
        <f t="shared" si="923"/>
        <v>0.42478977001162554</v>
      </c>
      <c r="AK230" s="4">
        <f t="shared" si="923"/>
        <v>0.44866922815050031</v>
      </c>
      <c r="AL230" s="4">
        <f t="shared" si="923"/>
        <v>0.44112627848293218</v>
      </c>
      <c r="AM230" s="4">
        <f t="shared" si="923"/>
        <v>0.53209632077676505</v>
      </c>
      <c r="AN230" s="215">
        <f t="shared" si="923"/>
        <v>0.44481105422950989</v>
      </c>
      <c r="AO230" s="4">
        <f t="shared" si="923"/>
        <v>0.43912640368488742</v>
      </c>
      <c r="AP230" s="4">
        <f t="shared" si="923"/>
        <v>0.39493139899604146</v>
      </c>
      <c r="AQ230" s="4">
        <f t="shared" si="923"/>
        <v>0.4802105911260835</v>
      </c>
      <c r="AR230" s="215">
        <f t="shared" si="923"/>
        <v>0.42231614860636058</v>
      </c>
      <c r="AS230" s="4">
        <f t="shared" si="923"/>
        <v>0.4217710252085955</v>
      </c>
      <c r="AT230" s="4">
        <f t="shared" si="923"/>
        <v>0.36068845438956337</v>
      </c>
      <c r="AU230" s="4">
        <f t="shared" si="923"/>
        <v>0.4418348031928202</v>
      </c>
      <c r="AV230" s="215">
        <f t="shared" si="923"/>
        <v>0.39440569061825864</v>
      </c>
      <c r="AW230" s="4">
        <f t="shared" si="923"/>
        <v>0.39708807803333662</v>
      </c>
      <c r="AX230" s="4">
        <f t="shared" si="923"/>
        <v>0.32785660047928195</v>
      </c>
      <c r="AY230" s="4">
        <f t="shared" si="923"/>
        <v>0.40429943186919376</v>
      </c>
      <c r="AZ230" s="4">
        <f t="shared" si="923"/>
        <v>0.3668296280549071</v>
      </c>
    </row>
    <row r="231" spans="2:52" outlineLevel="1">
      <c r="B231" s="52" t="str">
        <f>B218</f>
        <v>Membership Services</v>
      </c>
      <c r="G231" s="10"/>
      <c r="H231" s="10"/>
      <c r="I231" s="4">
        <f ca="1">I218/I$214</f>
        <v>0.18739611896700326</v>
      </c>
      <c r="J231" s="4">
        <f t="shared" ref="J231:N231" ca="1" si="924">J218/J$214</f>
        <v>0.334791024299467</v>
      </c>
      <c r="K231" s="4">
        <f t="shared" ca="1" si="924"/>
        <v>0.37610175879758434</v>
      </c>
      <c r="L231" s="4">
        <f t="shared" ca="1" si="924"/>
        <v>0.42637161789357775</v>
      </c>
      <c r="M231" s="4">
        <f t="shared" ca="1" si="924"/>
        <v>0.46752883798187206</v>
      </c>
      <c r="N231" s="4">
        <f t="shared" ca="1" si="924"/>
        <v>0.50965571175877011</v>
      </c>
      <c r="AC231" s="4">
        <f>AC218/AC$214</f>
        <v>0.2737665908118791</v>
      </c>
      <c r="AD231" s="4">
        <f t="shared" ref="AD231:AZ231" si="925">AD218/AD$214</f>
        <v>0.20627111425761618</v>
      </c>
      <c r="AE231" s="4">
        <f t="shared" si="925"/>
        <v>0.18088991307978916</v>
      </c>
      <c r="AF231" s="215">
        <f t="shared" si="925"/>
        <v>0.14987528408724135</v>
      </c>
      <c r="AG231" s="4">
        <f t="shared" si="925"/>
        <v>0.20346029902610271</v>
      </c>
      <c r="AH231" s="4">
        <f t="shared" si="925"/>
        <v>0.32389790494498422</v>
      </c>
      <c r="AI231" s="4">
        <f t="shared" si="925"/>
        <v>0.35867292310790333</v>
      </c>
      <c r="AJ231" s="215">
        <f t="shared" si="925"/>
        <v>0.40028702589698761</v>
      </c>
      <c r="AK231" s="4">
        <f t="shared" si="925"/>
        <v>0.4049824088301156</v>
      </c>
      <c r="AL231" s="4">
        <f t="shared" si="925"/>
        <v>0.36509790424608074</v>
      </c>
      <c r="AM231" s="4">
        <f t="shared" si="925"/>
        <v>0.34272670511735687</v>
      </c>
      <c r="AN231" s="215">
        <f t="shared" si="925"/>
        <v>0.40059355496538185</v>
      </c>
      <c r="AO231" s="4">
        <f t="shared" si="925"/>
        <v>0.4306454782330057</v>
      </c>
      <c r="AP231" s="4">
        <f t="shared" si="925"/>
        <v>0.42069923006474613</v>
      </c>
      <c r="AQ231" s="4">
        <f t="shared" si="925"/>
        <v>0.40758178316853372</v>
      </c>
      <c r="AR231" s="215">
        <f t="shared" si="925"/>
        <v>0.44749205355031391</v>
      </c>
      <c r="AS231" s="4">
        <f t="shared" si="925"/>
        <v>0.46098954122840541</v>
      </c>
      <c r="AT231" s="4">
        <f t="shared" si="925"/>
        <v>0.46561988106938812</v>
      </c>
      <c r="AU231" s="4">
        <f t="shared" si="925"/>
        <v>0.45327089779011676</v>
      </c>
      <c r="AV231" s="215">
        <f t="shared" si="925"/>
        <v>0.48869004135341415</v>
      </c>
      <c r="AW231" s="4">
        <f t="shared" si="925"/>
        <v>0.49711980472737577</v>
      </c>
      <c r="AX231" s="4">
        <f t="shared" si="925"/>
        <v>0.51101395169420327</v>
      </c>
      <c r="AY231" s="4">
        <f t="shared" si="925"/>
        <v>0.49893064900645234</v>
      </c>
      <c r="AZ231" s="4">
        <f t="shared" si="925"/>
        <v>0.52905407860334441</v>
      </c>
    </row>
    <row r="232" spans="2:52" outlineLevel="1">
      <c r="B232" s="52" t="str">
        <f>B220</f>
        <v>Content Distribution</v>
      </c>
      <c r="G232" s="10"/>
      <c r="H232" s="10"/>
      <c r="I232" s="4">
        <f ca="1">I220/I$214</f>
        <v>7.2892897808890494E-2</v>
      </c>
      <c r="J232" s="4">
        <f t="shared" ref="J232:N232" ca="1" si="926">J220/J$214</f>
        <v>4.4578967372099272E-2</v>
      </c>
      <c r="K232" s="4">
        <f t="shared" ca="1" si="926"/>
        <v>6.858050390284462E-2</v>
      </c>
      <c r="L232" s="4">
        <f t="shared" ca="1" si="926"/>
        <v>6.9862467933761774E-2</v>
      </c>
      <c r="M232" s="4">
        <f t="shared" ca="1" si="926"/>
        <v>6.8094875484098968E-2</v>
      </c>
      <c r="N232" s="4">
        <f t="shared" ca="1" si="926"/>
        <v>6.4988205390324863E-2</v>
      </c>
      <c r="AC232" s="4">
        <f>AC220/AC$214</f>
        <v>6.4406054388441034E-2</v>
      </c>
      <c r="AD232" s="4">
        <f t="shared" ref="AD232:AZ232" si="927">AD220/AD$214</f>
        <v>8.9102893761763211E-2</v>
      </c>
      <c r="AE232" s="4">
        <f t="shared" si="927"/>
        <v>7.8138981144946787E-2</v>
      </c>
      <c r="AF232" s="215">
        <f t="shared" si="927"/>
        <v>6.4741597792801281E-2</v>
      </c>
      <c r="AG232" s="4">
        <f t="shared" si="927"/>
        <v>8.7888706443975714E-2</v>
      </c>
      <c r="AH232" s="4">
        <f t="shared" si="927"/>
        <v>3.2873433694200517E-2</v>
      </c>
      <c r="AI232" s="4">
        <f t="shared" si="927"/>
        <v>3.6402861443933919E-2</v>
      </c>
      <c r="AJ232" s="215">
        <f t="shared" si="927"/>
        <v>3.7347279783057102E-2</v>
      </c>
      <c r="AK232" s="4">
        <f t="shared" si="927"/>
        <v>5.9687567181094948E-2</v>
      </c>
      <c r="AL232" s="4">
        <f t="shared" si="927"/>
        <v>0.11239647376904013</v>
      </c>
      <c r="AM232" s="4">
        <f t="shared" si="927"/>
        <v>5.5761513340953993E-2</v>
      </c>
      <c r="AN232" s="215">
        <f t="shared" si="927"/>
        <v>4.8466874551367188E-2</v>
      </c>
      <c r="AO232" s="4">
        <f t="shared" si="927"/>
        <v>6.5167511227895519E-2</v>
      </c>
      <c r="AP232" s="4">
        <f t="shared" si="927"/>
        <v>0.11817285227494838</v>
      </c>
      <c r="AQ232" s="4">
        <f t="shared" si="927"/>
        <v>5.5417422621557584E-2</v>
      </c>
      <c r="AR232" s="215">
        <f t="shared" si="927"/>
        <v>4.4458504021801293E-2</v>
      </c>
      <c r="AS232" s="4">
        <f t="shared" si="927"/>
        <v>6.223395538991084E-2</v>
      </c>
      <c r="AT232" s="4">
        <f t="shared" si="927"/>
        <v>0.1159146053554448</v>
      </c>
      <c r="AU232" s="4">
        <f t="shared" si="927"/>
        <v>5.4736558599349304E-2</v>
      </c>
      <c r="AV232" s="215">
        <f t="shared" si="927"/>
        <v>4.2781980385056886E-2</v>
      </c>
      <c r="AW232" s="4">
        <f t="shared" si="927"/>
        <v>5.8847411984780176E-2</v>
      </c>
      <c r="AX232" s="4">
        <f t="shared" si="927"/>
        <v>0.11098056959760491</v>
      </c>
      <c r="AY232" s="4">
        <f t="shared" si="927"/>
        <v>5.2756783309516116E-2</v>
      </c>
      <c r="AZ232" s="4">
        <f t="shared" si="927"/>
        <v>4.0295270637709039E-2</v>
      </c>
    </row>
    <row r="233" spans="2:52" outlineLevel="1">
      <c r="B233" s="52" t="str">
        <f>B226</f>
        <v>Others</v>
      </c>
      <c r="G233" s="10"/>
      <c r="H233" s="10"/>
      <c r="I233" s="4">
        <f ca="1">I226/I$214</f>
        <v>0.100455309157475</v>
      </c>
      <c r="J233" s="4">
        <f t="shared" ref="J233:N233" ca="1" si="928">J226/J$214</f>
        <v>0.11781240992695201</v>
      </c>
      <c r="K233" s="4">
        <f t="shared" ca="1" si="928"/>
        <v>8.5829897544933767E-2</v>
      </c>
      <c r="L233" s="4">
        <f t="shared" ca="1" si="928"/>
        <v>6.8666996862852908E-2</v>
      </c>
      <c r="M233" s="4">
        <f t="shared" ca="1" si="928"/>
        <v>5.9544894361855144E-2</v>
      </c>
      <c r="N233" s="4">
        <f t="shared" ca="1" si="928"/>
        <v>5.1511133444861981E-2</v>
      </c>
      <c r="AC233" s="4">
        <f>AC226/AC$214</f>
        <v>2.1554227883165242E-3</v>
      </c>
      <c r="AD233" s="4">
        <f t="shared" ref="AD233:AZ233" si="929">AD226/AD$214</f>
        <v>0.1410444907936565</v>
      </c>
      <c r="AE233" s="4">
        <f t="shared" si="929"/>
        <v>0.12368928035257175</v>
      </c>
      <c r="AF233" s="215">
        <f t="shared" si="929"/>
        <v>0.10248203294349077</v>
      </c>
      <c r="AG233" s="4">
        <f t="shared" si="929"/>
        <v>0.13912250571847659</v>
      </c>
      <c r="AH233" s="4">
        <f t="shared" si="929"/>
        <v>9.5590150445848218E-2</v>
      </c>
      <c r="AI233" s="4">
        <f t="shared" si="929"/>
        <v>0.10585310419516365</v>
      </c>
      <c r="AJ233" s="215">
        <f t="shared" si="929"/>
        <v>0.13757592430832971</v>
      </c>
      <c r="AK233" s="4">
        <f t="shared" si="929"/>
        <v>8.6660795838289104E-2</v>
      </c>
      <c r="AL233" s="4">
        <f t="shared" si="929"/>
        <v>8.1379343501947018E-2</v>
      </c>
      <c r="AM233" s="4">
        <f t="shared" si="929"/>
        <v>6.9415460764924053E-2</v>
      </c>
      <c r="AN233" s="215">
        <f t="shared" si="929"/>
        <v>0.10612851625374112</v>
      </c>
      <c r="AO233" s="4">
        <f t="shared" si="929"/>
        <v>6.5060606854211361E-2</v>
      </c>
      <c r="AP233" s="4">
        <f t="shared" si="929"/>
        <v>6.6196518664263973E-2</v>
      </c>
      <c r="AQ233" s="4">
        <f t="shared" si="929"/>
        <v>5.6790203083825347E-2</v>
      </c>
      <c r="AR233" s="215">
        <f t="shared" si="929"/>
        <v>8.5733293821524253E-2</v>
      </c>
      <c r="AS233" s="4">
        <f t="shared" si="929"/>
        <v>5.5005478173088332E-2</v>
      </c>
      <c r="AT233" s="4">
        <f t="shared" si="929"/>
        <v>5.7777059185603642E-2</v>
      </c>
      <c r="AU233" s="4">
        <f t="shared" si="929"/>
        <v>5.0157740417713717E-2</v>
      </c>
      <c r="AV233" s="215">
        <f t="shared" si="929"/>
        <v>7.4122287643270363E-2</v>
      </c>
      <c r="AW233" s="4">
        <f t="shared" si="929"/>
        <v>4.6944705254507529E-2</v>
      </c>
      <c r="AX233" s="4">
        <f t="shared" si="929"/>
        <v>5.014887822890976E-2</v>
      </c>
      <c r="AY233" s="4">
        <f t="shared" si="929"/>
        <v>4.4013135814837706E-2</v>
      </c>
      <c r="AZ233" s="4">
        <f t="shared" si="929"/>
        <v>6.3821022704039512E-2</v>
      </c>
    </row>
    <row r="234" spans="2:52" outlineLevel="1">
      <c r="B234" s="3"/>
      <c r="G234" s="10"/>
      <c r="H234" s="10"/>
      <c r="I234" s="10"/>
      <c r="J234" s="38"/>
      <c r="K234" s="10"/>
      <c r="AE234" s="10"/>
      <c r="AF234" s="255"/>
      <c r="AG234" s="10"/>
      <c r="AH234" s="10"/>
      <c r="AI234" s="10"/>
      <c r="AJ234" s="255"/>
      <c r="AK234" s="10"/>
      <c r="AL234" s="10"/>
      <c r="AM234" s="10"/>
    </row>
    <row r="235" spans="2:52">
      <c r="B235" s="1" t="s">
        <v>38</v>
      </c>
      <c r="F235" s="58"/>
      <c r="G235" s="58"/>
      <c r="H235" s="58"/>
      <c r="I235" s="58">
        <f>IQ_IS!I91</f>
        <v>448.43</v>
      </c>
      <c r="J235" s="58">
        <f>IQ_IS!J91</f>
        <v>823.74900000000002</v>
      </c>
      <c r="K235" s="58">
        <f>IQ_IS!K91</f>
        <v>1272.2950000000001</v>
      </c>
      <c r="L235" s="58">
        <f ca="1">SUM(OFFSET($P235,0,L$1,1,4))</f>
        <v>1836.6413586506762</v>
      </c>
      <c r="M235" s="58">
        <f ca="1">SUM(OFFSET($P235,0,M$1,1,4))</f>
        <v>2385.36079158443</v>
      </c>
      <c r="N235" s="58">
        <f ca="1">SUM(OFFSET($P235,0,N$1,1,4))</f>
        <v>3040.9887135082258</v>
      </c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212"/>
      <c r="AC235" s="58">
        <f ca="1">AC236*AC214</f>
        <v>67.086642399989941</v>
      </c>
      <c r="AD235" s="58">
        <f t="shared" ref="AD235:AN235" ca="1" si="930">AD236*AD214</f>
        <v>86.903136947937924</v>
      </c>
      <c r="AE235" s="58">
        <f t="shared" ca="1" si="930"/>
        <v>116.49475615870833</v>
      </c>
      <c r="AF235" s="212">
        <f t="shared" ca="1" si="930"/>
        <v>177.94546449336383</v>
      </c>
      <c r="AG235" s="58">
        <f t="shared" ca="1" si="930"/>
        <v>141.14025089106411</v>
      </c>
      <c r="AH235" s="58">
        <f t="shared" ca="1" si="930"/>
        <v>212.52570217221822</v>
      </c>
      <c r="AI235" s="58">
        <f t="shared" ca="1" si="930"/>
        <v>238.79982920828627</v>
      </c>
      <c r="AJ235" s="212">
        <f t="shared" ca="1" si="930"/>
        <v>231.28321772843151</v>
      </c>
      <c r="AK235" s="58">
        <f t="shared" ca="1" si="930"/>
        <v>240.42904176921286</v>
      </c>
      <c r="AL235" s="58">
        <f t="shared" ca="1" si="930"/>
        <v>316.73628578691302</v>
      </c>
      <c r="AM235" s="58">
        <f t="shared" ca="1" si="930"/>
        <v>362.43958707155736</v>
      </c>
      <c r="AN235" s="212">
        <f t="shared" ca="1" si="930"/>
        <v>352.69008537231667</v>
      </c>
      <c r="AO235" s="58">
        <f ca="1">AO236*AO214</f>
        <v>374.3592678503818</v>
      </c>
      <c r="AP235" s="58">
        <f t="shared" ref="AP235:AZ235" ca="1" si="931">AP236*AP214</f>
        <v>451.88096443237248</v>
      </c>
      <c r="AQ235" s="58">
        <f t="shared" ca="1" si="931"/>
        <v>510.56600035177627</v>
      </c>
      <c r="AR235" s="212">
        <f t="shared" ca="1" si="931"/>
        <v>499.83512601614581</v>
      </c>
      <c r="AS235" s="58">
        <f t="shared" ca="1" si="931"/>
        <v>503.72725315153332</v>
      </c>
      <c r="AT235" s="58">
        <f t="shared" ca="1" si="931"/>
        <v>585.4148332518896</v>
      </c>
      <c r="AU235" s="58">
        <f t="shared" ca="1" si="931"/>
        <v>649.87437963945831</v>
      </c>
      <c r="AV235" s="212">
        <f t="shared" ca="1" si="931"/>
        <v>646.34432554154876</v>
      </c>
      <c r="AW235" s="58">
        <f t="shared" ca="1" si="931"/>
        <v>656.37725796979521</v>
      </c>
      <c r="AX235" s="58">
        <f t="shared" ca="1" si="931"/>
        <v>746.28124408452982</v>
      </c>
      <c r="AY235" s="58">
        <f t="shared" ca="1" si="931"/>
        <v>815.52052632864434</v>
      </c>
      <c r="AZ235" s="58">
        <f t="shared" ca="1" si="931"/>
        <v>822.80968512525624</v>
      </c>
    </row>
    <row r="236" spans="2:52">
      <c r="B236" s="3" t="s">
        <v>284</v>
      </c>
      <c r="F236" s="71"/>
      <c r="G236" s="71"/>
      <c r="H236" s="71"/>
      <c r="I236" s="71">
        <f ca="1">I235/I$214</f>
        <v>8.4313794799518074E-2</v>
      </c>
      <c r="J236" s="71">
        <f t="shared" ref="J236" ca="1" si="932">J235/J$214</f>
        <v>7.3304188412860738E-2</v>
      </c>
      <c r="K236" s="71">
        <f t="shared" ref="K236" ca="1" si="933">K235/K$214</f>
        <v>7.3211495913018204E-2</v>
      </c>
      <c r="L236" s="71">
        <f t="shared" ref="L236" ca="1" si="934">L235/L$214</f>
        <v>7.3211495913018204E-2</v>
      </c>
      <c r="M236" s="71">
        <f t="shared" ref="M236" ca="1" si="935">M235/M$214</f>
        <v>7.3211495913018204E-2</v>
      </c>
      <c r="N236" s="71">
        <f t="shared" ref="N236" ca="1" si="936">N235/N$214</f>
        <v>7.3211495913018204E-2</v>
      </c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241"/>
      <c r="AC236" s="71">
        <f ca="1">I236</f>
        <v>8.4313794799518074E-2</v>
      </c>
      <c r="AD236" s="71">
        <f ca="1">AC236</f>
        <v>8.4313794799518074E-2</v>
      </c>
      <c r="AE236" s="71">
        <f t="shared" ref="AE236:AF236" ca="1" si="937">AD236</f>
        <v>8.4313794799518074E-2</v>
      </c>
      <c r="AF236" s="241">
        <f t="shared" ca="1" si="937"/>
        <v>8.4313794799518074E-2</v>
      </c>
      <c r="AG236" s="71">
        <f ca="1">J236</f>
        <v>7.3304188412860738E-2</v>
      </c>
      <c r="AH236" s="71">
        <f ca="1">AG236</f>
        <v>7.3304188412860738E-2</v>
      </c>
      <c r="AI236" s="71">
        <f t="shared" ref="AI236:AJ236" ca="1" si="938">AH236</f>
        <v>7.3304188412860738E-2</v>
      </c>
      <c r="AJ236" s="241">
        <f t="shared" ca="1" si="938"/>
        <v>7.3304188412860738E-2</v>
      </c>
      <c r="AK236" s="71">
        <f ca="1">K236</f>
        <v>7.3211495913018204E-2</v>
      </c>
      <c r="AL236" s="71">
        <f ca="1">AK236</f>
        <v>7.3211495913018204E-2</v>
      </c>
      <c r="AM236" s="71">
        <f t="shared" ref="AM236:AN236" ca="1" si="939">AL236</f>
        <v>7.3211495913018204E-2</v>
      </c>
      <c r="AN236" s="241">
        <f t="shared" ca="1" si="939"/>
        <v>7.3211495913018204E-2</v>
      </c>
      <c r="AO236" s="234">
        <f t="shared" ref="AO236" ca="1" si="940">AN236</f>
        <v>7.3211495913018204E-2</v>
      </c>
      <c r="AP236" s="66">
        <f t="shared" ref="AP236" ca="1" si="941">AO236</f>
        <v>7.3211495913018204E-2</v>
      </c>
      <c r="AQ236" s="66">
        <f t="shared" ref="AQ236" ca="1" si="942">AP236</f>
        <v>7.3211495913018204E-2</v>
      </c>
      <c r="AR236" s="246">
        <f t="shared" ref="AR236" ca="1" si="943">AQ236</f>
        <v>7.3211495913018204E-2</v>
      </c>
      <c r="AS236" s="234">
        <f t="shared" ref="AS236" ca="1" si="944">AR236</f>
        <v>7.3211495913018204E-2</v>
      </c>
      <c r="AT236" s="66">
        <f t="shared" ref="AT236" ca="1" si="945">AS236</f>
        <v>7.3211495913018204E-2</v>
      </c>
      <c r="AU236" s="66">
        <f t="shared" ref="AU236" ca="1" si="946">AT236</f>
        <v>7.3211495913018204E-2</v>
      </c>
      <c r="AV236" s="246">
        <f t="shared" ref="AV236" ca="1" si="947">AU236</f>
        <v>7.3211495913018204E-2</v>
      </c>
      <c r="AW236" s="234">
        <f t="shared" ref="AW236" ca="1" si="948">AV236</f>
        <v>7.3211495913018204E-2</v>
      </c>
      <c r="AX236" s="66">
        <f t="shared" ref="AX236" ca="1" si="949">AW236</f>
        <v>7.3211495913018204E-2</v>
      </c>
      <c r="AY236" s="66">
        <f t="shared" ref="AY236" ca="1" si="950">AX236</f>
        <v>7.3211495913018204E-2</v>
      </c>
      <c r="AZ236" s="66">
        <f t="shared" ref="AZ236" ca="1" si="951">AY236</f>
        <v>7.3211495913018204E-2</v>
      </c>
    </row>
    <row r="237" spans="2:52">
      <c r="B237" s="3" t="s">
        <v>397</v>
      </c>
      <c r="F237" s="58"/>
      <c r="G237" s="58"/>
      <c r="H237" s="58"/>
      <c r="I237" s="58">
        <f ca="1">I238*I214</f>
        <v>297.84070400000002</v>
      </c>
      <c r="J237" s="58">
        <f t="shared" ref="J237:K237" ca="1" si="952">J238*J214</f>
        <v>629.29479199999992</v>
      </c>
      <c r="K237" s="58">
        <f t="shared" ca="1" si="952"/>
        <v>973.18760000000009</v>
      </c>
      <c r="L237" s="58">
        <f ca="1">SUM(OFFSET($P237,0,L$1,1,4))</f>
        <v>1404.8601903536451</v>
      </c>
      <c r="M237" s="58">
        <f ca="1">SUM(OFFSET($P237,0,M$1,1,4))</f>
        <v>1824.5796327865407</v>
      </c>
      <c r="N237" s="58">
        <f ca="1">SUM(OFFSET($P237,0,N$1,1,4))</f>
        <v>2326.0741476828553</v>
      </c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212"/>
      <c r="AC237" s="58">
        <f>AC238*AC214</f>
        <v>44.557975160915312</v>
      </c>
      <c r="AD237" s="58">
        <f t="shared" ref="AD237:AN237" si="953">AD238*AD214</f>
        <v>57.719803510876254</v>
      </c>
      <c r="AE237" s="58">
        <f t="shared" si="953"/>
        <v>77.374127927698908</v>
      </c>
      <c r="AF237" s="212">
        <f t="shared" si="953"/>
        <v>118.18879740050951</v>
      </c>
      <c r="AG237" s="58">
        <f t="shared" si="953"/>
        <v>107.82268000000001</v>
      </c>
      <c r="AH237" s="58">
        <f t="shared" si="953"/>
        <v>162.35687999999999</v>
      </c>
      <c r="AI237" s="58">
        <f t="shared" si="953"/>
        <v>182.42873600000001</v>
      </c>
      <c r="AJ237" s="212">
        <f t="shared" si="953"/>
        <v>176.68649600000001</v>
      </c>
      <c r="AK237" s="58">
        <f t="shared" si="953"/>
        <v>183.90590400000005</v>
      </c>
      <c r="AL237" s="58">
        <f t="shared" si="953"/>
        <v>242.27386400000003</v>
      </c>
      <c r="AM237" s="58">
        <f t="shared" si="953"/>
        <v>277.23264799999998</v>
      </c>
      <c r="AN237" s="212">
        <f t="shared" si="953"/>
        <v>269.77518399999997</v>
      </c>
      <c r="AO237" s="58">
        <f>AO238*AO214</f>
        <v>286.35009759298765</v>
      </c>
      <c r="AP237" s="58">
        <f t="shared" ref="AP237:AZ237" si="954">AP238*AP214</f>
        <v>345.64700109772184</v>
      </c>
      <c r="AQ237" s="58">
        <f t="shared" si="954"/>
        <v>390.53560732687333</v>
      </c>
      <c r="AR237" s="212">
        <f t="shared" si="954"/>
        <v>382.32748433606241</v>
      </c>
      <c r="AS237" s="58">
        <f t="shared" si="954"/>
        <v>385.30460038680746</v>
      </c>
      <c r="AT237" s="58">
        <f t="shared" si="954"/>
        <v>447.78801816937636</v>
      </c>
      <c r="AU237" s="58">
        <f t="shared" si="954"/>
        <v>497.09358900476178</v>
      </c>
      <c r="AV237" s="212">
        <f t="shared" si="954"/>
        <v>494.39342522559514</v>
      </c>
      <c r="AW237" s="58">
        <f t="shared" si="954"/>
        <v>502.06768742957092</v>
      </c>
      <c r="AX237" s="58">
        <f t="shared" si="954"/>
        <v>570.83589329175845</v>
      </c>
      <c r="AY237" s="58">
        <f t="shared" si="954"/>
        <v>623.79751847528303</v>
      </c>
      <c r="AZ237" s="58">
        <f t="shared" si="954"/>
        <v>629.37304848624251</v>
      </c>
    </row>
    <row r="238" spans="2:52">
      <c r="B238" s="52" t="s">
        <v>284</v>
      </c>
      <c r="F238" s="160"/>
      <c r="G238" s="160"/>
      <c r="H238" s="160"/>
      <c r="I238" s="160">
        <v>5.6000000000000001E-2</v>
      </c>
      <c r="J238" s="160">
        <v>5.6000000000000001E-2</v>
      </c>
      <c r="K238" s="160">
        <v>5.6000000000000001E-2</v>
      </c>
      <c r="L238" s="160">
        <v>5.6000000000000001E-2</v>
      </c>
      <c r="M238" s="160">
        <v>5.6000000000000001E-2</v>
      </c>
      <c r="N238" s="160">
        <v>5.6000000000000001E-2</v>
      </c>
      <c r="Q238" s="160"/>
      <c r="R238" s="160"/>
      <c r="S238" s="160"/>
      <c r="T238" s="160"/>
      <c r="U238" s="160"/>
      <c r="V238" s="160"/>
      <c r="W238" s="160"/>
      <c r="X238" s="160"/>
      <c r="Y238" s="160"/>
      <c r="Z238" s="160"/>
      <c r="AA238" s="160"/>
      <c r="AB238" s="257"/>
      <c r="AC238" s="160">
        <v>5.6000000000000001E-2</v>
      </c>
      <c r="AD238" s="160">
        <v>5.6000000000000001E-2</v>
      </c>
      <c r="AE238" s="160">
        <v>5.6000000000000001E-2</v>
      </c>
      <c r="AF238" s="257">
        <v>5.6000000000000001E-2</v>
      </c>
      <c r="AG238" s="160">
        <v>5.6000000000000001E-2</v>
      </c>
      <c r="AH238" s="160">
        <v>5.6000000000000001E-2</v>
      </c>
      <c r="AI238" s="160">
        <v>5.6000000000000001E-2</v>
      </c>
      <c r="AJ238" s="257">
        <v>5.6000000000000001E-2</v>
      </c>
      <c r="AK238" s="160">
        <v>5.6000000000000001E-2</v>
      </c>
      <c r="AL238" s="160">
        <v>5.6000000000000001E-2</v>
      </c>
      <c r="AM238" s="160">
        <v>5.6000000000000001E-2</v>
      </c>
      <c r="AN238" s="257">
        <v>5.6000000000000001E-2</v>
      </c>
      <c r="AO238" s="160">
        <v>5.6000000000000001E-2</v>
      </c>
      <c r="AP238" s="160">
        <v>5.6000000000000001E-2</v>
      </c>
      <c r="AQ238" s="160">
        <v>5.6000000000000001E-2</v>
      </c>
      <c r="AR238" s="257">
        <v>5.6000000000000001E-2</v>
      </c>
      <c r="AS238" s="160">
        <v>5.6000000000000001E-2</v>
      </c>
      <c r="AT238" s="160">
        <v>5.6000000000000001E-2</v>
      </c>
      <c r="AU238" s="160">
        <v>5.6000000000000001E-2</v>
      </c>
      <c r="AV238" s="257">
        <v>5.6000000000000001E-2</v>
      </c>
      <c r="AW238" s="160">
        <v>5.6000000000000001E-2</v>
      </c>
      <c r="AX238" s="160">
        <v>5.6000000000000001E-2</v>
      </c>
      <c r="AY238" s="160">
        <v>5.6000000000000001E-2</v>
      </c>
      <c r="AZ238" s="160">
        <v>5.6000000000000001E-2</v>
      </c>
    </row>
    <row r="239" spans="2:52">
      <c r="B239" s="3" t="s">
        <v>396</v>
      </c>
      <c r="F239" s="58"/>
      <c r="G239" s="58"/>
      <c r="H239" s="58"/>
      <c r="I239" s="58">
        <f t="shared" ref="I239:K239" ca="1" si="955">I235-I237</f>
        <v>150.58929599999999</v>
      </c>
      <c r="J239" s="58">
        <f t="shared" ca="1" si="955"/>
        <v>194.45420800000011</v>
      </c>
      <c r="K239" s="58">
        <f t="shared" ca="1" si="955"/>
        <v>299.10739999999998</v>
      </c>
      <c r="L239" s="58">
        <f ca="1">SUM(OFFSET($P239,0,L$1,1,4))</f>
        <v>431.78116829703112</v>
      </c>
      <c r="M239" s="58">
        <f ca="1">SUM(OFFSET($P239,0,M$1,1,4))</f>
        <v>560.78115879788925</v>
      </c>
      <c r="N239" s="58">
        <f ca="1">SUM(OFFSET($P239,0,N$1,1,4))</f>
        <v>714.91456582537069</v>
      </c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212"/>
      <c r="AC239" s="58">
        <f t="shared" ref="AC239:AN239" ca="1" si="956">AC235-AC237</f>
        <v>22.528667239074629</v>
      </c>
      <c r="AD239" s="58">
        <f t="shared" ca="1" si="956"/>
        <v>29.18333343706167</v>
      </c>
      <c r="AE239" s="58">
        <f t="shared" ca="1" si="956"/>
        <v>39.12062823100942</v>
      </c>
      <c r="AF239" s="212">
        <f t="shared" ca="1" si="956"/>
        <v>59.756667092854315</v>
      </c>
      <c r="AG239" s="58">
        <f t="shared" ca="1" si="956"/>
        <v>33.317570891064108</v>
      </c>
      <c r="AH239" s="58">
        <f t="shared" ca="1" si="956"/>
        <v>50.168822172218228</v>
      </c>
      <c r="AI239" s="58">
        <f t="shared" ca="1" si="956"/>
        <v>56.371093208286254</v>
      </c>
      <c r="AJ239" s="212">
        <f t="shared" ca="1" si="956"/>
        <v>54.596721728431504</v>
      </c>
      <c r="AK239" s="58">
        <f t="shared" ca="1" si="956"/>
        <v>56.523137769212809</v>
      </c>
      <c r="AL239" s="58">
        <f t="shared" ca="1" si="956"/>
        <v>74.462421786912984</v>
      </c>
      <c r="AM239" s="58">
        <f t="shared" ca="1" si="956"/>
        <v>85.206939071557372</v>
      </c>
      <c r="AN239" s="212">
        <f t="shared" ca="1" si="956"/>
        <v>82.914901372316706</v>
      </c>
      <c r="AO239" s="58">
        <f ca="1">AO235-AO237</f>
        <v>88.009170257394146</v>
      </c>
      <c r="AP239" s="58">
        <f t="shared" ref="AP239:AZ239" ca="1" si="957">AP235-AP237</f>
        <v>106.23396333465064</v>
      </c>
      <c r="AQ239" s="58">
        <f t="shared" ca="1" si="957"/>
        <v>120.03039302490293</v>
      </c>
      <c r="AR239" s="212">
        <f t="shared" ca="1" si="957"/>
        <v>117.5076416800834</v>
      </c>
      <c r="AS239" s="58">
        <f t="shared" ca="1" si="957"/>
        <v>118.42265276472585</v>
      </c>
      <c r="AT239" s="58">
        <f t="shared" ca="1" si="957"/>
        <v>137.62681508251325</v>
      </c>
      <c r="AU239" s="58">
        <f t="shared" ca="1" si="957"/>
        <v>152.78079063469653</v>
      </c>
      <c r="AV239" s="212">
        <f t="shared" ca="1" si="957"/>
        <v>151.95090031595362</v>
      </c>
      <c r="AW239" s="58">
        <f t="shared" ca="1" si="957"/>
        <v>154.30957054022429</v>
      </c>
      <c r="AX239" s="58">
        <f t="shared" ca="1" si="957"/>
        <v>175.44535079277136</v>
      </c>
      <c r="AY239" s="58">
        <f t="shared" ca="1" si="957"/>
        <v>191.72300785336131</v>
      </c>
      <c r="AZ239" s="58">
        <f t="shared" ca="1" si="957"/>
        <v>193.43663663901373</v>
      </c>
    </row>
    <row r="240" spans="2:52">
      <c r="B240" s="52" t="s">
        <v>284</v>
      </c>
      <c r="F240" s="71"/>
      <c r="G240" s="71"/>
      <c r="H240" s="71"/>
      <c r="I240" s="71">
        <f ca="1">I239/I$214</f>
        <v>2.8313794799518066E-2</v>
      </c>
      <c r="J240" s="71">
        <f t="shared" ref="J240" ca="1" si="958">J239/J$214</f>
        <v>1.7304188412860737E-2</v>
      </c>
      <c r="K240" s="71">
        <f t="shared" ref="K240" ca="1" si="959">K239/K$214</f>
        <v>1.7211495913018206E-2</v>
      </c>
      <c r="L240" s="71">
        <f t="shared" ref="L240" ca="1" si="960">L239/L$214</f>
        <v>1.7211495913018203E-2</v>
      </c>
      <c r="M240" s="71">
        <f t="shared" ref="M240" ca="1" si="961">M239/M$214</f>
        <v>1.7211495913018203E-2</v>
      </c>
      <c r="N240" s="71">
        <f t="shared" ref="N240" ca="1" si="962">N239/N$214</f>
        <v>1.7211495913018203E-2</v>
      </c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241"/>
      <c r="AC240" s="71">
        <f ca="1">AC239/BIDU_IS!AC$82</f>
        <v>1.7704791436593944E-3</v>
      </c>
      <c r="AD240" s="71">
        <f ca="1">AD239/BIDU_IS!AD$82</f>
        <v>1.7606584856918299E-3</v>
      </c>
      <c r="AE240" s="71">
        <f ca="1">AE239/BIDU_IS!AE$82</f>
        <v>2.1280778902627597E-3</v>
      </c>
      <c r="AF240" s="241">
        <f ca="1">AF239/BIDU_IS!AF$82</f>
        <v>3.1957497950324664E-3</v>
      </c>
      <c r="AG240" s="71">
        <f ca="1">AG239/BIDU_IS!AG$82</f>
        <v>2.1059649986779308E-3</v>
      </c>
      <c r="AH240" s="71">
        <f ca="1">AH239/BIDU_IS!AH$82</f>
        <v>2.7469223110420343E-3</v>
      </c>
      <c r="AI240" s="71">
        <f ca="1">AI239/BIDU_IS!AI$82</f>
        <v>3.0883601327495887E-3</v>
      </c>
      <c r="AJ240" s="241">
        <f ca="1">AJ239/BIDU_IS!AJ$82</f>
        <v>2.9977799024362541E-3</v>
      </c>
      <c r="AK240" s="71">
        <f ca="1">AK239/BIDU_IS!AK$82</f>
        <v>3.346389038118288E-3</v>
      </c>
      <c r="AL240" s="71">
        <f ca="1">AL239/BIDU_IS!AL$82</f>
        <v>3.5672330069422718E-3</v>
      </c>
      <c r="AM240" s="71">
        <f ca="1">AM239/BIDU_IS!AM$82</f>
        <v>3.6275251850465058E-3</v>
      </c>
      <c r="AN240" s="241">
        <f ca="1">AN239/BIDU_IS!AN$82</f>
        <v>3.5199058147527894E-3</v>
      </c>
      <c r="AO240" s="71">
        <f ca="1">AO239/BIDU_IS!AO$82</f>
        <v>4.0195772902172598E-3</v>
      </c>
      <c r="AP240" s="71">
        <f ca="1">AP239/BIDU_IS!AP$82</f>
        <v>4.0530425889546149E-3</v>
      </c>
      <c r="AQ240" s="71">
        <f ca="1">AQ239/BIDU_IS!AQ$82</f>
        <v>4.1931825568456288E-3</v>
      </c>
      <c r="AR240" s="241">
        <f ca="1">AR239/BIDU_IS!AR$82</f>
        <v>4.1144516381776937E-3</v>
      </c>
      <c r="AS240" s="71">
        <f ca="1">AS239/BIDU_IS!AS$82</f>
        <v>4.2691839803273048E-3</v>
      </c>
      <c r="AT240" s="71">
        <f ca="1">AT239/BIDU_IS!AT$82</f>
        <v>4.3021939498791685E-3</v>
      </c>
      <c r="AU240" s="71">
        <f ca="1">AU239/BIDU_IS!AU$82</f>
        <v>4.3631929622005858E-3</v>
      </c>
      <c r="AV240" s="241">
        <f ca="1">AV239/BIDU_IS!AV$82</f>
        <v>4.488386524647137E-3</v>
      </c>
      <c r="AW240" s="71">
        <f ca="1">AW239/BIDU_IS!AW$82</f>
        <v>4.5812592129260742E-3</v>
      </c>
      <c r="AX240" s="71">
        <f ca="1">AX239/BIDU_IS!AX$82</f>
        <v>4.592934496621107E-3</v>
      </c>
      <c r="AY240" s="71">
        <f ca="1">AY239/BIDU_IS!AY$82</f>
        <v>4.6137269153206893E-3</v>
      </c>
      <c r="AZ240" s="71">
        <f ca="1">AZ239/BIDU_IS!AZ$82</f>
        <v>4.6841892740899435E-3</v>
      </c>
    </row>
    <row r="241" spans="2:52">
      <c r="B241" s="1" t="s">
        <v>37</v>
      </c>
      <c r="F241" s="58"/>
      <c r="G241" s="58"/>
      <c r="H241" s="58"/>
      <c r="I241" s="58">
        <f>IQ_IS!I94</f>
        <v>1167</v>
      </c>
      <c r="J241" s="58">
        <f>IQ_IS!J94</f>
        <v>1874.6</v>
      </c>
      <c r="K241" s="58">
        <f>IQ_IS!K94</f>
        <v>2190.1999999999998</v>
      </c>
      <c r="L241" s="58">
        <f ca="1">SUM(OFFSET($P241,0,L$1,1,4))</f>
        <v>2438.6955084412475</v>
      </c>
      <c r="M241" s="58">
        <f ca="1">SUM(OFFSET($P241,0,M$1,1,4))</f>
        <v>2721.0453612659048</v>
      </c>
      <c r="N241" s="58">
        <f ca="1">SUM(OFFSET($P241,0,N$1,1,4))</f>
        <v>2983.6098642352426</v>
      </c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212"/>
      <c r="AC241" s="58">
        <f>AC242*AC214</f>
        <v>198.91953196837193</v>
      </c>
      <c r="AD241" s="58">
        <f t="shared" ref="AD241:AG241" si="963">AD242*AD214</f>
        <v>237.06347870538463</v>
      </c>
      <c r="AE241" s="58">
        <f t="shared" si="963"/>
        <v>297.06138400812972</v>
      </c>
      <c r="AF241" s="212">
        <f>I241-SUM(AC241:AE241)</f>
        <v>433.95560531811373</v>
      </c>
      <c r="AG241" s="58">
        <f t="shared" si="963"/>
        <v>375.45397500000001</v>
      </c>
      <c r="AH241" s="58">
        <f t="shared" ref="AH241" si="964">AH242*AH214</f>
        <v>492.86909999999995</v>
      </c>
      <c r="AI241" s="58">
        <f t="shared" ref="AI241:AK241" si="965">AI242*AI214</f>
        <v>521.22496000000001</v>
      </c>
      <c r="AJ241" s="212">
        <f>J241-SUM(AG241:AI241)</f>
        <v>485.05196499999988</v>
      </c>
      <c r="AK241" s="58">
        <f t="shared" si="965"/>
        <v>476.18493000000007</v>
      </c>
      <c r="AL241" s="58">
        <f t="shared" ref="AL241" si="966">AL242*AL214</f>
        <v>562.42147000000011</v>
      </c>
      <c r="AM241" s="58">
        <f t="shared" ref="AM241" si="967">AM242*AM214</f>
        <v>594.06995999999992</v>
      </c>
      <c r="AN241" s="212">
        <f>K241-SUM(AK241:AM241)</f>
        <v>557.52363999999989</v>
      </c>
      <c r="AO241" s="58">
        <f>AO243*AO150</f>
        <v>515.22065239580195</v>
      </c>
      <c r="AP241" s="58">
        <f t="shared" ref="AP241:AZ241" si="968">AP243*AP150</f>
        <v>620.17909342445284</v>
      </c>
      <c r="AQ241" s="58">
        <f t="shared" si="968"/>
        <v>659.51961664694829</v>
      </c>
      <c r="AR241" s="212">
        <f t="shared" si="968"/>
        <v>643.77614597404477</v>
      </c>
      <c r="AS241" s="58">
        <f t="shared" si="968"/>
        <v>576.66216417433952</v>
      </c>
      <c r="AT241" s="58">
        <f t="shared" si="968"/>
        <v>693.40053808961079</v>
      </c>
      <c r="AU241" s="58">
        <f t="shared" si="968"/>
        <v>728.2151799168945</v>
      </c>
      <c r="AV241" s="212">
        <f t="shared" si="968"/>
        <v>722.76747908506013</v>
      </c>
      <c r="AW241" s="58">
        <f t="shared" si="968"/>
        <v>634.06752871393553</v>
      </c>
      <c r="AX241" s="58">
        <f t="shared" si="968"/>
        <v>761.69286368551855</v>
      </c>
      <c r="AY241" s="58">
        <f t="shared" si="968"/>
        <v>790.91159404701955</v>
      </c>
      <c r="AZ241" s="58">
        <f t="shared" si="968"/>
        <v>796.9378777887689</v>
      </c>
    </row>
    <row r="242" spans="2:52">
      <c r="B242" s="3" t="s">
        <v>284</v>
      </c>
      <c r="F242" s="71"/>
      <c r="G242" s="71"/>
      <c r="H242" s="71"/>
      <c r="I242" s="71">
        <f ca="1">I241/I$214</f>
        <v>0.21941930408544832</v>
      </c>
      <c r="J242" s="71">
        <f t="shared" ref="J242" ca="1" si="969">J241/J$214</f>
        <v>0.16681784329783553</v>
      </c>
      <c r="K242" s="71">
        <f t="shared" ref="K242" ca="1" si="970">K241/K$214</f>
        <v>0.12603037687697621</v>
      </c>
      <c r="L242" s="71">
        <f t="shared" ref="L242" ca="1" si="971">L241/L$214</f>
        <v>9.7210348339596617E-2</v>
      </c>
      <c r="M242" s="71">
        <f t="shared" ref="M242" ca="1" si="972">M241/M$214</f>
        <v>8.3514327077177E-2</v>
      </c>
      <c r="N242" s="71">
        <f t="shared" ref="N242" ca="1" si="973">N241/N$214</f>
        <v>7.1830105916277157E-2</v>
      </c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241"/>
      <c r="AC242" s="160">
        <v>0.25</v>
      </c>
      <c r="AD242" s="160">
        <v>0.23</v>
      </c>
      <c r="AE242" s="160">
        <v>0.215</v>
      </c>
      <c r="AF242" s="241">
        <f t="shared" ref="AF242" si="974">AF241/AF$214</f>
        <v>0.20561605187895418</v>
      </c>
      <c r="AG242" s="160">
        <v>0.19500000000000001</v>
      </c>
      <c r="AH242" s="160">
        <v>0.17</v>
      </c>
      <c r="AI242" s="160">
        <v>0.16</v>
      </c>
      <c r="AJ242" s="241">
        <f t="shared" ref="AJ242" si="975">AJ241/AJ$214</f>
        <v>0.15373506552532454</v>
      </c>
      <c r="AK242" s="160">
        <v>0.14499999999999999</v>
      </c>
      <c r="AL242" s="160">
        <v>0.13</v>
      </c>
      <c r="AM242" s="160">
        <v>0.12</v>
      </c>
      <c r="AN242" s="241">
        <f t="shared" ref="AN242" si="976">AN241/AN$214</f>
        <v>0.11573089628584961</v>
      </c>
      <c r="AO242" s="71">
        <f t="shared" ref="AO242" si="977">AO241/AO$214</f>
        <v>0.10075902462298118</v>
      </c>
      <c r="AP242" s="71">
        <f t="shared" ref="AP242" si="978">AP241/AP$214</f>
        <v>0.10047831782562013</v>
      </c>
      <c r="AQ242" s="71">
        <f t="shared" ref="AQ242" si="979">AQ241/AQ$214</f>
        <v>9.4570374222795434E-2</v>
      </c>
      <c r="AR242" s="241">
        <f t="shared" ref="AR242" si="980">AR241/AR$214</f>
        <v>9.4294722852981183E-2</v>
      </c>
      <c r="AS242" s="71">
        <f t="shared" ref="AS242" si="981">AS241/AS$214</f>
        <v>8.3811823584104564E-2</v>
      </c>
      <c r="AT242" s="71">
        <f t="shared" ref="AT242" si="982">AT241/AT$214</f>
        <v>8.6716099041155112E-2</v>
      </c>
      <c r="AU242" s="71">
        <f t="shared" ref="AU242" si="983">AU241/AU$214</f>
        <v>8.2036966433207112E-2</v>
      </c>
      <c r="AV242" s="241">
        <f t="shared" ref="AV242" si="984">AV241/AV$214</f>
        <v>8.1867955283374483E-2</v>
      </c>
      <c r="AW242" s="71">
        <f t="shared" ref="AW242" si="985">AW241/AW$214</f>
        <v>7.0723096699907326E-2</v>
      </c>
      <c r="AX242" s="71">
        <f t="shared" ref="AX242" si="986">AX241/AX$214</f>
        <v>7.4723402763651831E-2</v>
      </c>
      <c r="AY242" s="71">
        <f t="shared" ref="AY242" si="987">AY241/AY$214</f>
        <v>7.1002285124332473E-2</v>
      </c>
      <c r="AZ242" s="71">
        <f t="shared" ref="AZ242" si="988">AZ241/AZ$214</f>
        <v>7.0909488837360979E-2</v>
      </c>
    </row>
    <row r="243" spans="2:52">
      <c r="B243" s="3" t="s">
        <v>553</v>
      </c>
      <c r="F243" s="71"/>
      <c r="G243" s="71"/>
      <c r="H243" s="71"/>
      <c r="I243" s="58">
        <f ca="1">I241/I150</f>
        <v>3.7486905552125527</v>
      </c>
      <c r="J243" s="58">
        <f t="shared" ref="J243:K243" ca="1" si="989">J241/J150</f>
        <v>4.8966709996967444</v>
      </c>
      <c r="K243" s="58">
        <f t="shared" ca="1" si="989"/>
        <v>5.0586602250156592</v>
      </c>
      <c r="L243" s="58">
        <f t="shared" ref="L243:N243" ca="1" si="990">L241/L150</f>
        <v>5.3176339571578586</v>
      </c>
      <c r="M243" s="58">
        <f t="shared" ca="1" si="990"/>
        <v>5.4766249509960954</v>
      </c>
      <c r="N243" s="58">
        <f t="shared" ca="1" si="990"/>
        <v>5.5856659101977133</v>
      </c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212"/>
      <c r="AC243" s="58">
        <f t="shared" ref="AC243:AN243" si="991">AC241/AC150</f>
        <v>0.73840139860923426</v>
      </c>
      <c r="AD243" s="58">
        <f t="shared" si="991"/>
        <v>0.88541682102252783</v>
      </c>
      <c r="AE243" s="58">
        <f t="shared" si="991"/>
        <v>0.86707822290082859</v>
      </c>
      <c r="AF243" s="212">
        <f t="shared" si="991"/>
        <v>1.1872930378060567</v>
      </c>
      <c r="AG243" s="58">
        <f t="shared" si="991"/>
        <v>1.0316690420492327</v>
      </c>
      <c r="AH243" s="58">
        <f t="shared" si="991"/>
        <v>1.4214559353470964</v>
      </c>
      <c r="AI243" s="58">
        <f t="shared" si="991"/>
        <v>1.2551714236873344</v>
      </c>
      <c r="AJ243" s="212">
        <f t="shared" si="991"/>
        <v>1.1964774666995557</v>
      </c>
      <c r="AK243" s="58">
        <f t="shared" si="991"/>
        <v>1.1146321146599751</v>
      </c>
      <c r="AL243" s="58">
        <f t="shared" si="991"/>
        <v>1.3075207538883842</v>
      </c>
      <c r="AM243" s="58">
        <f t="shared" si="991"/>
        <v>1.31087483820631</v>
      </c>
      <c r="AN243" s="212">
        <f t="shared" si="991"/>
        <v>1.3233411820555421</v>
      </c>
      <c r="AO243" s="58">
        <f>AK243*(1+AO244)</f>
        <v>1.170363720392974</v>
      </c>
      <c r="AP243" s="58">
        <f t="shared" ref="AP243:AZ243" si="992">AL243*(1+AP244)</f>
        <v>1.3728967915828034</v>
      </c>
      <c r="AQ243" s="58">
        <f t="shared" si="992"/>
        <v>1.3764185801166255</v>
      </c>
      <c r="AR243" s="212">
        <f t="shared" si="992"/>
        <v>1.3895082411583193</v>
      </c>
      <c r="AS243" s="58">
        <f t="shared" si="992"/>
        <v>1.2054746320047631</v>
      </c>
      <c r="AT243" s="58">
        <f t="shared" si="992"/>
        <v>1.4140836953302875</v>
      </c>
      <c r="AU243" s="58">
        <f t="shared" si="992"/>
        <v>1.4177111375201243</v>
      </c>
      <c r="AV243" s="212">
        <f t="shared" si="992"/>
        <v>1.4311934883930688</v>
      </c>
      <c r="AW243" s="58">
        <f t="shared" si="992"/>
        <v>1.2295841246448584</v>
      </c>
      <c r="AX243" s="58">
        <f t="shared" si="992"/>
        <v>1.4423653692368934</v>
      </c>
      <c r="AY243" s="58">
        <f t="shared" si="992"/>
        <v>1.4460653602705269</v>
      </c>
      <c r="AZ243" s="58">
        <f t="shared" si="992"/>
        <v>1.4598173581609302</v>
      </c>
    </row>
    <row r="244" spans="2:52">
      <c r="B244" s="52" t="s">
        <v>554</v>
      </c>
      <c r="F244" s="71"/>
      <c r="G244" s="71"/>
      <c r="H244" s="71"/>
      <c r="I244" s="71"/>
      <c r="J244" s="71">
        <f ca="1">J243/I243-1</f>
        <v>0.30623505130022677</v>
      </c>
      <c r="K244" s="71">
        <f ca="1">K243/J243-1</f>
        <v>3.3081500743861847E-2</v>
      </c>
      <c r="L244" s="71">
        <f t="shared" ref="L244:N244" ca="1" si="993">L243/K243-1</f>
        <v>5.1194134538141922E-2</v>
      </c>
      <c r="M244" s="71">
        <f t="shared" ca="1" si="993"/>
        <v>2.9898822506243539E-2</v>
      </c>
      <c r="N244" s="71">
        <f t="shared" ca="1" si="993"/>
        <v>1.9910247675767101E-2</v>
      </c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241"/>
      <c r="AC244" s="71"/>
      <c r="AD244" s="71"/>
      <c r="AE244" s="71"/>
      <c r="AF244" s="241"/>
      <c r="AG244" s="71">
        <f>AG243/AC243-1</f>
        <v>0.39716561208085843</v>
      </c>
      <c r="AH244" s="71">
        <f t="shared" ref="AH244:AN244" si="994">AH243/AD243-1</f>
        <v>0.60540877651897462</v>
      </c>
      <c r="AI244" s="71">
        <f t="shared" si="994"/>
        <v>0.44758730012631598</v>
      </c>
      <c r="AJ244" s="241">
        <f t="shared" si="994"/>
        <v>7.7356041019751576E-3</v>
      </c>
      <c r="AK244" s="71">
        <f t="shared" si="994"/>
        <v>8.0416363416266234E-2</v>
      </c>
      <c r="AL244" s="71">
        <f t="shared" si="994"/>
        <v>-8.0153860999490734E-2</v>
      </c>
      <c r="AM244" s="71">
        <f t="shared" si="994"/>
        <v>4.4379128992066308E-2</v>
      </c>
      <c r="AN244" s="241">
        <f t="shared" si="994"/>
        <v>0.10603101093573941</v>
      </c>
      <c r="AO244" s="234">
        <v>0.05</v>
      </c>
      <c r="AP244" s="66">
        <v>0.05</v>
      </c>
      <c r="AQ244" s="66">
        <v>0.05</v>
      </c>
      <c r="AR244" s="246">
        <v>0.05</v>
      </c>
      <c r="AS244" s="234">
        <v>0.03</v>
      </c>
      <c r="AT244" s="66">
        <v>0.03</v>
      </c>
      <c r="AU244" s="66">
        <v>0.03</v>
      </c>
      <c r="AV244" s="246">
        <v>0.03</v>
      </c>
      <c r="AW244" s="234">
        <v>0.02</v>
      </c>
      <c r="AX244" s="66">
        <v>0.02</v>
      </c>
      <c r="AY244" s="66">
        <v>0.02</v>
      </c>
      <c r="AZ244" s="66">
        <v>0.02</v>
      </c>
    </row>
    <row r="245" spans="2:52">
      <c r="B245" s="1" t="s">
        <v>30</v>
      </c>
      <c r="F245" s="58"/>
      <c r="G245" s="58"/>
      <c r="H245" s="58"/>
      <c r="I245" s="58">
        <f>IQ_IS!I95</f>
        <v>3694.4</v>
      </c>
      <c r="J245" s="58">
        <f>IQ_IS!J95</f>
        <v>7541</v>
      </c>
      <c r="K245" s="58">
        <f>IQ_IS!K95</f>
        <v>12616.9</v>
      </c>
      <c r="L245" s="58">
        <f ca="1">SUM(OFFSET($P245,0,L$1,1,4))</f>
        <v>21454.363793391116</v>
      </c>
      <c r="M245" s="58">
        <f ca="1">SUM(OFFSET($P245,0,M$1,1,4))</f>
        <v>25542.969888122345</v>
      </c>
      <c r="N245" s="58">
        <f ca="1">SUM(OFFSET($P245,0,N$1,1,4))</f>
        <v>28837.936670780251</v>
      </c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212"/>
      <c r="AC245" s="58">
        <f ca="1">AC246*AC214</f>
        <v>552.69471641621396</v>
      </c>
      <c r="AD245" s="58">
        <f t="shared" ref="AD245:AF245" ca="1" si="995">AD246*AD214</f>
        <v>715.95332413188646</v>
      </c>
      <c r="AE245" s="58">
        <f t="shared" ca="1" si="995"/>
        <v>959.74450226954491</v>
      </c>
      <c r="AF245" s="212">
        <f t="shared" ca="1" si="995"/>
        <v>1466.0074571823545</v>
      </c>
      <c r="AG245" s="58">
        <f t="shared" ref="AG245" ca="1" si="996">AG246*AG214</f>
        <v>1292.0666756129774</v>
      </c>
      <c r="AH245" s="58">
        <f t="shared" ref="AH245" ca="1" si="997">AH246*AH214</f>
        <v>1945.5639036656764</v>
      </c>
      <c r="AI245" s="58">
        <f t="shared" ref="AI245" ca="1" si="998">AI246*AI214</f>
        <v>2186.0900736264157</v>
      </c>
      <c r="AJ245" s="212">
        <f t="shared" ref="AJ245" ca="1" si="999">AJ246*AJ214</f>
        <v>2117.2793470949305</v>
      </c>
      <c r="AK245" s="58">
        <f t="shared" ref="AK245" ca="1" si="1000">AK246*AK214</f>
        <v>2565.0350945357932</v>
      </c>
      <c r="AL245" s="58">
        <f t="shared" ref="AL245" ca="1" si="1001">AL246*AL214</f>
        <v>3033.0190765044817</v>
      </c>
      <c r="AM245" s="58">
        <f t="shared" ref="AM245" ca="1" si="1002">AM246*AM214</f>
        <v>3619.1845117380603</v>
      </c>
      <c r="AN245" s="212">
        <f ca="1">K245-SUM(AK245:AM245)</f>
        <v>3399.6613172216639</v>
      </c>
      <c r="AO245" s="58">
        <f ca="1">'IQ_BS + CFS'!AO286</f>
        <v>3935.0117924656797</v>
      </c>
      <c r="AP245" s="58">
        <f ca="1">'IQ_BS + CFS'!AP286</f>
        <v>5527.2276345502696</v>
      </c>
      <c r="AQ245" s="58">
        <f ca="1">'IQ_BS + CFS'!AQ286</f>
        <v>5837.3310375298015</v>
      </c>
      <c r="AR245" s="212">
        <f ca="1">'IQ_BS + CFS'!AR286</f>
        <v>6154.793328845366</v>
      </c>
      <c r="AS245" s="58">
        <f ca="1">'IQ_BS + CFS'!AS286</f>
        <v>5784.2463731409698</v>
      </c>
      <c r="AT245" s="58">
        <f ca="1">'IQ_BS + CFS'!AT286</f>
        <v>6542.1769582261604</v>
      </c>
      <c r="AU245" s="58">
        <f ca="1">'IQ_BS + CFS'!AU286</f>
        <v>6568.7184154290935</v>
      </c>
      <c r="AV245" s="212">
        <f ca="1">'IQ_BS + CFS'!AV286</f>
        <v>6647.8281413261202</v>
      </c>
      <c r="AW245" s="58">
        <f ca="1">'IQ_BS + CFS'!AW286</f>
        <v>6708.6423053798526</v>
      </c>
      <c r="AX245" s="58">
        <f ca="1">'IQ_BS + CFS'!AX286</f>
        <v>7613.6740382846274</v>
      </c>
      <c r="AY245" s="58">
        <f ca="1">'IQ_BS + CFS'!AY286</f>
        <v>7293.6523739667009</v>
      </c>
      <c r="AZ245" s="58">
        <f ca="1">'IQ_BS + CFS'!AZ286</f>
        <v>7221.9679531490729</v>
      </c>
    </row>
    <row r="246" spans="2:52">
      <c r="B246" s="3" t="s">
        <v>284</v>
      </c>
      <c r="F246" s="71"/>
      <c r="G246" s="71"/>
      <c r="H246" s="71"/>
      <c r="I246" s="71">
        <f ca="1">I245/I$214</f>
        <v>0.69462097430443892</v>
      </c>
      <c r="J246" s="71">
        <f t="shared" ref="J246" ca="1" si="1003">J245/J$214</f>
        <v>0.67106228331856277</v>
      </c>
      <c r="K246" s="71">
        <f t="shared" ref="K246" ca="1" si="1004">K245/K$214</f>
        <v>0.72601253858968184</v>
      </c>
      <c r="L246" s="71">
        <f t="shared" ref="L246" ca="1" si="1005">L245/L$214</f>
        <v>0.85520565012769212</v>
      </c>
      <c r="M246" s="71">
        <f t="shared" ref="M246" ca="1" si="1006">M245/M$214</f>
        <v>0.78396485855226894</v>
      </c>
      <c r="N246" s="71">
        <f t="shared" ref="N246" ca="1" si="1007">N245/N$214</f>
        <v>0.69427041058532857</v>
      </c>
      <c r="Q246" s="58"/>
      <c r="R246" s="58"/>
      <c r="S246" s="58"/>
      <c r="T246" s="58"/>
      <c r="U246" s="71"/>
      <c r="V246" s="71"/>
      <c r="W246" s="71"/>
      <c r="X246" s="71"/>
      <c r="Y246" s="71"/>
      <c r="Z246" s="71"/>
      <c r="AA246" s="71"/>
      <c r="AB246" s="241"/>
      <c r="AC246" s="71">
        <f ca="1">I246</f>
        <v>0.69462097430443892</v>
      </c>
      <c r="AD246" s="71">
        <f ca="1">AC246</f>
        <v>0.69462097430443892</v>
      </c>
      <c r="AE246" s="71">
        <f t="shared" ref="AE246:AF246" ca="1" si="1008">AD246</f>
        <v>0.69462097430443892</v>
      </c>
      <c r="AF246" s="241">
        <f t="shared" ca="1" si="1008"/>
        <v>0.69462097430443892</v>
      </c>
      <c r="AG246" s="71">
        <f ca="1">J246</f>
        <v>0.67106228331856277</v>
      </c>
      <c r="AH246" s="71">
        <f ca="1">AG246</f>
        <v>0.67106228331856277</v>
      </c>
      <c r="AI246" s="71">
        <f t="shared" ref="AI246:AJ246" ca="1" si="1009">AH246</f>
        <v>0.67106228331856277</v>
      </c>
      <c r="AJ246" s="241">
        <f t="shared" ca="1" si="1009"/>
        <v>0.67106228331856277</v>
      </c>
      <c r="AK246" s="71">
        <f ca="1">+AJ246+0.11</f>
        <v>0.78106228331856276</v>
      </c>
      <c r="AL246" s="71">
        <f ca="1">+AK246-0.08</f>
        <v>0.7010622833185628</v>
      </c>
      <c r="AM246" s="71">
        <f ca="1">+AL246+0.03</f>
        <v>0.73106228331856282</v>
      </c>
      <c r="AN246" s="241">
        <f ca="1">AN245/AN214</f>
        <v>0.7057025443986471</v>
      </c>
      <c r="AO246" s="71">
        <f t="shared" ref="AO246:AZ246" ca="1" si="1010">AO245/AO214</f>
        <v>0.76954980015859586</v>
      </c>
      <c r="AP246" s="71">
        <f t="shared" ca="1" si="1010"/>
        <v>0.89549380307600535</v>
      </c>
      <c r="AQ246" s="71">
        <f t="shared" ca="1" si="1010"/>
        <v>0.83703132817813886</v>
      </c>
      <c r="AR246" s="241">
        <f t="shared" ca="1" si="1010"/>
        <v>0.90150052124523716</v>
      </c>
      <c r="AS246" s="71">
        <f t="shared" ca="1" si="1010"/>
        <v>0.84067980649780227</v>
      </c>
      <c r="AT246" s="71">
        <f t="shared" ca="1" si="1010"/>
        <v>0.81815925124215405</v>
      </c>
      <c r="AU246" s="71">
        <f t="shared" ca="1" si="1010"/>
        <v>0.73999793881973708</v>
      </c>
      <c r="AV246" s="241">
        <f t="shared" ca="1" si="1010"/>
        <v>0.75300025631285361</v>
      </c>
      <c r="AW246" s="71">
        <f t="shared" ca="1" si="1010"/>
        <v>0.74827354659021339</v>
      </c>
      <c r="AX246" s="71">
        <f t="shared" ca="1" si="1010"/>
        <v>0.74691474582173911</v>
      </c>
      <c r="AY246" s="71">
        <f t="shared" ca="1" si="1010"/>
        <v>0.65477101278067884</v>
      </c>
      <c r="AZ246" s="71">
        <f t="shared" ca="1" si="1010"/>
        <v>0.64259218971812793</v>
      </c>
    </row>
    <row r="247" spans="2:52">
      <c r="B247" s="1" t="s">
        <v>552</v>
      </c>
      <c r="F247" s="58"/>
      <c r="G247" s="58"/>
      <c r="H247" s="58"/>
      <c r="I247" s="58">
        <f>IQ_IS!I96</f>
        <v>726.09699999999975</v>
      </c>
      <c r="J247" s="58">
        <f>IQ_IS!J96</f>
        <v>1187.7669999999998</v>
      </c>
      <c r="K247" s="58">
        <f>IQ_IS!K96</f>
        <v>1272.2729999999992</v>
      </c>
      <c r="L247" s="58">
        <f ca="1">SUM(OFFSET($P247,0,L$1,1,4))</f>
        <v>1750.0289242091822</v>
      </c>
      <c r="M247" s="58">
        <f ca="1">SUM(OFFSET($P247,0,M$1,1,4))</f>
        <v>2162.8418872712568</v>
      </c>
      <c r="N247" s="58">
        <f ca="1">SUM(OFFSET($P247,0,N$1,1,4))</f>
        <v>2622.6153266010729</v>
      </c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212"/>
      <c r="AC247" s="58"/>
      <c r="AD247" s="58"/>
      <c r="AE247" s="58"/>
      <c r="AF247" s="212"/>
      <c r="AG247" s="58"/>
      <c r="AH247" s="58"/>
      <c r="AI247" s="58">
        <f ca="1">IQ_IS!AI96</f>
        <v>191.3841371652984</v>
      </c>
      <c r="AJ247" s="212">
        <f ca="1">IQ_IS!AJ96</f>
        <v>284.71547017663806</v>
      </c>
      <c r="AK247" s="58">
        <f ca="1">IQ_IS!AK96</f>
        <v>266.28393369499418</v>
      </c>
      <c r="AL247" s="58">
        <f ca="1">IQ_IS!AL96</f>
        <v>474.81616770860501</v>
      </c>
      <c r="AM247" s="58">
        <f ca="1">IQ_IS!AM96</f>
        <v>313.95894119038257</v>
      </c>
      <c r="AN247" s="212">
        <f ca="1">IQ_IS!AN96</f>
        <v>217.21395740601929</v>
      </c>
      <c r="AO247" s="58">
        <f ca="1">AO248*AO214</f>
        <v>393.88571712714509</v>
      </c>
      <c r="AP247" s="58">
        <f t="shared" ref="AP247:AZ247" ca="1" si="1011">AP248*AP214</f>
        <v>643.5396812721516</v>
      </c>
      <c r="AQ247" s="58">
        <f t="shared" ca="1" si="1011"/>
        <v>420.15808500596859</v>
      </c>
      <c r="AR247" s="212">
        <f t="shared" ca="1" si="1011"/>
        <v>292.44544080391682</v>
      </c>
      <c r="AS247" s="58">
        <f t="shared" ca="1" si="1011"/>
        <v>503.50141699232006</v>
      </c>
      <c r="AT247" s="58">
        <f t="shared" ca="1" si="1011"/>
        <v>792.02449231810442</v>
      </c>
      <c r="AU247" s="58">
        <f t="shared" ca="1" si="1011"/>
        <v>508.0586563203305</v>
      </c>
      <c r="AV247" s="212">
        <f t="shared" ca="1" si="1011"/>
        <v>359.25732164050157</v>
      </c>
      <c r="AW247" s="58">
        <f t="shared" ca="1" si="1011"/>
        <v>623.27883498773429</v>
      </c>
      <c r="AX247" s="58">
        <f t="shared" ca="1" si="1011"/>
        <v>959.18200292225333</v>
      </c>
      <c r="AY247" s="58">
        <f t="shared" ca="1" si="1011"/>
        <v>605.67959285630468</v>
      </c>
      <c r="AZ247" s="58">
        <f t="shared" ca="1" si="1011"/>
        <v>434.47489583478034</v>
      </c>
    </row>
    <row r="248" spans="2:52">
      <c r="B248" s="3" t="s">
        <v>284</v>
      </c>
      <c r="F248" s="71"/>
      <c r="G248" s="71"/>
      <c r="H248" s="71"/>
      <c r="I248" s="71">
        <f ca="1">I247/I$214</f>
        <v>0.13652073559428596</v>
      </c>
      <c r="J248" s="71">
        <f t="shared" ref="J248" ca="1" si="1012">J247/J$214</f>
        <v>0.10569760443846164</v>
      </c>
      <c r="K248" s="71">
        <f t="shared" ref="K248" ca="1" si="1013">K247/K$214</f>
        <v>7.321022997004889E-2</v>
      </c>
      <c r="L248" s="71">
        <f t="shared" ref="L248" ca="1" si="1014">L247/L$214</f>
        <v>6.97589841527535E-2</v>
      </c>
      <c r="M248" s="71">
        <f t="shared" ref="M248" ca="1" si="1015">M247/M$214</f>
        <v>6.6381945468838965E-2</v>
      </c>
      <c r="N248" s="71">
        <f t="shared" ref="N248" ca="1" si="1016">N247/N$214</f>
        <v>6.3139198909872574E-2</v>
      </c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241"/>
      <c r="AC248" s="71"/>
      <c r="AD248" s="71"/>
      <c r="AE248" s="71"/>
      <c r="AF248" s="241"/>
      <c r="AG248" s="71"/>
      <c r="AH248" s="71"/>
      <c r="AI248" s="71">
        <f ca="1">AI247/AI214</f>
        <v>5.8749032176908307E-2</v>
      </c>
      <c r="AJ248" s="241">
        <f t="shared" ref="AJ248:AN248" ca="1" si="1017">AJ247/AJ214</f>
        <v>9.0239303460360271E-2</v>
      </c>
      <c r="AK248" s="71">
        <f t="shared" ca="1" si="1017"/>
        <v>8.108440220015814E-2</v>
      </c>
      <c r="AL248" s="71">
        <f t="shared" ca="1" si="1017"/>
        <v>0.10975061425396623</v>
      </c>
      <c r="AM248" s="71">
        <f t="shared" ca="1" si="1017"/>
        <v>6.3418579425975202E-2</v>
      </c>
      <c r="AN248" s="241">
        <f t="shared" ca="1" si="1017"/>
        <v>4.5089327470302386E-2</v>
      </c>
      <c r="AO248" s="234">
        <f ca="1">AK248*0.95</f>
        <v>7.7030182090150223E-2</v>
      </c>
      <c r="AP248" s="234">
        <f t="shared" ref="AP248:AZ248" ca="1" si="1018">AL248*0.95</f>
        <v>0.10426308354126791</v>
      </c>
      <c r="AQ248" s="234">
        <f t="shared" ca="1" si="1018"/>
        <v>6.0247650454676442E-2</v>
      </c>
      <c r="AR248" s="234">
        <f t="shared" ca="1" si="1018"/>
        <v>4.2834861096787268E-2</v>
      </c>
      <c r="AS248" s="234">
        <f t="shared" ca="1" si="1018"/>
        <v>7.3178672985642707E-2</v>
      </c>
      <c r="AT248" s="234">
        <f t="shared" ca="1" si="1018"/>
        <v>9.9049929364204509E-2</v>
      </c>
      <c r="AU248" s="234">
        <f t="shared" ca="1" si="1018"/>
        <v>5.723526793194262E-2</v>
      </c>
      <c r="AV248" s="234">
        <f t="shared" ca="1" si="1018"/>
        <v>4.0693118041947904E-2</v>
      </c>
      <c r="AW248" s="234">
        <f t="shared" ca="1" si="1018"/>
        <v>6.9519739336360561E-2</v>
      </c>
      <c r="AX248" s="234">
        <f t="shared" ca="1" si="1018"/>
        <v>9.4097432895994274E-2</v>
      </c>
      <c r="AY248" s="234">
        <f t="shared" ca="1" si="1018"/>
        <v>5.4373504535345486E-2</v>
      </c>
      <c r="AZ248" s="234">
        <f t="shared" ca="1" si="1018"/>
        <v>3.8658462139850504E-2</v>
      </c>
    </row>
    <row r="249" spans="2:52">
      <c r="B249" s="11" t="s">
        <v>29</v>
      </c>
      <c r="F249" s="58"/>
      <c r="G249" s="58"/>
      <c r="H249" s="58"/>
      <c r="I249" s="58">
        <f>IQ_IS!I105</f>
        <v>1013.724186027976</v>
      </c>
      <c r="J249" s="58">
        <f>IQ_IS!J105</f>
        <v>1498.2139989602588</v>
      </c>
      <c r="K249" s="58">
        <f ca="1">IQ_IS!K105</f>
        <v>1946.2107609515958</v>
      </c>
      <c r="L249" s="58">
        <f ca="1">SUM(OFFSET($P249,0,L$1,1,4))</f>
        <v>2549.7777115655517</v>
      </c>
      <c r="M249" s="58">
        <f ca="1">SUM(OFFSET($P249,0,M$1,1,4))</f>
        <v>3150.9220597233875</v>
      </c>
      <c r="N249" s="58">
        <f ca="1">SUM(OFFSET($P249,0,N$1,1,4))</f>
        <v>3820.2715432858963</v>
      </c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212"/>
      <c r="AC249" s="58"/>
      <c r="AD249" s="58"/>
      <c r="AE249" s="58"/>
      <c r="AF249" s="212"/>
      <c r="AG249" s="58"/>
      <c r="AH249" s="58"/>
      <c r="AI249" s="58">
        <f>IQ_IS!AI105</f>
        <v>335.2849964792274</v>
      </c>
      <c r="AJ249" s="212">
        <f>IQ_IS!AJ105</f>
        <v>426.69686474584921</v>
      </c>
      <c r="AK249" s="58">
        <f ca="1">IQ_IS!AK105</f>
        <v>341.51508664451723</v>
      </c>
      <c r="AL249" s="58">
        <f ca="1">IQ_IS!AL105</f>
        <v>450.02839002799459</v>
      </c>
      <c r="AM249" s="58">
        <f ca="1">IQ_IS!AM105</f>
        <v>576.17482123253171</v>
      </c>
      <c r="AN249" s="212">
        <f ca="1">IQ_IS!AN105</f>
        <v>578.4924630465523</v>
      </c>
      <c r="AO249" s="58">
        <f>AO250*AO$214</f>
        <v>588.04037898559966</v>
      </c>
      <c r="AP249" s="58">
        <f t="shared" ref="AP249" si="1019">AP250*AP$214</f>
        <v>617.22678767450327</v>
      </c>
      <c r="AQ249" s="58">
        <f t="shared" ref="AQ249" si="1020">AQ250*AQ$214</f>
        <v>627.6465117753321</v>
      </c>
      <c r="AR249" s="212">
        <f t="shared" ref="AR249" si="1021">AR250*AR$214</f>
        <v>716.86403313011692</v>
      </c>
      <c r="AS249" s="58">
        <f t="shared" ref="AS249" si="1022">AS250*AS$214</f>
        <v>751.68799271890555</v>
      </c>
      <c r="AT249" s="58">
        <f t="shared" ref="AT249" si="1023">AT250*AT$214</f>
        <v>759.64038796590626</v>
      </c>
      <c r="AU249" s="58">
        <f t="shared" ref="AU249" si="1024">AU250*AU$214</f>
        <v>758.9553903554845</v>
      </c>
      <c r="AV249" s="212">
        <f t="shared" ref="AV249" si="1025">AV250*AV$214</f>
        <v>880.63828868309122</v>
      </c>
      <c r="AW249" s="58">
        <f t="shared" ref="AW249" si="1026">AW250*AW$214</f>
        <v>930.50625194815336</v>
      </c>
      <c r="AX249" s="58">
        <f t="shared" ref="AX249" si="1027">AX250*AX$214</f>
        <v>919.96320302823563</v>
      </c>
      <c r="AY249" s="58">
        <f t="shared" ref="AY249" si="1028">AY250*AY$214</f>
        <v>904.78488282419391</v>
      </c>
      <c r="AZ249" s="58">
        <f t="shared" ref="AZ249" si="1029">AZ250*AZ$214</f>
        <v>1065.0172054853133</v>
      </c>
    </row>
    <row r="250" spans="2:52">
      <c r="B250" s="3" t="s">
        <v>284</v>
      </c>
      <c r="F250" s="71"/>
      <c r="G250" s="71"/>
      <c r="H250" s="71"/>
      <c r="I250" s="71">
        <f ca="1">I249/I$214</f>
        <v>0.19060039025950817</v>
      </c>
      <c r="J250" s="71">
        <f t="shared" ref="J250:K250" ca="1" si="1030">J249/J$214</f>
        <v>0.13332381740380667</v>
      </c>
      <c r="K250" s="71">
        <f t="shared" ca="1" si="1030"/>
        <v>0.11199053770649087</v>
      </c>
      <c r="L250" s="71">
        <f t="shared" ref="L250" ca="1" si="1031">L249/L$214</f>
        <v>0.101638264667267</v>
      </c>
      <c r="M250" s="71">
        <f t="shared" ref="M250" ca="1" si="1032">M249/M$214</f>
        <v>9.6708103156357514E-2</v>
      </c>
      <c r="N250" s="71">
        <f t="shared" ref="N250" ca="1" si="1033">N249/N$214</f>
        <v>9.1972651274734363E-2</v>
      </c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241"/>
      <c r="AC250" s="71"/>
      <c r="AD250" s="71"/>
      <c r="AE250" s="71"/>
      <c r="AF250" s="241"/>
      <c r="AG250" s="71"/>
      <c r="AH250" s="71"/>
      <c r="AI250" s="71">
        <f>AI249/AI$214</f>
        <v>0.10292216135749981</v>
      </c>
      <c r="AJ250" s="241">
        <f t="shared" ref="AJ250:AN250" si="1034">AJ249/AJ$214</f>
        <v>0.13523967573485388</v>
      </c>
      <c r="AK250" s="71">
        <f t="shared" ca="1" si="1034"/>
        <v>0.10399255508454455</v>
      </c>
      <c r="AL250" s="71">
        <f t="shared" ca="1" si="1034"/>
        <v>0.10402108351880537</v>
      </c>
      <c r="AM250" s="71">
        <f t="shared" ca="1" si="1034"/>
        <v>0.11638524618868763</v>
      </c>
      <c r="AN250" s="241">
        <f t="shared" ca="1" si="1034"/>
        <v>0.12008360980529229</v>
      </c>
      <c r="AO250" s="234">
        <v>0.115</v>
      </c>
      <c r="AP250" s="66">
        <v>0.1</v>
      </c>
      <c r="AQ250" s="66">
        <v>0.09</v>
      </c>
      <c r="AR250" s="246">
        <v>0.105</v>
      </c>
      <c r="AS250" s="234">
        <f>AO250*0.95</f>
        <v>0.10925</v>
      </c>
      <c r="AT250" s="66">
        <f t="shared" ref="AT250:AZ250" si="1035">AP250*0.95</f>
        <v>9.5000000000000001E-2</v>
      </c>
      <c r="AU250" s="66">
        <f t="shared" si="1035"/>
        <v>8.5499999999999993E-2</v>
      </c>
      <c r="AV250" s="246">
        <f t="shared" si="1035"/>
        <v>9.9749999999999991E-2</v>
      </c>
      <c r="AW250" s="234">
        <f t="shared" si="1035"/>
        <v>0.10378749999999999</v>
      </c>
      <c r="AX250" s="66">
        <f t="shared" si="1035"/>
        <v>9.0249999999999997E-2</v>
      </c>
      <c r="AY250" s="66">
        <f t="shared" si="1035"/>
        <v>8.1224999999999992E-2</v>
      </c>
      <c r="AZ250" s="66">
        <f t="shared" si="1035"/>
        <v>9.4762499999999986E-2</v>
      </c>
    </row>
    <row r="251" spans="2:52">
      <c r="B251" s="11" t="s">
        <v>285</v>
      </c>
      <c r="F251" s="58"/>
      <c r="G251" s="58"/>
      <c r="H251" s="58"/>
      <c r="I251" s="58">
        <f>IQ_IS!I106</f>
        <v>169.40981397202401</v>
      </c>
      <c r="J251" s="58">
        <f>IQ_IS!J106</f>
        <v>237.16300103974129</v>
      </c>
      <c r="K251" s="58">
        <f ca="1">IQ_IS!K106</f>
        <v>597.78523904840426</v>
      </c>
      <c r="L251" s="58">
        <f ca="1">SUM(OFFSET($P251,0,L$1,1,4))</f>
        <v>799.360206788592</v>
      </c>
      <c r="M251" s="58">
        <f ca="1">SUM(OFFSET($P251,0,M$1,1,4))</f>
        <v>973.39694685896711</v>
      </c>
      <c r="N251" s="58">
        <f ca="1">SUM(OFFSET($P251,0,N$1,1,4))</f>
        <v>1158.220683398838</v>
      </c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212"/>
      <c r="AC251" s="58"/>
      <c r="AD251" s="58"/>
      <c r="AE251" s="58"/>
      <c r="AF251" s="212"/>
      <c r="AG251" s="58"/>
      <c r="AH251" s="58"/>
      <c r="AI251" s="58">
        <f>IQ_IS!AI106</f>
        <v>119.35800352077261</v>
      </c>
      <c r="AJ251" s="212">
        <f>IQ_IS!AJ106</f>
        <v>117.37113525415083</v>
      </c>
      <c r="AK251" s="58">
        <f ca="1">IQ_IS!AK106</f>
        <v>110.76691335548277</v>
      </c>
      <c r="AL251" s="58">
        <f ca="1">IQ_IS!AL106</f>
        <v>148.53660997200544</v>
      </c>
      <c r="AM251" s="58">
        <f ca="1">IQ_IS!AM106</f>
        <v>171.48217876746824</v>
      </c>
      <c r="AN251" s="212">
        <f ca="1">IQ_IS!AN106</f>
        <v>166.99953695344774</v>
      </c>
      <c r="AO251" s="58">
        <f ca="1">AO252*AO$214</f>
        <v>167.03315367403053</v>
      </c>
      <c r="AP251" s="58">
        <f t="shared" ref="AP251" ca="1" si="1036">AP252*AP$214</f>
        <v>195.44983435625736</v>
      </c>
      <c r="AQ251" s="58">
        <f t="shared" ref="AQ251" ca="1" si="1037">AQ252*AQ$214</f>
        <v>213.85873201176807</v>
      </c>
      <c r="AR251" s="212">
        <f t="shared" ref="AR251" ca="1" si="1038">AR252*AR$214</f>
        <v>223.01848674653601</v>
      </c>
      <c r="AS251" s="58">
        <f t="shared" ref="AS251" ca="1" si="1039">AS252*AS$214</f>
        <v>210.9942134112633</v>
      </c>
      <c r="AT251" s="58">
        <f t="shared" ref="AT251" ca="1" si="1040">AT252*AT$214</f>
        <v>237.21414772079575</v>
      </c>
      <c r="AU251" s="58">
        <f t="shared" ref="AU251" ca="1" si="1041">AU252*AU$214</f>
        <v>254.45693142936366</v>
      </c>
      <c r="AV251" s="212">
        <f t="shared" ref="AV251" ca="1" si="1042">AV252*AV$214</f>
        <v>270.73165429754442</v>
      </c>
      <c r="AW251" s="58">
        <f t="shared" ref="AW251" ca="1" si="1043">AW252*AW$214</f>
        <v>257.00311961163055</v>
      </c>
      <c r="AX251" s="58">
        <f t="shared" ref="AX251" ca="1" si="1044">AX252*AX$214</f>
        <v>282.01133610498363</v>
      </c>
      <c r="AY251" s="58">
        <f t="shared" ref="AY251" ca="1" si="1045">AY252*AY$214</f>
        <v>297.03684512633794</v>
      </c>
      <c r="AZ251" s="58">
        <f t="shared" ref="AZ251" ca="1" si="1046">AZ252*AZ$214</f>
        <v>322.16938255588582</v>
      </c>
    </row>
    <row r="252" spans="2:52">
      <c r="B252" s="3" t="s">
        <v>284</v>
      </c>
      <c r="F252" s="71"/>
      <c r="G252" s="71"/>
      <c r="H252" s="71"/>
      <c r="I252" s="71">
        <f ca="1">I251/I$214</f>
        <v>3.1852428009414541E-2</v>
      </c>
      <c r="J252" s="71">
        <f t="shared" ref="J252" ca="1" si="1047">J251/J$214</f>
        <v>2.1104779869567891E-2</v>
      </c>
      <c r="K252" s="71">
        <f t="shared" ref="K252" ca="1" si="1048">K251/K$214</f>
        <v>3.439827365937527E-2</v>
      </c>
      <c r="L252" s="71">
        <f t="shared" ref="L252" ca="1" si="1049">L251/L$214</f>
        <v>3.1863791064428035E-2</v>
      </c>
      <c r="M252" s="71">
        <f t="shared" ref="M252" ca="1" si="1050">M251/M$214</f>
        <v>2.9875500112238378E-2</v>
      </c>
      <c r="N252" s="71">
        <f t="shared" ref="N252" ca="1" si="1051">N251/N$214</f>
        <v>2.7884045886906187E-2</v>
      </c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241"/>
      <c r="AC252" s="71"/>
      <c r="AD252" s="71"/>
      <c r="AE252" s="71"/>
      <c r="AF252" s="241"/>
      <c r="AG252" s="71"/>
      <c r="AH252" s="71"/>
      <c r="AI252" s="71">
        <f>AI251/AI$214</f>
        <v>3.6639228795419962E-2</v>
      </c>
      <c r="AJ252" s="241">
        <f t="shared" ref="AJ252" si="1052">AJ251/AJ$214</f>
        <v>3.7200259912520121E-2</v>
      </c>
      <c r="AK252" s="71">
        <f t="shared" ref="AK252" ca="1" si="1053">AK251/AK$214</f>
        <v>3.3728917957451948E-2</v>
      </c>
      <c r="AL252" s="71">
        <f t="shared" ref="AL252" ca="1" si="1054">AL251/AL$214</f>
        <v>3.433325419877855E-2</v>
      </c>
      <c r="AM252" s="71">
        <f t="shared" ref="AM252" ca="1" si="1055">AM251/AM$214</f>
        <v>3.4638784718379279E-2</v>
      </c>
      <c r="AN252" s="241">
        <f t="shared" ref="AN252" ca="1" si="1056">AN251/AN$214</f>
        <v>3.4665805544935056E-2</v>
      </c>
      <c r="AO252" s="234">
        <f ca="1">AN252-0.002</f>
        <v>3.2665805544935055E-2</v>
      </c>
      <c r="AP252" s="66">
        <f ca="1">AO252-0.001</f>
        <v>3.1665805544935054E-2</v>
      </c>
      <c r="AQ252" s="66">
        <f ca="1">AP252-0.001</f>
        <v>3.0665805544935053E-2</v>
      </c>
      <c r="AR252" s="246">
        <f ca="1">AQ252+0.002</f>
        <v>3.2665805544935055E-2</v>
      </c>
      <c r="AS252" s="234">
        <f ca="1">AO252-0.002</f>
        <v>3.0665805544935053E-2</v>
      </c>
      <c r="AT252" s="66">
        <f t="shared" ref="AT252:AZ252" ca="1" si="1057">AP252-0.002</f>
        <v>2.9665805544935052E-2</v>
      </c>
      <c r="AU252" s="66">
        <f t="shared" ca="1" si="1057"/>
        <v>2.8665805544935051E-2</v>
      </c>
      <c r="AV252" s="246">
        <f t="shared" ca="1" si="1057"/>
        <v>3.0665805544935053E-2</v>
      </c>
      <c r="AW252" s="234">
        <f t="shared" ca="1" si="1057"/>
        <v>2.8665805544935051E-2</v>
      </c>
      <c r="AX252" s="66">
        <f t="shared" ca="1" si="1057"/>
        <v>2.766580554493505E-2</v>
      </c>
      <c r="AY252" s="66">
        <f t="shared" ca="1" si="1057"/>
        <v>2.6665805544935049E-2</v>
      </c>
      <c r="AZ252" s="66">
        <f t="shared" ca="1" si="1057"/>
        <v>2.8665805544935051E-2</v>
      </c>
    </row>
    <row r="253" spans="2:52">
      <c r="B253" s="11" t="s">
        <v>33</v>
      </c>
      <c r="F253" s="58"/>
      <c r="G253" s="58"/>
      <c r="H253" s="58"/>
      <c r="I253" s="58">
        <f>IQ_IS!I107</f>
        <v>482.93</v>
      </c>
      <c r="J253" s="58">
        <f>IQ_IS!J107</f>
        <v>802.01599999999996</v>
      </c>
      <c r="K253" s="58">
        <f>IQ_IS!K107</f>
        <v>1202.271</v>
      </c>
      <c r="L253" s="58">
        <f ca="1">SUM(OFFSET($P253,0,L$1,1,4))</f>
        <v>1544.9556667573136</v>
      </c>
      <c r="M253" s="58">
        <f ca="1">SUM(OFFSET($P253,0,M$1,1,4))</f>
        <v>1847.2397563074958</v>
      </c>
      <c r="N253" s="58">
        <f ca="1">SUM(OFFSET($P253,0,N$1,1,4))</f>
        <v>2150.4562064888901</v>
      </c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212"/>
      <c r="AC253" s="58"/>
      <c r="AD253" s="58"/>
      <c r="AE253" s="58"/>
      <c r="AF253" s="212"/>
      <c r="AG253" s="58"/>
      <c r="AH253" s="58"/>
      <c r="AI253" s="58">
        <f>IQ_IS!AI107</f>
        <v>223.435</v>
      </c>
      <c r="AJ253" s="212">
        <f>IQ_IS!AJ107</f>
        <v>238.815</v>
      </c>
      <c r="AK253" s="58">
        <f>IQ_IS!AK107</f>
        <v>245.80500000000001</v>
      </c>
      <c r="AL253" s="58">
        <f>IQ_IS!AL107</f>
        <v>280.13099999999997</v>
      </c>
      <c r="AM253" s="58">
        <f>IQ_IS!AM107</f>
        <v>327.07299999999998</v>
      </c>
      <c r="AN253" s="212">
        <f>IQ_IS!AN107</f>
        <v>349.262</v>
      </c>
      <c r="AO253" s="58">
        <f>AO254*AO$214</f>
        <v>363.05101659110932</v>
      </c>
      <c r="AP253" s="58">
        <f t="shared" ref="AP253:AZ253" si="1058">AP254*AP$214</f>
        <v>388.85287623493707</v>
      </c>
      <c r="AQ253" s="58">
        <f t="shared" si="1058"/>
        <v>376.58790706519932</v>
      </c>
      <c r="AR253" s="212">
        <f t="shared" si="1058"/>
        <v>416.46386686606797</v>
      </c>
      <c r="AS253" s="58">
        <f t="shared" si="1058"/>
        <v>454.10899331302301</v>
      </c>
      <c r="AT253" s="58">
        <f t="shared" si="1058"/>
        <v>463.78044738971124</v>
      </c>
      <c r="AU253" s="58">
        <f t="shared" si="1058"/>
        <v>434.95689037916657</v>
      </c>
      <c r="AV253" s="212">
        <f t="shared" si="1058"/>
        <v>494.39342522559514</v>
      </c>
      <c r="AW253" s="58">
        <f t="shared" si="1058"/>
        <v>546.89515952149679</v>
      </c>
      <c r="AX253" s="58">
        <f t="shared" si="1058"/>
        <v>540.25539900827141</v>
      </c>
      <c r="AY253" s="58">
        <f t="shared" si="1058"/>
        <v>490.126621659151</v>
      </c>
      <c r="AZ253" s="58">
        <f t="shared" si="1058"/>
        <v>573.17902629997081</v>
      </c>
    </row>
    <row r="254" spans="2:52">
      <c r="B254" s="3" t="s">
        <v>284</v>
      </c>
      <c r="F254" s="71"/>
      <c r="G254" s="71"/>
      <c r="H254" s="71"/>
      <c r="I254" s="71">
        <f ca="1">I253/I$214</f>
        <v>9.0800483737776827E-2</v>
      </c>
      <c r="J254" s="71">
        <f t="shared" ref="J254" ca="1" si="1059">J253/J$214</f>
        <v>7.1370201328473729E-2</v>
      </c>
      <c r="K254" s="71">
        <f t="shared" ref="K254" ca="1" si="1060">K253/K$214</f>
        <v>6.9182114527558708E-2</v>
      </c>
      <c r="L254" s="71">
        <f t="shared" ref="L254" ca="1" si="1061">L253/L$214</f>
        <v>6.1584432338872466E-2</v>
      </c>
      <c r="M254" s="71">
        <f t="shared" ref="M254" ca="1" si="1062">M253/M$214</f>
        <v>5.6695484534832544E-2</v>
      </c>
      <c r="N254" s="71">
        <f t="shared" ref="N254" ca="1" si="1063">N253/N$214</f>
        <v>5.1772015816151477E-2</v>
      </c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241"/>
      <c r="AC254" s="71"/>
      <c r="AD254" s="71"/>
      <c r="AE254" s="71"/>
      <c r="AF254" s="241"/>
      <c r="AG254" s="71"/>
      <c r="AH254" s="71"/>
      <c r="AI254" s="71">
        <f>AI253/AI$214</f>
        <v>6.8587659347702765E-2</v>
      </c>
      <c r="AJ254" s="241">
        <f t="shared" ref="AJ254" si="1064">AJ253/AJ$214</f>
        <v>7.5691353344853246E-2</v>
      </c>
      <c r="AK254" s="71">
        <f t="shared" ref="AK254" si="1065">AK253/AK$214</f>
        <v>7.4848494260412637E-2</v>
      </c>
      <c r="AL254" s="71">
        <f t="shared" ref="AL254" si="1066">AL253/AL$214</f>
        <v>6.4750426401751687E-2</v>
      </c>
      <c r="AM254" s="71">
        <f t="shared" ref="AM254" si="1067">AM253/AM$214</f>
        <v>6.6067572243511521E-2</v>
      </c>
      <c r="AN254" s="241">
        <f t="shared" ref="AN254" si="1068">AN253/AN$214</f>
        <v>7.2499893096171525E-2</v>
      </c>
      <c r="AO254" s="234">
        <v>7.0999999999999994E-2</v>
      </c>
      <c r="AP254" s="66">
        <v>6.3E-2</v>
      </c>
      <c r="AQ254" s="66">
        <v>5.3999999999999999E-2</v>
      </c>
      <c r="AR254" s="246">
        <v>6.0999999999999999E-2</v>
      </c>
      <c r="AS254" s="234">
        <f>AO254-0.005</f>
        <v>6.5999999999999989E-2</v>
      </c>
      <c r="AT254" s="66">
        <f t="shared" ref="AT254:AZ254" si="1069">AP254-0.005</f>
        <v>5.8000000000000003E-2</v>
      </c>
      <c r="AU254" s="66">
        <f t="shared" si="1069"/>
        <v>4.9000000000000002E-2</v>
      </c>
      <c r="AV254" s="246">
        <f t="shared" si="1069"/>
        <v>5.6000000000000001E-2</v>
      </c>
      <c r="AW254" s="234">
        <f t="shared" si="1069"/>
        <v>6.0999999999999992E-2</v>
      </c>
      <c r="AX254" s="66">
        <f t="shared" si="1069"/>
        <v>5.3000000000000005E-2</v>
      </c>
      <c r="AY254" s="66">
        <f t="shared" si="1069"/>
        <v>4.4000000000000004E-2</v>
      </c>
      <c r="AZ254" s="66">
        <f t="shared" si="1069"/>
        <v>5.1000000000000004E-2</v>
      </c>
    </row>
    <row r="255" spans="2:52">
      <c r="B255" s="11" t="s">
        <v>99</v>
      </c>
      <c r="E255" s="67"/>
      <c r="F255" s="58"/>
      <c r="G255" s="58"/>
      <c r="H255" s="58"/>
      <c r="I255" s="58">
        <f>IQ_IS!I175</f>
        <v>44.194000000000003</v>
      </c>
      <c r="J255" s="58">
        <f>IQ_IS!J175</f>
        <v>62.392000000000003</v>
      </c>
      <c r="K255" s="58">
        <f>IQ_IS!K175</f>
        <v>233.42400000000001</v>
      </c>
      <c r="L255" s="58">
        <f ca="1">SUM(OFFSET($P255,0,L$1,1,4))</f>
        <v>292.64263216122987</v>
      </c>
      <c r="M255" s="58">
        <f ca="1">SUM(OFFSET($P255,0,M$1,1,4))</f>
        <v>347.49147652558099</v>
      </c>
      <c r="N255" s="58">
        <f ca="1">SUM(OFFSET($P255,0,N$1,1,4))</f>
        <v>401.46414699654315</v>
      </c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212"/>
      <c r="AC255" s="58"/>
      <c r="AD255" s="58"/>
      <c r="AE255" s="58"/>
      <c r="AF255" s="212"/>
      <c r="AG255" s="58"/>
      <c r="AH255" s="58"/>
      <c r="AI255" s="58">
        <f>IQ_IS!AI175</f>
        <v>20.709999999999997</v>
      </c>
      <c r="AJ255" s="212">
        <f>IQ_IS!AJ175</f>
        <v>16.39</v>
      </c>
      <c r="AK255" s="58">
        <f>IQ_IS!AK175</f>
        <v>77.632999999999996</v>
      </c>
      <c r="AL255" s="58">
        <f>IQ_IS!AL175</f>
        <v>51.286000000000001</v>
      </c>
      <c r="AM255" s="58">
        <f>IQ_IS!AM175</f>
        <v>52.826000000000001</v>
      </c>
      <c r="AN255" s="212">
        <f>IQ_IS!AN175</f>
        <v>51.679000000000002</v>
      </c>
      <c r="AO255" s="58">
        <f t="shared" ref="AO255:AZ255" si="1070">AO257+AO260</f>
        <v>59.648815486858119</v>
      </c>
      <c r="AP255" s="58">
        <f t="shared" si="1070"/>
        <v>72.00079331339731</v>
      </c>
      <c r="AQ255" s="58">
        <f t="shared" si="1070"/>
        <v>81.351417646798836</v>
      </c>
      <c r="AR255" s="212">
        <f t="shared" si="1070"/>
        <v>79.641605714175583</v>
      </c>
      <c r="AS255" s="58">
        <f t="shared" si="1070"/>
        <v>73.3813214258183</v>
      </c>
      <c r="AT255" s="58">
        <f t="shared" si="1070"/>
        <v>85.281298118241338</v>
      </c>
      <c r="AU255" s="58">
        <f t="shared" si="1070"/>
        <v>94.671551797856509</v>
      </c>
      <c r="AV255" s="212">
        <f t="shared" si="1070"/>
        <v>94.157305183664874</v>
      </c>
      <c r="AW255" s="58">
        <f t="shared" si="1070"/>
        <v>86.653375202689986</v>
      </c>
      <c r="AX255" s="58">
        <f t="shared" si="1070"/>
        <v>98.52228709204131</v>
      </c>
      <c r="AY255" s="58">
        <f t="shared" si="1070"/>
        <v>107.66309358741246</v>
      </c>
      <c r="AZ255" s="58">
        <f t="shared" si="1070"/>
        <v>108.62539111439941</v>
      </c>
    </row>
    <row r="256" spans="2:52">
      <c r="B256" s="3" t="s">
        <v>271</v>
      </c>
      <c r="E256" s="2"/>
      <c r="F256" s="4"/>
      <c r="G256" s="4"/>
      <c r="H256" s="4"/>
      <c r="I256" s="71">
        <f ca="1">I255/I$214</f>
        <v>8.3093545199248529E-3</v>
      </c>
      <c r="J256" s="71">
        <f t="shared" ref="J256" ca="1" si="1071">J255/J$214</f>
        <v>5.5521705318673613E-3</v>
      </c>
      <c r="K256" s="71">
        <f t="shared" ref="K256" ca="1" si="1072">K255/K$214</f>
        <v>1.3431885075395535E-2</v>
      </c>
      <c r="L256" s="71">
        <f t="shared" ref="L256" ca="1" si="1073">L255/L$214</f>
        <v>1.1665208761381107E-2</v>
      </c>
      <c r="M256" s="71">
        <f t="shared" ref="M256" ca="1" si="1074">M255/M$214</f>
        <v>1.0665208761381106E-2</v>
      </c>
      <c r="N256" s="71">
        <f t="shared" ref="N256" ca="1" si="1075">N255/N$214</f>
        <v>9.6652087613811055E-3</v>
      </c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215"/>
      <c r="AC256" s="4"/>
      <c r="AD256" s="4"/>
      <c r="AE256" s="4"/>
      <c r="AF256" s="215"/>
      <c r="AG256" s="4"/>
      <c r="AH256" s="4"/>
      <c r="AI256" s="71">
        <f>AI255/AI$214</f>
        <v>6.3573317747484684E-3</v>
      </c>
      <c r="AJ256" s="241">
        <f t="shared" ref="AJ256:AL256" si="1076">AJ255/AJ$214</f>
        <v>5.1947376895175963E-3</v>
      </c>
      <c r="AK256" s="71">
        <f t="shared" si="1076"/>
        <v>2.3639523829534038E-2</v>
      </c>
      <c r="AL256" s="71">
        <f t="shared" si="1076"/>
        <v>1.1854419426769038E-2</v>
      </c>
      <c r="AM256" s="71">
        <f t="shared" ref="AM256" si="1077">AM255/AM$214</f>
        <v>1.0670662425011359E-2</v>
      </c>
      <c r="AN256" s="241">
        <f t="shared" ref="AN256" si="1078">AN255/AN$214</f>
        <v>1.0727539713215431E-2</v>
      </c>
      <c r="AO256" s="4">
        <f ca="1">AO255/BIDU_IS!AO$82</f>
        <v>2.7242959275506936E-3</v>
      </c>
      <c r="AP256" s="4">
        <f ca="1">AP255/BIDU_IS!AP$82</f>
        <v>2.7469772620498044E-3</v>
      </c>
      <c r="AQ256" s="4">
        <f ca="1">AQ255/BIDU_IS!AQ$82</f>
        <v>2.84195808123737E-3</v>
      </c>
      <c r="AR256" s="215">
        <f ca="1">AR255/BIDU_IS!AR$82</f>
        <v>2.788597664055844E-3</v>
      </c>
      <c r="AS256" s="4">
        <f ca="1">AS255/BIDU_IS!AS$82</f>
        <v>2.6454259769771635E-3</v>
      </c>
      <c r="AT256" s="4">
        <f ca="1">AT255/BIDU_IS!AT$82</f>
        <v>2.665880806601309E-3</v>
      </c>
      <c r="AU256" s="4">
        <f ca="1">AU255/BIDU_IS!AU$82</f>
        <v>2.7036792178453842E-3</v>
      </c>
      <c r="AV256" s="215">
        <f ca="1">AV255/BIDU_IS!AV$82</f>
        <v>2.7812561748874237E-3</v>
      </c>
      <c r="AW256" s="4">
        <f ca="1">AW255/BIDU_IS!AW$82</f>
        <v>2.5726309268353587E-3</v>
      </c>
      <c r="AX256" s="4">
        <f ca="1">AX255/BIDU_IS!AX$82</f>
        <v>2.5791872456371124E-3</v>
      </c>
      <c r="AY256" s="4">
        <f ca="1">AY255/BIDU_IS!AY$82</f>
        <v>2.5908633409864714E-3</v>
      </c>
      <c r="AZ256" s="4">
        <f ca="1">AZ255/BIDU_IS!AZ$82</f>
        <v>2.6304318602346491E-3</v>
      </c>
    </row>
    <row r="257" spans="2:52">
      <c r="B257" s="3" t="s">
        <v>273</v>
      </c>
      <c r="E257" s="67"/>
      <c r="F257" s="58"/>
      <c r="G257" s="58"/>
      <c r="H257" s="58"/>
      <c r="I257" s="58">
        <f>IQ_IS!I172</f>
        <v>5.8369999999999997</v>
      </c>
      <c r="J257" s="58">
        <f>IQ_IS!J172</f>
        <v>9.4789999999999992</v>
      </c>
      <c r="K257" s="58">
        <f>IQ_IS!K172</f>
        <v>34.895000000000003</v>
      </c>
      <c r="L257" s="58">
        <f ca="1">SUM(OFFSET($P257,0,L$1,1,4))</f>
        <v>41.774741026650332</v>
      </c>
      <c r="M257" s="58">
        <f ca="1">SUM(OFFSET($P257,0,M$1,1,4))</f>
        <v>54.255464113458373</v>
      </c>
      <c r="N257" s="58">
        <f ca="1">SUM(OFFSET($P257,0,N$1,1,4))</f>
        <v>69.167840184706762</v>
      </c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212"/>
      <c r="AC257" s="58"/>
      <c r="AD257" s="58"/>
      <c r="AE257" s="58"/>
      <c r="AF257" s="212"/>
      <c r="AG257" s="58"/>
      <c r="AH257" s="58"/>
      <c r="AI257" s="58">
        <f>IQ_IS!AI172</f>
        <v>3.492</v>
      </c>
      <c r="AJ257" s="212">
        <f>IQ_IS!AJ172</f>
        <v>2.984</v>
      </c>
      <c r="AK257" s="58">
        <f>IQ_IS!AK172</f>
        <v>10.695</v>
      </c>
      <c r="AL257" s="58">
        <f>IQ_IS!AL172</f>
        <v>7.9880000000000004</v>
      </c>
      <c r="AM257" s="58">
        <f>IQ_IS!AM172</f>
        <v>8.19</v>
      </c>
      <c r="AN257" s="212">
        <f>IQ_IS!AN172</f>
        <v>8.0220000000000002</v>
      </c>
      <c r="AO257" s="58">
        <f>AO258*AO$214</f>
        <v>8.5148694881103193</v>
      </c>
      <c r="AP257" s="58">
        <f t="shared" ref="AP257" si="1079">AP258*AP$214</f>
        <v>10.278114545946986</v>
      </c>
      <c r="AQ257" s="58">
        <f t="shared" ref="AQ257" si="1080">AQ258*AQ$214</f>
        <v>11.612916338428587</v>
      </c>
      <c r="AR257" s="212">
        <f t="shared" ref="AR257" si="1081">AR258*AR$214</f>
        <v>11.368840654164442</v>
      </c>
      <c r="AS257" s="58">
        <f t="shared" ref="AS257" si="1082">AS258*AS$214</f>
        <v>11.457367792224245</v>
      </c>
      <c r="AT257" s="58">
        <f t="shared" ref="AT257" si="1083">AT258*AT$214</f>
        <v>13.315366626734418</v>
      </c>
      <c r="AU257" s="58">
        <f t="shared" ref="AU257" si="1084">AU258*AU$214</f>
        <v>14.7815107078055</v>
      </c>
      <c r="AV257" s="212">
        <f t="shared" ref="AV257" si="1085">AV258*AV$214</f>
        <v>14.701218986694212</v>
      </c>
      <c r="AW257" s="58">
        <f t="shared" ref="AW257" si="1086">AW258*AW$214</f>
        <v>14.929419855608431</v>
      </c>
      <c r="AX257" s="58">
        <f t="shared" ref="AX257" si="1087">AX258*AX$214</f>
        <v>16.974302336075827</v>
      </c>
      <c r="AY257" s="58">
        <f t="shared" ref="AY257" si="1088">AY258*AY$214</f>
        <v>18.549162376657744</v>
      </c>
      <c r="AZ257" s="58">
        <f t="shared" ref="AZ257" si="1089">AZ258*AZ$214</f>
        <v>18.714955616364762</v>
      </c>
    </row>
    <row r="258" spans="2:52">
      <c r="B258" s="52" t="s">
        <v>271</v>
      </c>
      <c r="E258" s="12"/>
      <c r="F258" s="4"/>
      <c r="G258" s="4"/>
      <c r="H258" s="4"/>
      <c r="I258" s="71">
        <f ca="1">I257/I$214</f>
        <v>1.0974725603656913E-3</v>
      </c>
      <c r="J258" s="71">
        <f t="shared" ref="J258" ca="1" si="1090">J257/J$214</f>
        <v>8.4352199755690965E-4</v>
      </c>
      <c r="K258" s="71">
        <f t="shared" ref="K258" ca="1" si="1091">K257/K$214</f>
        <v>2.0079581778477242E-3</v>
      </c>
      <c r="L258" s="71">
        <f t="shared" ref="L258" ca="1" si="1092">L257/L$214</f>
        <v>1.6652087613811062E-3</v>
      </c>
      <c r="M258" s="71">
        <f t="shared" ref="M258" ca="1" si="1093">M257/M$214</f>
        <v>1.665208761381106E-3</v>
      </c>
      <c r="N258" s="71">
        <f t="shared" ref="N258" ca="1" si="1094">N257/N$214</f>
        <v>1.665208761381106E-3</v>
      </c>
      <c r="O258" s="71"/>
      <c r="P258" s="71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215"/>
      <c r="AC258" s="4"/>
      <c r="AD258" s="4"/>
      <c r="AE258" s="4"/>
      <c r="AF258" s="215"/>
      <c r="AG258" s="4"/>
      <c r="AH258" s="4"/>
      <c r="AI258" s="71">
        <f>AI257/AI$214</f>
        <v>1.0719363861623203E-3</v>
      </c>
      <c r="AJ258" s="241">
        <f t="shared" ref="AJ258:AL258" si="1095">AJ257/AJ$214</f>
        <v>9.457655439609827E-4</v>
      </c>
      <c r="AK258" s="71">
        <f t="shared" si="1095"/>
        <v>3.2566654303822673E-3</v>
      </c>
      <c r="AL258" s="71">
        <f t="shared" si="1095"/>
        <v>1.8463733256840283E-3</v>
      </c>
      <c r="AM258" s="71">
        <f t="shared" ref="AM258" si="1096">AM257/AM$214</f>
        <v>1.6543506088070839E-3</v>
      </c>
      <c r="AN258" s="241">
        <f t="shared" ref="AN258" si="1097">AN257/AN$214</f>
        <v>1.6652087613811062E-3</v>
      </c>
      <c r="AO258" s="234">
        <f>AN258</f>
        <v>1.6652087613811062E-3</v>
      </c>
      <c r="AP258" s="66">
        <f t="shared" ref="AP258:AZ258" si="1098">AO258</f>
        <v>1.6652087613811062E-3</v>
      </c>
      <c r="AQ258" s="66">
        <f t="shared" si="1098"/>
        <v>1.6652087613811062E-3</v>
      </c>
      <c r="AR258" s="246">
        <f t="shared" si="1098"/>
        <v>1.6652087613811062E-3</v>
      </c>
      <c r="AS258" s="234">
        <f t="shared" si="1098"/>
        <v>1.6652087613811062E-3</v>
      </c>
      <c r="AT258" s="66">
        <f t="shared" si="1098"/>
        <v>1.6652087613811062E-3</v>
      </c>
      <c r="AU258" s="66">
        <f t="shared" si="1098"/>
        <v>1.6652087613811062E-3</v>
      </c>
      <c r="AV258" s="246">
        <f t="shared" si="1098"/>
        <v>1.6652087613811062E-3</v>
      </c>
      <c r="AW258" s="234">
        <f t="shared" si="1098"/>
        <v>1.6652087613811062E-3</v>
      </c>
      <c r="AX258" s="66">
        <f t="shared" si="1098"/>
        <v>1.6652087613811062E-3</v>
      </c>
      <c r="AY258" s="66">
        <f t="shared" si="1098"/>
        <v>1.6652087613811062E-3</v>
      </c>
      <c r="AZ258" s="66">
        <f t="shared" si="1098"/>
        <v>1.6652087613811062E-3</v>
      </c>
    </row>
    <row r="259" spans="2:52">
      <c r="B259" s="52" t="s">
        <v>270</v>
      </c>
      <c r="E259" s="2"/>
      <c r="F259" s="4"/>
      <c r="G259" s="4"/>
      <c r="H259" s="4"/>
      <c r="I259" s="4"/>
      <c r="J259" s="4">
        <f t="shared" ref="J259:L259" si="1099">J257/I257-1</f>
        <v>0.62395065958540341</v>
      </c>
      <c r="K259" s="4">
        <f t="shared" si="1099"/>
        <v>2.6812954953054127</v>
      </c>
      <c r="L259" s="4">
        <f t="shared" ca="1" si="1099"/>
        <v>0.19715549582032743</v>
      </c>
      <c r="M259" s="4">
        <f t="shared" ref="M259" ca="1" si="1100">M257/L257-1</f>
        <v>0.29876242868497793</v>
      </c>
      <c r="N259" s="4">
        <f t="shared" ref="N259" ca="1" si="1101">N257/M257-1</f>
        <v>0.27485482457700128</v>
      </c>
      <c r="U259" s="4"/>
      <c r="V259" s="4"/>
      <c r="W259" s="4"/>
      <c r="X259" s="4"/>
      <c r="Y259" s="4"/>
      <c r="Z259" s="4"/>
      <c r="AA259" s="4"/>
      <c r="AB259" s="215"/>
      <c r="AC259" s="4"/>
      <c r="AD259" s="4"/>
      <c r="AE259" s="4"/>
      <c r="AF259" s="215"/>
      <c r="AG259" s="4"/>
      <c r="AH259" s="4"/>
      <c r="AI259" s="4"/>
      <c r="AJ259" s="215"/>
      <c r="AK259" s="4"/>
      <c r="AL259" s="4"/>
      <c r="AM259" s="4">
        <f t="shared" ref="AM259" si="1102">AM257/AI257-1</f>
        <v>1.3453608247422677</v>
      </c>
      <c r="AN259" s="215">
        <f t="shared" ref="AN259" si="1103">AN257/AJ257-1</f>
        <v>1.6883378016085793</v>
      </c>
      <c r="AO259" s="4">
        <f t="shared" ref="AO259" si="1104">AO257/AK257-1</f>
        <v>-0.20384577016266303</v>
      </c>
      <c r="AP259" s="4">
        <f t="shared" ref="AP259" si="1105">AP257/AL257-1</f>
        <v>0.2866943597830478</v>
      </c>
      <c r="AQ259" s="4">
        <f t="shared" ref="AQ259" si="1106">AQ257/AM257-1</f>
        <v>0.41793850286063328</v>
      </c>
      <c r="AR259" s="215">
        <f t="shared" ref="AR259" si="1107">AR257/AN257-1</f>
        <v>0.41720776042937446</v>
      </c>
      <c r="AS259" s="4">
        <f t="shared" ref="AS259" si="1108">AS257/AO257-1</f>
        <v>0.34557174460779039</v>
      </c>
      <c r="AT259" s="4">
        <f t="shared" ref="AT259" si="1109">AT257/AP257-1</f>
        <v>0.29550673591053966</v>
      </c>
      <c r="AU259" s="4">
        <f t="shared" ref="AU259" si="1110">AU257/AQ257-1</f>
        <v>0.27285087371994932</v>
      </c>
      <c r="AV259" s="215">
        <f t="shared" ref="AV259" si="1111">AV257/AR257-1</f>
        <v>0.29311505314388486</v>
      </c>
      <c r="AW259" s="4">
        <f t="shared" ref="AW259" si="1112">AW257/AS257-1</f>
        <v>0.30304098867634832</v>
      </c>
      <c r="AX259" s="4">
        <f t="shared" ref="AX259" si="1113">AX257/AT257-1</f>
        <v>0.27479045916730871</v>
      </c>
      <c r="AY259" s="4">
        <f t="shared" ref="AY259" si="1114">AY257/AU257-1</f>
        <v>0.25488948615128382</v>
      </c>
      <c r="AZ259" s="4">
        <f t="shared" ref="AZ259" si="1115">AZ257/AV257-1</f>
        <v>0.27302066810264547</v>
      </c>
    </row>
    <row r="260" spans="2:52">
      <c r="B260" s="3" t="s">
        <v>272</v>
      </c>
      <c r="E260" s="58"/>
      <c r="F260" s="58"/>
      <c r="G260" s="58"/>
      <c r="H260" s="58"/>
      <c r="I260" s="58">
        <f>I255-I257</f>
        <v>38.356999999999999</v>
      </c>
      <c r="J260" s="58">
        <f t="shared" ref="J260:K260" si="1116">J255-J257</f>
        <v>52.913000000000004</v>
      </c>
      <c r="K260" s="58">
        <f t="shared" si="1116"/>
        <v>198.529</v>
      </c>
      <c r="L260" s="58">
        <f ca="1">SUM(OFFSET($P260,0,L$1,1,4))</f>
        <v>250.86789113457951</v>
      </c>
      <c r="M260" s="58">
        <f ca="1">SUM(OFFSET($P260,0,M$1,1,4))</f>
        <v>293.23601241212265</v>
      </c>
      <c r="N260" s="58">
        <f ca="1">SUM(OFFSET($P260,0,N$1,1,4))</f>
        <v>332.29630681183642</v>
      </c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212"/>
      <c r="AC260" s="58"/>
      <c r="AD260" s="58"/>
      <c r="AE260" s="58"/>
      <c r="AF260" s="212"/>
      <c r="AG260" s="58"/>
      <c r="AH260" s="58"/>
      <c r="AI260" s="58">
        <f>AI255-AI257</f>
        <v>17.217999999999996</v>
      </c>
      <c r="AJ260" s="212">
        <f t="shared" ref="AJ260:AL260" si="1117">AJ255-AJ257</f>
        <v>13.406000000000001</v>
      </c>
      <c r="AK260" s="58">
        <f t="shared" si="1117"/>
        <v>66.937999999999988</v>
      </c>
      <c r="AL260" s="58">
        <f t="shared" si="1117"/>
        <v>43.298000000000002</v>
      </c>
      <c r="AM260" s="58">
        <f t="shared" ref="AM260:AN260" si="1118">AM255-AM257</f>
        <v>44.636000000000003</v>
      </c>
      <c r="AN260" s="212">
        <f t="shared" si="1118"/>
        <v>43.657000000000004</v>
      </c>
      <c r="AO260" s="58">
        <f>AO261*AO$214</f>
        <v>51.133945998747798</v>
      </c>
      <c r="AP260" s="58">
        <f t="shared" ref="AP260" si="1119">AP261*AP$214</f>
        <v>61.722678767450326</v>
      </c>
      <c r="AQ260" s="58">
        <f t="shared" ref="AQ260" si="1120">AQ261*AQ$214</f>
        <v>69.738501308370246</v>
      </c>
      <c r="AR260" s="212">
        <f t="shared" ref="AR260" si="1121">AR261*AR$214</f>
        <v>68.272765060011139</v>
      </c>
      <c r="AS260" s="58">
        <f t="shared" ref="AS260" si="1122">AS261*AS$214</f>
        <v>61.92395363359406</v>
      </c>
      <c r="AT260" s="58">
        <f t="shared" ref="AT260" si="1123">AT261*AT$214</f>
        <v>71.965931491506922</v>
      </c>
      <c r="AU260" s="58">
        <f t="shared" ref="AU260" si="1124">AU261*AU$214</f>
        <v>79.890041090051014</v>
      </c>
      <c r="AV260" s="212">
        <f t="shared" ref="AV260" si="1125">AV261*AV$214</f>
        <v>79.456086196970659</v>
      </c>
      <c r="AW260" s="58">
        <f t="shared" ref="AW260" si="1126">AW261*AW$214</f>
        <v>71.723955347081557</v>
      </c>
      <c r="AX260" s="58">
        <f t="shared" ref="AX260" si="1127">AX261*AX$214</f>
        <v>81.547984755965487</v>
      </c>
      <c r="AY260" s="58">
        <f t="shared" ref="AY260" si="1128">AY261*AY$214</f>
        <v>89.113931210754714</v>
      </c>
      <c r="AZ260" s="58">
        <f t="shared" ref="AZ260" si="1129">AZ261*AZ$214</f>
        <v>89.910435498034644</v>
      </c>
    </row>
    <row r="261" spans="2:52">
      <c r="B261" s="52" t="s">
        <v>271</v>
      </c>
      <c r="F261" s="4"/>
      <c r="G261" s="4"/>
      <c r="H261" s="4"/>
      <c r="I261" s="71">
        <f ca="1">I260/I$214</f>
        <v>7.2118819595591611E-3</v>
      </c>
      <c r="J261" s="71">
        <f t="shared" ref="J261" ca="1" si="1130">J260/J$214</f>
        <v>4.7086485343104511E-3</v>
      </c>
      <c r="K261" s="71">
        <f t="shared" ref="K261" ca="1" si="1131">K260/K$214</f>
        <v>1.142392689754781E-2</v>
      </c>
      <c r="L261" s="71">
        <f t="shared" ref="L261" ca="1" si="1132">L260/L$214</f>
        <v>0.01</v>
      </c>
      <c r="M261" s="71">
        <f t="shared" ref="M261" ca="1" si="1133">M260/M$214</f>
        <v>9.0000000000000011E-3</v>
      </c>
      <c r="N261" s="71">
        <f t="shared" ref="N261" ca="1" si="1134">N260/N$214</f>
        <v>8.0000000000000002E-3</v>
      </c>
      <c r="O261" s="71"/>
      <c r="P261" s="71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215"/>
      <c r="AC261" s="4"/>
      <c r="AD261" s="4"/>
      <c r="AE261" s="4"/>
      <c r="AF261" s="215"/>
      <c r="AG261" s="4"/>
      <c r="AH261" s="4"/>
      <c r="AI261" s="71">
        <f>AI260/AI$214</f>
        <v>5.2853953885861477E-3</v>
      </c>
      <c r="AJ261" s="241">
        <f t="shared" ref="AJ261:AL261" si="1135">AJ260/AJ$214</f>
        <v>4.2489721455566138E-3</v>
      </c>
      <c r="AK261" s="71">
        <f t="shared" si="1135"/>
        <v>2.0382858399151767E-2</v>
      </c>
      <c r="AL261" s="71">
        <f t="shared" si="1135"/>
        <v>1.000804610108501E-2</v>
      </c>
      <c r="AM261" s="71">
        <f t="shared" ref="AM261" si="1136">AM260/AM$214</f>
        <v>9.0163118162042751E-3</v>
      </c>
      <c r="AN261" s="241">
        <f t="shared" ref="AN261" si="1137">AN260/AN$214</f>
        <v>9.0623309518343253E-3</v>
      </c>
      <c r="AO261" s="234">
        <v>0.01</v>
      </c>
      <c r="AP261" s="66">
        <f>AO261</f>
        <v>0.01</v>
      </c>
      <c r="AQ261" s="66">
        <f t="shared" ref="AQ261:AR261" si="1138">AP261</f>
        <v>0.01</v>
      </c>
      <c r="AR261" s="246">
        <f t="shared" si="1138"/>
        <v>0.01</v>
      </c>
      <c r="AS261" s="234">
        <f>AO261-0.001</f>
        <v>9.0000000000000011E-3</v>
      </c>
      <c r="AT261" s="66">
        <f t="shared" ref="AT261:AZ261" si="1139">AP261-0.001</f>
        <v>9.0000000000000011E-3</v>
      </c>
      <c r="AU261" s="66">
        <f t="shared" si="1139"/>
        <v>9.0000000000000011E-3</v>
      </c>
      <c r="AV261" s="246">
        <f t="shared" si="1139"/>
        <v>9.0000000000000011E-3</v>
      </c>
      <c r="AW261" s="234">
        <f t="shared" si="1139"/>
        <v>8.0000000000000002E-3</v>
      </c>
      <c r="AX261" s="66">
        <f t="shared" si="1139"/>
        <v>8.0000000000000002E-3</v>
      </c>
      <c r="AY261" s="66">
        <f t="shared" si="1139"/>
        <v>8.0000000000000002E-3</v>
      </c>
      <c r="AZ261" s="66">
        <f t="shared" si="1139"/>
        <v>8.0000000000000002E-3</v>
      </c>
    </row>
    <row r="262" spans="2:52">
      <c r="B262" s="52" t="s">
        <v>270</v>
      </c>
      <c r="F262" s="4"/>
      <c r="G262" s="4"/>
      <c r="H262" s="4"/>
      <c r="I262" s="4"/>
      <c r="J262" s="4">
        <f t="shared" ref="J262" si="1140">J260/I260-1</f>
        <v>0.37948744688062175</v>
      </c>
      <c r="K262" s="4">
        <f t="shared" ref="K262" si="1141">K260/J260-1</f>
        <v>2.7519891142063382</v>
      </c>
      <c r="L262" s="4">
        <f t="shared" ref="L262" ca="1" si="1142">L260/K260-1</f>
        <v>0.26363347991769226</v>
      </c>
      <c r="M262" s="4">
        <f t="shared" ref="M262" ca="1" si="1143">M260/L260-1</f>
        <v>0.16888618581648029</v>
      </c>
      <c r="N262" s="4">
        <f t="shared" ref="N262" ca="1" si="1144">N260/M260-1</f>
        <v>0.1332042885128899</v>
      </c>
      <c r="O262" s="71"/>
      <c r="P262" s="71"/>
      <c r="Q262" s="71"/>
      <c r="R262" s="71"/>
      <c r="S262" s="71"/>
      <c r="T262" s="71"/>
      <c r="U262" s="4"/>
      <c r="V262" s="4"/>
      <c r="W262" s="4"/>
      <c r="X262" s="4"/>
      <c r="Y262" s="4"/>
      <c r="Z262" s="4"/>
      <c r="AA262" s="4"/>
      <c r="AB262" s="215"/>
      <c r="AC262" s="4"/>
      <c r="AD262" s="4"/>
      <c r="AE262" s="4"/>
      <c r="AF262" s="215"/>
      <c r="AG262" s="4"/>
      <c r="AH262" s="4"/>
      <c r="AI262" s="4"/>
      <c r="AJ262" s="215"/>
      <c r="AK262" s="4"/>
      <c r="AL262" s="4"/>
      <c r="AM262" s="4">
        <f t="shared" ref="AM262" si="1145">AM260/AI260-1</f>
        <v>1.5924032988732728</v>
      </c>
      <c r="AN262" s="215">
        <f t="shared" ref="AN262" si="1146">AN260/AJ260-1</f>
        <v>2.2565269282410862</v>
      </c>
      <c r="AO262" s="4">
        <f t="shared" ref="AO262" si="1147">AO260/AK260-1</f>
        <v>-0.23609988349296651</v>
      </c>
      <c r="AP262" s="4">
        <f t="shared" ref="AP262" si="1148">AP260/AL260-1</f>
        <v>0.42553186677098997</v>
      </c>
      <c r="AQ262" s="4">
        <f t="shared" ref="AQ262" si="1149">AQ260/AM260-1</f>
        <v>0.56238241124586086</v>
      </c>
      <c r="AR262" s="215">
        <f t="shared" ref="AR262" si="1150">AR260/AN260-1</f>
        <v>0.56384463110179661</v>
      </c>
      <c r="AS262" s="4">
        <f t="shared" ref="AS262" si="1151">AS260/AO260-1</f>
        <v>0.21101457014701142</v>
      </c>
      <c r="AT262" s="4">
        <f t="shared" ref="AT262" si="1152">AT260/AP260-1</f>
        <v>0.16595606231948601</v>
      </c>
      <c r="AU262" s="4">
        <f t="shared" ref="AU262" si="1153">AU260/AQ260-1</f>
        <v>0.14556578634795447</v>
      </c>
      <c r="AV262" s="215">
        <f t="shared" ref="AV262" si="1154">AV260/AR260-1</f>
        <v>0.16380354782949658</v>
      </c>
      <c r="AW262" s="4">
        <f t="shared" ref="AW262" si="1155">AW260/AS260-1</f>
        <v>0.15825865660119853</v>
      </c>
      <c r="AX262" s="4">
        <f t="shared" ref="AX262" si="1156">AX260/AT260-1</f>
        <v>0.13314707481538535</v>
      </c>
      <c r="AY262" s="4">
        <f t="shared" ref="AY262" si="1157">AY260/AU260-1</f>
        <v>0.11545732102336315</v>
      </c>
      <c r="AZ262" s="4">
        <f t="shared" ref="AZ262" si="1158">AZ260/AV260-1</f>
        <v>0.1315739272023515</v>
      </c>
    </row>
    <row r="264" spans="2:52">
      <c r="B264" s="6" t="s">
        <v>608</v>
      </c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254"/>
      <c r="AC264" s="6"/>
      <c r="AD264" s="6"/>
      <c r="AE264" s="6"/>
      <c r="AF264" s="254"/>
      <c r="AG264" s="6"/>
      <c r="AH264" s="6"/>
      <c r="AI264" s="6"/>
      <c r="AJ264" s="254"/>
      <c r="AK264" s="6"/>
      <c r="AL264" s="6"/>
      <c r="AM264" s="6"/>
      <c r="AN264" s="254"/>
      <c r="AO264" s="6"/>
      <c r="AP264" s="6"/>
      <c r="AQ264" s="6"/>
      <c r="AR264" s="254"/>
      <c r="AS264" s="6"/>
      <c r="AT264" s="6"/>
      <c r="AU264" s="6"/>
      <c r="AV264" s="254"/>
      <c r="AW264" s="6"/>
      <c r="AX264" s="6"/>
      <c r="AY264" s="6"/>
      <c r="AZ264" s="6"/>
    </row>
    <row r="265" spans="2:52">
      <c r="B265" s="1" t="str">
        <f>BIDU_IS!B98</f>
        <v>Sales Tax and Surcharges</v>
      </c>
      <c r="F265" s="58">
        <f>BIDU_IS!F98</f>
        <v>1572.42</v>
      </c>
      <c r="G265" s="58">
        <f>BIDU_IS!G98</f>
        <v>2329.558</v>
      </c>
      <c r="H265" s="58">
        <f>BIDU_IS!H98</f>
        <v>3597.7629999999999</v>
      </c>
      <c r="I265" s="58">
        <f>BIDU_IS!I98</f>
        <v>4644.357</v>
      </c>
      <c r="J265" s="58">
        <f>BIDU_IS!J98</f>
        <v>4718.4679999999998</v>
      </c>
      <c r="K265" s="58">
        <f>BIDU_IS!K98</f>
        <v>6181</v>
      </c>
      <c r="L265" s="58">
        <f ca="1">SUM(OFFSET($P265,0,L$1,1,4))</f>
        <v>7659.6425216166353</v>
      </c>
      <c r="M265" s="58">
        <f ca="1">SUM(OFFSET($P265,0,M$1,1,4))</f>
        <v>9356.4228145663183</v>
      </c>
      <c r="N265" s="58">
        <f ca="1">SUM(OFFSET($P265,0,N$1,1,4))</f>
        <v>11259.222307895338</v>
      </c>
      <c r="Q265" s="58">
        <f>BIDU_IS!Q98</f>
        <v>310.02100000000002</v>
      </c>
      <c r="R265" s="58">
        <f>BIDU_IS!R98</f>
        <v>392.54399999999998</v>
      </c>
      <c r="S265" s="58">
        <f>BIDU_IS!S98</f>
        <v>427.14600000000002</v>
      </c>
      <c r="T265" s="58">
        <f>BIDU_IS!T98</f>
        <v>442.709</v>
      </c>
      <c r="U265" s="58">
        <f>BIDU_IS!U98</f>
        <v>432.76799999999997</v>
      </c>
      <c r="V265" s="58">
        <f>BIDU_IS!V98</f>
        <v>544.95799999999997</v>
      </c>
      <c r="W265" s="58">
        <f>BIDU_IS!W98</f>
        <v>649.49599999999998</v>
      </c>
      <c r="X265" s="58">
        <f>BIDU_IS!X98</f>
        <v>702.33600000000001</v>
      </c>
      <c r="Y265" s="58">
        <f>BIDU_IS!Y98</f>
        <v>699.37</v>
      </c>
      <c r="Z265" s="58">
        <f>BIDU_IS!Z98</f>
        <v>872.08600000000001</v>
      </c>
      <c r="AA265" s="58">
        <f>BIDU_IS!AA98</f>
        <v>997.04</v>
      </c>
      <c r="AB265" s="212">
        <f>BIDU_IS!AB98</f>
        <v>1029.2670000000001</v>
      </c>
      <c r="AC265" s="58">
        <f>BIDU_IS!AC98</f>
        <v>948.20899999999995</v>
      </c>
      <c r="AD265" s="58">
        <f>BIDU_IS!AD98</f>
        <v>1175.617</v>
      </c>
      <c r="AE265" s="58">
        <f>BIDU_IS!AE98</f>
        <v>1260.606</v>
      </c>
      <c r="AF265" s="212">
        <f>BIDU_IS!AF98</f>
        <v>1259.925</v>
      </c>
      <c r="AG265" s="58">
        <f>BIDU_IS!AG98</f>
        <v>1047.5640000000001</v>
      </c>
      <c r="AH265" s="58">
        <f>BIDU_IS!AH98</f>
        <v>1211.5619999999999</v>
      </c>
      <c r="AI265" s="58">
        <f>BIDU_IS!AI98</f>
        <v>1220.377</v>
      </c>
      <c r="AJ265" s="212">
        <f>BIDU_IS!AJ98</f>
        <v>1238.9649999999999</v>
      </c>
      <c r="AK265" s="58">
        <f>BIDU_IS!AK98</f>
        <v>1258.508</v>
      </c>
      <c r="AL265" s="58">
        <f>BIDU_IS!AL98</f>
        <v>1509</v>
      </c>
      <c r="AM265" s="58">
        <f>BIDU_IS!AM98</f>
        <v>1700</v>
      </c>
      <c r="AN265" s="212">
        <f>BIDU_IS!AN98</f>
        <v>1713</v>
      </c>
      <c r="AO265" s="58">
        <f t="shared" ref="AO265:AZ265" ca="1" si="1159">AO235+AO114</f>
        <v>1592.7513814765589</v>
      </c>
      <c r="AP265" s="58">
        <f t="shared" ca="1" si="1159"/>
        <v>1906.7323575608093</v>
      </c>
      <c r="AQ265" s="58">
        <f t="shared" ca="1" si="1159"/>
        <v>2082.4979880309456</v>
      </c>
      <c r="AR265" s="212">
        <f t="shared" ca="1" si="1159"/>
        <v>2077.6607945483211</v>
      </c>
      <c r="AS265" s="58">
        <f t="shared" ca="1" si="1159"/>
        <v>2018.1019696660624</v>
      </c>
      <c r="AT265" s="58">
        <f t="shared" ca="1" si="1159"/>
        <v>2327.4118505369133</v>
      </c>
      <c r="AU265" s="58">
        <f t="shared" ca="1" si="1159"/>
        <v>2547.6360655920998</v>
      </c>
      <c r="AV265" s="212">
        <f t="shared" ca="1" si="1159"/>
        <v>2463.2729287712436</v>
      </c>
      <c r="AW265" s="58">
        <f t="shared" ca="1" si="1159"/>
        <v>2450.9086497709504</v>
      </c>
      <c r="AX265" s="58">
        <f t="shared" ca="1" si="1159"/>
        <v>2779.5417796350121</v>
      </c>
      <c r="AY265" s="58">
        <f t="shared" ca="1" si="1159"/>
        <v>3023.7670841090458</v>
      </c>
      <c r="AZ265" s="58">
        <f t="shared" ca="1" si="1159"/>
        <v>3005.0047943803288</v>
      </c>
    </row>
    <row r="266" spans="2:52">
      <c r="B266" s="3" t="s">
        <v>284</v>
      </c>
      <c r="F266" s="71">
        <f>F265/BIDU_IS!F$89</f>
        <v>7.0493058691853044E-2</v>
      </c>
      <c r="G266" s="71">
        <f>G265/BIDU_IS!G$89</f>
        <v>7.2926482043971813E-2</v>
      </c>
      <c r="H266" s="71">
        <f>H265/BIDU_IS!H$89</f>
        <v>7.3345422738228194E-2</v>
      </c>
      <c r="I266" s="71">
        <f>I265/BIDU_IS!I$89</f>
        <v>6.996438733917279E-2</v>
      </c>
      <c r="J266" s="71">
        <f>J265/BIDU_IS!J$89</f>
        <v>6.6881793576480719E-2</v>
      </c>
      <c r="K266" s="71">
        <f ca="1">K265/BIDU_IS!K$89</f>
        <v>7.2881042068019916E-2</v>
      </c>
      <c r="L266" s="71">
        <f ca="1">L265/BIDU_IS!L$89</f>
        <v>7.2747424094024751E-2</v>
      </c>
      <c r="M266" s="71">
        <f ca="1">M265/BIDU_IS!M$89</f>
        <v>7.2756622203161189E-2</v>
      </c>
      <c r="N266" s="71">
        <f ca="1">N265/BIDU_IS!N$89</f>
        <v>7.2765812295957591E-2</v>
      </c>
      <c r="Q266" s="71">
        <f>Q265/BIDU_IS!Q$89</f>
        <v>7.2711268803091755E-2</v>
      </c>
      <c r="R266" s="71">
        <f>R265/BIDU_IS!R$89</f>
        <v>7.1944154867315022E-2</v>
      </c>
      <c r="S266" s="71">
        <f>S265/BIDU_IS!S$89</f>
        <v>6.8335487751810989E-2</v>
      </c>
      <c r="T266" s="71">
        <f>T265/BIDU_IS!T$89</f>
        <v>6.9879214173937776E-2</v>
      </c>
      <c r="U266" s="71">
        <f>U265/BIDU_IS!U$89</f>
        <v>7.250820887795302E-2</v>
      </c>
      <c r="V266" s="71">
        <f>V265/BIDU_IS!V$89</f>
        <v>7.2076621369521671E-2</v>
      </c>
      <c r="W266" s="71">
        <f>W265/BIDU_IS!W$89</f>
        <v>7.3045544486753766E-2</v>
      </c>
      <c r="X266" s="71">
        <f>X265/BIDU_IS!X$89</f>
        <v>7.3752222665480621E-2</v>
      </c>
      <c r="Y266" s="71">
        <f>Y265/BIDU_IS!Y$89</f>
        <v>7.3644623859270189E-2</v>
      </c>
      <c r="Z266" s="71">
        <f>Z265/BIDU_IS!Z$89</f>
        <v>7.2760041856259353E-2</v>
      </c>
      <c r="AA266" s="71">
        <f>AA265/BIDU_IS!AA$89</f>
        <v>7.3746893065229871E-2</v>
      </c>
      <c r="AB266" s="241">
        <f>AB265/BIDU_IS!AB$89</f>
        <v>7.3256243723856751E-2</v>
      </c>
      <c r="AC266" s="71">
        <f>AC265/BIDU_IS!AC$89</f>
        <v>7.451769074996055E-2</v>
      </c>
      <c r="AD266" s="71">
        <f>AD265/BIDU_IS!AD$89</f>
        <v>7.0926100729292701E-2</v>
      </c>
      <c r="AE266" s="71">
        <f>AE265/BIDU_IS!AE$89</f>
        <v>6.8574250420808142E-2</v>
      </c>
      <c r="AF266" s="241">
        <f>AF265/BIDU_IS!AF$89</f>
        <v>6.7380013919614276E-2</v>
      </c>
      <c r="AG266" s="71">
        <f>AG265/BIDU_IS!AG$89</f>
        <v>6.6215304983915882E-2</v>
      </c>
      <c r="AH266" s="71">
        <f>AH265/BIDU_IS!AH$89</f>
        <v>6.6337349471474696E-2</v>
      </c>
      <c r="AI266" s="71">
        <f>AI265/BIDU_IS!AI$89</f>
        <v>6.6859864856595091E-2</v>
      </c>
      <c r="AJ266" s="241">
        <f>AJ265/BIDU_IS!AJ$89</f>
        <v>6.8028706838780303E-2</v>
      </c>
      <c r="AK266" s="71">
        <f>AK265/BIDU_IS!AK$89</f>
        <v>7.4508555996657358E-2</v>
      </c>
      <c r="AL266" s="71">
        <f>AL265/BIDU_IS!AL$89</f>
        <v>7.2290888186260421E-2</v>
      </c>
      <c r="AM266" s="71">
        <f>AM265/BIDU_IS!AM$89</f>
        <v>7.2374302865170936E-2</v>
      </c>
      <c r="AN266" s="241">
        <f>AN265/BIDU_IS!AN$89</f>
        <v>7.2720326031584306E-2</v>
      </c>
      <c r="AO266" s="71">
        <f ca="1">AO265/BIDU_IS!AO$89</f>
        <v>7.2744547678626245E-2</v>
      </c>
      <c r="AP266" s="71">
        <f ca="1">AP265/BIDU_IS!AP$89</f>
        <v>7.274573223430808E-2</v>
      </c>
      <c r="AQ266" s="71">
        <f ca="1">AQ265/BIDU_IS!AQ$89</f>
        <v>7.2750692703853537E-2</v>
      </c>
      <c r="AR266" s="241">
        <f ca="1">AR265/BIDU_IS!AR$89</f>
        <v>7.2747905901985266E-2</v>
      </c>
      <c r="AS266" s="71">
        <f ca="1">AS265/BIDU_IS!AS$89</f>
        <v>7.2753382891044702E-2</v>
      </c>
      <c r="AT266" s="71">
        <f ca="1">AT265/BIDU_IS!AT$89</f>
        <v>7.2754551329650211E-2</v>
      </c>
      <c r="AU266" s="71">
        <f ca="1">AU265/BIDU_IS!AU$89</f>
        <v>7.2756710483441067E-2</v>
      </c>
      <c r="AV266" s="241">
        <f ca="1">AV265/BIDU_IS!AV$89</f>
        <v>7.2761141901994592E-2</v>
      </c>
      <c r="AW266" s="71">
        <f ca="1">AW265/BIDU_IS!AW$89</f>
        <v>7.2764429273532813E-2</v>
      </c>
      <c r="AX266" s="71">
        <f ca="1">AX265/BIDU_IS!AX$89</f>
        <v>7.2764842538142999E-2</v>
      </c>
      <c r="AY266" s="71">
        <f ca="1">AY265/BIDU_IS!AY$89</f>
        <v>7.2765578517758861E-2</v>
      </c>
      <c r="AZ266" s="71">
        <f ca="1">AZ265/BIDU_IS!AZ$89</f>
        <v>7.2768072641241521E-2</v>
      </c>
    </row>
    <row r="267" spans="2:52">
      <c r="B267" s="3" t="s">
        <v>397</v>
      </c>
      <c r="F267" s="58">
        <f>F268*BIDU_IS!F$82</f>
        <v>1249.1374560000002</v>
      </c>
      <c r="G267" s="58">
        <f>G268*BIDU_IS!G$82</f>
        <v>1788.8597440000001</v>
      </c>
      <c r="H267" s="58">
        <f>H268*BIDU_IS!H$82</f>
        <v>2746.9298079999999</v>
      </c>
      <c r="I267" s="58">
        <f>I268*BIDU_IS!I$82</f>
        <v>3717.3768240000004</v>
      </c>
      <c r="J267" s="58">
        <f>J268*BIDU_IS!J$82</f>
        <v>3950.7643840000001</v>
      </c>
      <c r="K267" s="58">
        <f ca="1">SUM(OFFSET($P267,0,K$1,1,4))</f>
        <v>4749.3479600000001</v>
      </c>
      <c r="L267" s="58">
        <f ca="1">SUM(OFFSET($P267,0,L$1,1,4))</f>
        <v>5896.799259702655</v>
      </c>
      <c r="M267" s="58">
        <f ca="1">SUM(OFFSET($P267,0,M$1,1,4))</f>
        <v>7202.147828211363</v>
      </c>
      <c r="N267" s="58">
        <f ca="1">SUM(OFFSET($P267,0,N$1,1,4))</f>
        <v>8665.7267650388276</v>
      </c>
      <c r="Q267" s="58">
        <f>Q268*BIDU_IS!Q$82</f>
        <v>238.76871199999999</v>
      </c>
      <c r="R267" s="58">
        <f>R268*BIDU_IS!R$82</f>
        <v>305.548992</v>
      </c>
      <c r="S267" s="58">
        <f>S268*BIDU_IS!S$82</f>
        <v>350.04032000000001</v>
      </c>
      <c r="T267" s="58">
        <f>T268*BIDU_IS!T$82</f>
        <v>354.77937599999996</v>
      </c>
      <c r="U267" s="58">
        <f>U268*BIDU_IS!U$82</f>
        <v>334.23812800000002</v>
      </c>
      <c r="V267" s="58">
        <f>V268*BIDU_IS!V$82</f>
        <v>423.40564000000001</v>
      </c>
      <c r="W267" s="58">
        <f>W268*BIDU_IS!W$82</f>
        <v>497.93284799999998</v>
      </c>
      <c r="X267" s="58">
        <f>X268*BIDU_IS!X$82</f>
        <v>533.28312799999992</v>
      </c>
      <c r="Y267" s="58">
        <f>Y268*BIDU_IS!Y$82</f>
        <v>531.80691200000001</v>
      </c>
      <c r="Z267" s="58">
        <f>Z268*BIDU_IS!Z$82</f>
        <v>671.20379200000002</v>
      </c>
      <c r="AA267" s="58">
        <f>AA268*BIDU_IS!AA$82</f>
        <v>757.10633599999994</v>
      </c>
      <c r="AB267" s="212">
        <f>AB268*BIDU_IS!AB$82</f>
        <v>786.81282399999998</v>
      </c>
      <c r="AC267" s="58">
        <f>AC268*BIDU_IS!AC$82</f>
        <v>712.57849599999997</v>
      </c>
      <c r="AD267" s="58">
        <f>AD268*BIDU_IS!AD$82</f>
        <v>928.21332799999993</v>
      </c>
      <c r="AE267" s="58">
        <f>AE268*BIDU_IS!AE$82</f>
        <v>1029.452536</v>
      </c>
      <c r="AF267" s="212">
        <f>AF268*BIDU_IS!AF$82</f>
        <v>1047.132464</v>
      </c>
      <c r="AG267" s="58">
        <f>AG268*BIDU_IS!AG$82</f>
        <v>885.95203200000003</v>
      </c>
      <c r="AH267" s="58">
        <f>AH268*BIDU_IS!AH$82</f>
        <v>1022.7642880000001</v>
      </c>
      <c r="AI267" s="58">
        <f>AI268*BIDU_IS!AI$82</f>
        <v>1022.1545040000001</v>
      </c>
      <c r="AJ267" s="212">
        <f>AJ268*BIDU_IS!AJ$82</f>
        <v>1019.8935600000001</v>
      </c>
      <c r="AK267" s="58">
        <f>AK268*BIDU_IS!AK$82</f>
        <v>945.88396</v>
      </c>
      <c r="AL267" s="58">
        <f>AL268*BIDU_IS!AL$82</f>
        <v>1168.944</v>
      </c>
      <c r="AM267" s="58">
        <f>AM268*BIDU_IS!AM$82</f>
        <v>1315.384</v>
      </c>
      <c r="AN267" s="212">
        <f>AN268*BIDU_IS!AN$82</f>
        <v>1319.136</v>
      </c>
      <c r="AO267" s="58">
        <f t="shared" ref="AO267:AZ267" ca="1" si="1160">AO237+AO116</f>
        <v>1226.2336703100652</v>
      </c>
      <c r="AP267" s="58">
        <f t="shared" ca="1" si="1160"/>
        <v>1467.9383470884191</v>
      </c>
      <c r="AQ267" s="58">
        <f t="shared" ca="1" si="1160"/>
        <v>1603.1444514952916</v>
      </c>
      <c r="AR267" s="212">
        <f t="shared" ca="1" si="1160"/>
        <v>1599.4827908088791</v>
      </c>
      <c r="AS267" s="58">
        <f t="shared" ca="1" si="1160"/>
        <v>1553.5130146336433</v>
      </c>
      <c r="AT267" s="58">
        <f t="shared" ca="1" si="1160"/>
        <v>1791.5872450007835</v>
      </c>
      <c r="AU267" s="58">
        <f t="shared" ca="1" si="1160"/>
        <v>1961.0517134957204</v>
      </c>
      <c r="AV267" s="212">
        <f t="shared" ca="1" si="1160"/>
        <v>1895.995855081216</v>
      </c>
      <c r="AW267" s="58">
        <f t="shared" ca="1" si="1160"/>
        <v>1886.3926161745646</v>
      </c>
      <c r="AX267" s="58">
        <f t="shared" ca="1" si="1160"/>
        <v>2139.3195982052994</v>
      </c>
      <c r="AY267" s="58">
        <f t="shared" ca="1" si="1160"/>
        <v>2327.2677239658187</v>
      </c>
      <c r="AZ267" s="58">
        <f t="shared" ca="1" si="1160"/>
        <v>2312.7468266931451</v>
      </c>
    </row>
    <row r="268" spans="2:52">
      <c r="B268" s="52" t="s">
        <v>284</v>
      </c>
      <c r="F268" s="160">
        <v>5.6000000000000001E-2</v>
      </c>
      <c r="G268" s="160">
        <v>5.6000000000000001E-2</v>
      </c>
      <c r="H268" s="160">
        <v>5.6000000000000001E-2</v>
      </c>
      <c r="I268" s="160">
        <v>5.6000000000000001E-2</v>
      </c>
      <c r="J268" s="160">
        <v>5.6000000000000001E-2</v>
      </c>
      <c r="K268" s="160">
        <v>5.6000000000000001E-2</v>
      </c>
      <c r="L268" s="160">
        <v>5.6000000000000001E-2</v>
      </c>
      <c r="M268" s="160">
        <v>5.6000000000000001E-2</v>
      </c>
      <c r="N268" s="160">
        <v>5.6000000000000001E-2</v>
      </c>
      <c r="Q268" s="160">
        <v>5.6000000000000001E-2</v>
      </c>
      <c r="R268" s="160">
        <v>5.6000000000000001E-2</v>
      </c>
      <c r="S268" s="160">
        <v>5.6000000000000001E-2</v>
      </c>
      <c r="T268" s="160">
        <v>5.6000000000000001E-2</v>
      </c>
      <c r="U268" s="160">
        <v>5.6000000000000001E-2</v>
      </c>
      <c r="V268" s="160">
        <v>5.6000000000000001E-2</v>
      </c>
      <c r="W268" s="160">
        <v>5.6000000000000001E-2</v>
      </c>
      <c r="X268" s="160">
        <v>5.6000000000000001E-2</v>
      </c>
      <c r="Y268" s="160">
        <v>5.6000000000000001E-2</v>
      </c>
      <c r="Z268" s="160">
        <v>5.6000000000000001E-2</v>
      </c>
      <c r="AA268" s="160">
        <v>5.6000000000000001E-2</v>
      </c>
      <c r="AB268" s="257">
        <v>5.6000000000000001E-2</v>
      </c>
      <c r="AC268" s="160">
        <v>5.6000000000000001E-2</v>
      </c>
      <c r="AD268" s="160">
        <v>5.6000000000000001E-2</v>
      </c>
      <c r="AE268" s="160">
        <v>5.6000000000000001E-2</v>
      </c>
      <c r="AF268" s="257">
        <v>5.6000000000000001E-2</v>
      </c>
      <c r="AG268" s="160">
        <v>5.6000000000000001E-2</v>
      </c>
      <c r="AH268" s="160">
        <v>5.6000000000000001E-2</v>
      </c>
      <c r="AI268" s="160">
        <v>5.6000000000000001E-2</v>
      </c>
      <c r="AJ268" s="257">
        <v>5.6000000000000001E-2</v>
      </c>
      <c r="AK268" s="160">
        <v>5.6000000000000001E-2</v>
      </c>
      <c r="AL268" s="160">
        <v>5.6000000000000001E-2</v>
      </c>
      <c r="AM268" s="160">
        <v>5.6000000000000001E-2</v>
      </c>
      <c r="AN268" s="257">
        <v>5.6000000000000001E-2</v>
      </c>
      <c r="AO268" s="71">
        <f ca="1">AO267/BIDU_IS!AO$82</f>
        <v>5.6004857212751516E-2</v>
      </c>
      <c r="AP268" s="71">
        <f ca="1">AP267/BIDU_IS!AP$82</f>
        <v>5.6004844890959651E-2</v>
      </c>
      <c r="AQ268" s="71">
        <f ca="1">AQ267/BIDU_IS!AQ$82</f>
        <v>5.6004793291972527E-2</v>
      </c>
      <c r="AR268" s="241">
        <f ca="1">AR267/BIDU_IS!AR$82</f>
        <v>5.6004822280388326E-2</v>
      </c>
      <c r="AS268" s="71">
        <f ca="1">AS267/BIDU_IS!AS$82</f>
        <v>5.6004765308546173E-2</v>
      </c>
      <c r="AT268" s="71">
        <f ca="1">AT267/BIDU_IS!AT$82</f>
        <v>5.6004753154404716E-2</v>
      </c>
      <c r="AU268" s="71">
        <f ca="1">AU267/BIDU_IS!AU$82</f>
        <v>5.6004730694807367E-2</v>
      </c>
      <c r="AV268" s="241">
        <f ca="1">AV267/BIDU_IS!AV$82</f>
        <v>5.6004684599028187E-2</v>
      </c>
      <c r="AW268" s="71">
        <f ca="1">AW267/BIDU_IS!AW$82</f>
        <v>5.6004650403668241E-2</v>
      </c>
      <c r="AX268" s="71">
        <f ca="1">AX267/BIDU_IS!AX$82</f>
        <v>5.6004646104874517E-2</v>
      </c>
      <c r="AY268" s="71">
        <f ca="1">AY267/BIDU_IS!AY$82</f>
        <v>5.6004638449187405E-2</v>
      </c>
      <c r="AZ268" s="71">
        <f ca="1">AZ267/BIDU_IS!AZ$82</f>
        <v>5.6004612505222991E-2</v>
      </c>
    </row>
    <row r="269" spans="2:52">
      <c r="B269" s="3" t="s">
        <v>396</v>
      </c>
      <c r="F269" s="58">
        <f>F265-F267</f>
        <v>323.28254399999992</v>
      </c>
      <c r="G269" s="58">
        <f t="shared" ref="G269:K269" si="1161">G265-G267</f>
        <v>540.6982559999999</v>
      </c>
      <c r="H269" s="58">
        <f t="shared" si="1161"/>
        <v>850.83319200000005</v>
      </c>
      <c r="I269" s="58">
        <f t="shared" si="1161"/>
        <v>926.98017599999957</v>
      </c>
      <c r="J269" s="58">
        <f t="shared" si="1161"/>
        <v>767.70361599999978</v>
      </c>
      <c r="K269" s="58">
        <f t="shared" ca="1" si="1161"/>
        <v>1431.6520399999999</v>
      </c>
      <c r="L269" s="58">
        <f ca="1">SUM(OFFSET($P269,0,L$1,1,4))</f>
        <v>1762.8432619139794</v>
      </c>
      <c r="M269" s="58">
        <f ca="1">SUM(OFFSET($P269,0,M$1,1,4))</f>
        <v>2154.2749863549557</v>
      </c>
      <c r="N269" s="58">
        <f ca="1">SUM(OFFSET($P269,0,N$1,1,4))</f>
        <v>2593.4955428565099</v>
      </c>
      <c r="Q269" s="58">
        <f>Q265-Q267</f>
        <v>71.252288000000021</v>
      </c>
      <c r="R269" s="58">
        <f t="shared" ref="R269:AN269" si="1162">R265-R267</f>
        <v>86.995007999999984</v>
      </c>
      <c r="S269" s="58">
        <f t="shared" si="1162"/>
        <v>77.105680000000007</v>
      </c>
      <c r="T269" s="58">
        <f t="shared" si="1162"/>
        <v>87.929624000000047</v>
      </c>
      <c r="U269" s="58">
        <f t="shared" si="1162"/>
        <v>98.529871999999955</v>
      </c>
      <c r="V269" s="58">
        <f t="shared" si="1162"/>
        <v>121.55235999999996</v>
      </c>
      <c r="W269" s="58">
        <f t="shared" si="1162"/>
        <v>151.563152</v>
      </c>
      <c r="X269" s="58">
        <f t="shared" si="1162"/>
        <v>169.05287200000009</v>
      </c>
      <c r="Y269" s="58">
        <f t="shared" si="1162"/>
        <v>167.56308799999999</v>
      </c>
      <c r="Z269" s="58">
        <f t="shared" si="1162"/>
        <v>200.88220799999999</v>
      </c>
      <c r="AA269" s="58">
        <f t="shared" si="1162"/>
        <v>239.93366400000002</v>
      </c>
      <c r="AB269" s="212">
        <f t="shared" si="1162"/>
        <v>242.45417600000007</v>
      </c>
      <c r="AC269" s="58">
        <f t="shared" si="1162"/>
        <v>235.63050399999997</v>
      </c>
      <c r="AD269" s="58">
        <f t="shared" si="1162"/>
        <v>247.40367200000003</v>
      </c>
      <c r="AE269" s="58">
        <f t="shared" si="1162"/>
        <v>231.15346399999999</v>
      </c>
      <c r="AF269" s="212">
        <f t="shared" si="1162"/>
        <v>212.79253599999993</v>
      </c>
      <c r="AG269" s="58">
        <f t="shared" si="1162"/>
        <v>161.61196800000005</v>
      </c>
      <c r="AH269" s="58">
        <f t="shared" si="1162"/>
        <v>188.79771199999982</v>
      </c>
      <c r="AI269" s="58">
        <f t="shared" si="1162"/>
        <v>198.22249599999986</v>
      </c>
      <c r="AJ269" s="212">
        <f t="shared" si="1162"/>
        <v>219.07143999999982</v>
      </c>
      <c r="AK269" s="58">
        <f t="shared" si="1162"/>
        <v>312.62404000000004</v>
      </c>
      <c r="AL269" s="58">
        <f t="shared" si="1162"/>
        <v>340.05600000000004</v>
      </c>
      <c r="AM269" s="58">
        <f t="shared" si="1162"/>
        <v>384.61599999999999</v>
      </c>
      <c r="AN269" s="212">
        <f t="shared" si="1162"/>
        <v>393.86400000000003</v>
      </c>
      <c r="AO269" s="58">
        <f t="shared" ref="AO269:AZ269" ca="1" si="1163">AO239+AO118</f>
        <v>366.5177111664936</v>
      </c>
      <c r="AP269" s="58">
        <f t="shared" ca="1" si="1163"/>
        <v>438.79401047239014</v>
      </c>
      <c r="AQ269" s="58">
        <f t="shared" ca="1" si="1163"/>
        <v>479.35353653565375</v>
      </c>
      <c r="AR269" s="212">
        <f t="shared" ca="1" si="1163"/>
        <v>478.17800373944198</v>
      </c>
      <c r="AS269" s="58">
        <f t="shared" ca="1" si="1163"/>
        <v>464.58895503241882</v>
      </c>
      <c r="AT269" s="58">
        <f t="shared" ca="1" si="1163"/>
        <v>535.82460553612964</v>
      </c>
      <c r="AU269" s="58">
        <f t="shared" ca="1" si="1163"/>
        <v>586.58435209637923</v>
      </c>
      <c r="AV269" s="212">
        <f t="shared" ca="1" si="1163"/>
        <v>567.27707369002792</v>
      </c>
      <c r="AW269" s="58">
        <f t="shared" ca="1" si="1163"/>
        <v>564.51603359638602</v>
      </c>
      <c r="AX269" s="58">
        <f t="shared" ca="1" si="1163"/>
        <v>640.22218142971292</v>
      </c>
      <c r="AY269" s="58">
        <f t="shared" ca="1" si="1163"/>
        <v>696.49936014322668</v>
      </c>
      <c r="AZ269" s="58">
        <f t="shared" ca="1" si="1163"/>
        <v>692.25796768718396</v>
      </c>
    </row>
    <row r="270" spans="2:52">
      <c r="B270" s="52" t="s">
        <v>284</v>
      </c>
      <c r="F270" s="71">
        <f>F269/BIDU_IS!F$82</f>
        <v>1.449305869185304E-2</v>
      </c>
      <c r="G270" s="71">
        <f>G269/BIDU_IS!G$82</f>
        <v>1.6926482043971802E-2</v>
      </c>
      <c r="H270" s="71">
        <f>H269/BIDU_IS!H$82</f>
        <v>1.7345422738228193E-2</v>
      </c>
      <c r="I270" s="71">
        <f>I269/BIDU_IS!I$82</f>
        <v>1.3964387339172794E-2</v>
      </c>
      <c r="J270" s="71">
        <f>J269/BIDU_IS!J$82</f>
        <v>1.0881793576480715E-2</v>
      </c>
      <c r="K270" s="71">
        <f ca="1">K269/BIDU_IS!K$82</f>
        <v>1.6880810961657746E-2</v>
      </c>
      <c r="L270" s="71">
        <f ca="1">L269/BIDU_IS!L$82</f>
        <v>1.6742596801852253E-2</v>
      </c>
      <c r="M270" s="71">
        <f ca="1">M269/BIDU_IS!M$82</f>
        <v>1.6751890590059094E-2</v>
      </c>
      <c r="N270" s="71">
        <f ca="1">N269/BIDU_IS!N$82</f>
        <v>1.6761176278539618E-2</v>
      </c>
      <c r="Q270" s="71">
        <f>Q269/BIDU_IS!Q$82</f>
        <v>1.6711268803091761E-2</v>
      </c>
      <c r="R270" s="71">
        <f>R269/BIDU_IS!R$82</f>
        <v>1.5944154867315024E-2</v>
      </c>
      <c r="S270" s="71">
        <f>S269/BIDU_IS!S$82</f>
        <v>1.2335487751810991E-2</v>
      </c>
      <c r="T270" s="71">
        <f>T269/BIDU_IS!T$82</f>
        <v>1.3879214173937785E-2</v>
      </c>
      <c r="U270" s="71">
        <f>U269/BIDU_IS!U$82</f>
        <v>1.6508208877953019E-2</v>
      </c>
      <c r="V270" s="71">
        <f>V269/BIDU_IS!V$82</f>
        <v>1.6076621369521669E-2</v>
      </c>
      <c r="W270" s="71">
        <f>W269/BIDU_IS!W$82</f>
        <v>1.7045544486753765E-2</v>
      </c>
      <c r="X270" s="71">
        <f>X269/BIDU_IS!X$82</f>
        <v>1.7752222665480627E-2</v>
      </c>
      <c r="Y270" s="71">
        <f>Y269/BIDU_IS!Y$82</f>
        <v>1.7644623859270184E-2</v>
      </c>
      <c r="Z270" s="71">
        <f>Z269/BIDU_IS!Z$82</f>
        <v>1.6760041856259355E-2</v>
      </c>
      <c r="AA270" s="71">
        <f>AA269/BIDU_IS!AA$82</f>
        <v>1.7746893065229877E-2</v>
      </c>
      <c r="AB270" s="241">
        <f>AB269/BIDU_IS!AB$82</f>
        <v>1.725624372385675E-2</v>
      </c>
      <c r="AC270" s="71">
        <f>AC269/BIDU_IS!AC$82</f>
        <v>1.8517690749960548E-2</v>
      </c>
      <c r="AD270" s="71">
        <f>AD269/BIDU_IS!AD$82</f>
        <v>1.49261007292927E-2</v>
      </c>
      <c r="AE270" s="71">
        <f>AE269/BIDU_IS!AE$82</f>
        <v>1.2574250420808133E-2</v>
      </c>
      <c r="AF270" s="241">
        <f>AF269/BIDU_IS!AF$82</f>
        <v>1.1380013919614277E-2</v>
      </c>
      <c r="AG270" s="71">
        <f>AG269/BIDU_IS!AG$82</f>
        <v>1.0215304983915881E-2</v>
      </c>
      <c r="AH270" s="71">
        <f>AH269/BIDU_IS!AH$82</f>
        <v>1.0337349471474692E-2</v>
      </c>
      <c r="AI270" s="71">
        <f>AI269/BIDU_IS!AI$82</f>
        <v>1.0859864856595096E-2</v>
      </c>
      <c r="AJ270" s="241">
        <f>AJ269/BIDU_IS!AJ$82</f>
        <v>1.2028706838780302E-2</v>
      </c>
      <c r="AK270" s="71">
        <f>AK269/BIDU_IS!AK$82</f>
        <v>1.850855599665735E-2</v>
      </c>
      <c r="AL270" s="71">
        <f>AL269/BIDU_IS!AL$82</f>
        <v>1.629088818626042E-2</v>
      </c>
      <c r="AM270" s="71">
        <f>AM269/BIDU_IS!AM$82</f>
        <v>1.6374302865170932E-2</v>
      </c>
      <c r="AN270" s="241">
        <f>AN269/BIDU_IS!AN$82</f>
        <v>1.6720326031584312E-2</v>
      </c>
      <c r="AO270" s="71">
        <f ca="1">AO269/BIDU_IS!AO$82</f>
        <v>1.6739690465874729E-2</v>
      </c>
      <c r="AP270" s="71">
        <f ca="1">AP269/BIDU_IS!AP$82</f>
        <v>1.6740887343348432E-2</v>
      </c>
      <c r="AQ270" s="71">
        <f ca="1">AQ269/BIDU_IS!AQ$82</f>
        <v>1.6745899411881E-2</v>
      </c>
      <c r="AR270" s="241">
        <f ca="1">AR269/BIDU_IS!AR$82</f>
        <v>1.6743083621596943E-2</v>
      </c>
      <c r="AS270" s="71">
        <f ca="1">AS269/BIDU_IS!AS$82</f>
        <v>1.6748617582498525E-2</v>
      </c>
      <c r="AT270" s="71">
        <f ca="1">AT269/BIDU_IS!AT$82</f>
        <v>1.6749798175245491E-2</v>
      </c>
      <c r="AU270" s="71">
        <f ca="1">AU269/BIDU_IS!AU$82</f>
        <v>1.6751979788633693E-2</v>
      </c>
      <c r="AV270" s="241">
        <f ca="1">AV269/BIDU_IS!AV$82</f>
        <v>1.6756457302966411E-2</v>
      </c>
      <c r="AW270" s="71">
        <f ca="1">AW269/BIDU_IS!AW$82</f>
        <v>1.6759778869864579E-2</v>
      </c>
      <c r="AX270" s="71">
        <f ca="1">AX269/BIDU_IS!AX$82</f>
        <v>1.6760196433268489E-2</v>
      </c>
      <c r="AY270" s="71">
        <f ca="1">AY269/BIDU_IS!AY$82</f>
        <v>1.6760940068571453E-2</v>
      </c>
      <c r="AZ270" s="71">
        <f ca="1">AZ269/BIDU_IS!AZ$82</f>
        <v>1.6763460136018541E-2</v>
      </c>
    </row>
    <row r="271" spans="2:52">
      <c r="B271" s="1" t="str">
        <f>BIDU_IS!B101</f>
        <v>Traffic Acquisition Costs</v>
      </c>
      <c r="F271" s="58">
        <f>BIDU_IS!F101</f>
        <v>1929.9659999999999</v>
      </c>
      <c r="G271" s="58">
        <f>BIDU_IS!G101</f>
        <v>3704.1460000000002</v>
      </c>
      <c r="H271" s="58">
        <f>BIDU_IS!H101</f>
        <v>6328.1549999999997</v>
      </c>
      <c r="I271" s="58">
        <f>BIDU_IS!I101</f>
        <v>8860.8610000000008</v>
      </c>
      <c r="J271" s="58">
        <f>BIDU_IS!J101</f>
        <v>10372.516</v>
      </c>
      <c r="K271" s="58">
        <f ca="1">SUM(OFFSET($P271,0,K$1,1,4))</f>
        <v>9657.3040000000001</v>
      </c>
      <c r="L271" s="58">
        <f ca="1">SUM(OFFSET($P271,0,L$1,1,4))</f>
        <v>8983.1708530913238</v>
      </c>
      <c r="M271" s="58">
        <f ca="1">SUM(OFFSET($P271,0,M$1,1,4))</f>
        <v>9184.1790108115056</v>
      </c>
      <c r="N271" s="58">
        <f ca="1">SUM(OFFSET($P271,0,N$1,1,4))</f>
        <v>10714.953058659157</v>
      </c>
      <c r="Q271" s="58">
        <f>BIDU_IS!Q101</f>
        <v>331.27699999999999</v>
      </c>
      <c r="R271" s="58">
        <f>BIDU_IS!R101</f>
        <v>453.68700000000001</v>
      </c>
      <c r="S271" s="58">
        <f>BIDU_IS!S101</f>
        <v>538.19200000000001</v>
      </c>
      <c r="T271" s="58">
        <f>BIDU_IS!T101</f>
        <v>606.80899999999997</v>
      </c>
      <c r="U271" s="58">
        <f>BIDU_IS!U101</f>
        <v>609.60599999999999</v>
      </c>
      <c r="V271" s="58">
        <f>BIDU_IS!V101</f>
        <v>879.971</v>
      </c>
      <c r="W271" s="58">
        <f>BIDU_IS!W101</f>
        <v>1038.6410000000001</v>
      </c>
      <c r="X271" s="58">
        <f>BIDU_IS!X101</f>
        <v>1175.9290000000001</v>
      </c>
      <c r="Y271" s="58">
        <f>BIDU_IS!Y101</f>
        <v>1181.8030000000001</v>
      </c>
      <c r="Z271" s="58">
        <f>BIDU_IS!Z101</f>
        <v>1517.1279999999999</v>
      </c>
      <c r="AA271" s="58">
        <f>BIDU_IS!AA101</f>
        <v>1741.922</v>
      </c>
      <c r="AB271" s="212">
        <f>BIDU_IS!AB101</f>
        <v>1887.3009999999999</v>
      </c>
      <c r="AC271" s="58">
        <f>BIDU_IS!AC101</f>
        <v>1721.6289999999999</v>
      </c>
      <c r="AD271" s="58">
        <f>BIDU_IS!AD101</f>
        <v>2111.7339999999999</v>
      </c>
      <c r="AE271" s="58">
        <f>BIDU_IS!AE101</f>
        <v>2411.1799999999998</v>
      </c>
      <c r="AF271" s="212">
        <f>BIDU_IS!AF101</f>
        <v>2616.319</v>
      </c>
      <c r="AG271" s="58">
        <f>BIDU_IS!AG101</f>
        <v>2233.2080000000001</v>
      </c>
      <c r="AH271" s="58">
        <f>BIDU_IS!AH101</f>
        <v>2908.4009999999998</v>
      </c>
      <c r="AI271" s="58">
        <f>BIDU_IS!AI101</f>
        <v>2594.4520000000002</v>
      </c>
      <c r="AJ271" s="212">
        <f>BIDU_IS!AJ101</f>
        <v>2636.4549999999999</v>
      </c>
      <c r="AK271" s="58">
        <f>BIDU_IS!AK101</f>
        <v>2185.3040000000001</v>
      </c>
      <c r="AL271" s="58">
        <f>BIDU_IS!AL101</f>
        <v>2478</v>
      </c>
      <c r="AM271" s="58">
        <f>BIDU_IS!AM101</f>
        <v>2476</v>
      </c>
      <c r="AN271" s="212">
        <f>BIDU_IS!AN101</f>
        <v>2518</v>
      </c>
      <c r="AO271" s="58">
        <f ca="1">AO120</f>
        <v>2038.9809400746431</v>
      </c>
      <c r="AP271" s="58">
        <f t="shared" ref="AP271:AZ271" ca="1" si="1164">AP120</f>
        <v>2332.4987705286335</v>
      </c>
      <c r="AQ271" s="58">
        <f t="shared" ca="1" si="1164"/>
        <v>2301.5309796542774</v>
      </c>
      <c r="AR271" s="212">
        <f t="shared" ca="1" si="1164"/>
        <v>2310.1601628337708</v>
      </c>
      <c r="AS271" s="58">
        <f t="shared" ca="1" si="1164"/>
        <v>2217.2589858733236</v>
      </c>
      <c r="AT271" s="58">
        <f t="shared" ca="1" si="1164"/>
        <v>2305.7945250905696</v>
      </c>
      <c r="AU271" s="58">
        <f t="shared" ca="1" si="1164"/>
        <v>2381.2766875309912</v>
      </c>
      <c r="AV271" s="212">
        <f t="shared" ca="1" si="1164"/>
        <v>2279.8488123166217</v>
      </c>
      <c r="AW271" s="58">
        <f t="shared" ca="1" si="1164"/>
        <v>2600.259002297917</v>
      </c>
      <c r="AX271" s="58">
        <f t="shared" ca="1" si="1164"/>
        <v>2666.1205884657525</v>
      </c>
      <c r="AY271" s="58">
        <f t="shared" ca="1" si="1164"/>
        <v>2740.4517626624051</v>
      </c>
      <c r="AZ271" s="58">
        <f t="shared" ca="1" si="1164"/>
        <v>2708.1217052330821</v>
      </c>
    </row>
    <row r="272" spans="2:52">
      <c r="B272" s="3" t="s">
        <v>286</v>
      </c>
      <c r="F272" s="71"/>
      <c r="G272" s="71">
        <f>G271/SUM(BIDU_IS!G85:G86)</f>
        <v>0.11983857500209563</v>
      </c>
      <c r="H272" s="71">
        <f>H271/SUM(BIDU_IS!H85:H86)</f>
        <v>0.13308446503006366</v>
      </c>
      <c r="I272" s="71">
        <f>I271/SUM(BIDU_IS!I85:I86)</f>
        <v>0.1413814842301806</v>
      </c>
      <c r="J272" s="71">
        <f>J271/SUM(BIDU_IS!J85:J86)</f>
        <v>0.1721021922243047</v>
      </c>
      <c r="K272" s="71">
        <f ca="1">K271/SUM(BIDU_IS!K85:K86)</f>
        <v>0.14142672562068512</v>
      </c>
      <c r="L272" s="71">
        <f ca="1">L271/SUM(BIDU_IS!L85:L86)</f>
        <v>0.11061763784312503</v>
      </c>
      <c r="M272" s="71">
        <f ca="1">M271/SUM(BIDU_IS!M85:M86)</f>
        <v>9.44743820915602E-2</v>
      </c>
      <c r="N272" s="71">
        <f ca="1">N271/SUM(BIDU_IS!N85:N86)</f>
        <v>9.3522445449765193E-2</v>
      </c>
      <c r="Q272" s="71">
        <f>Q271/SUM(BIDU_IS!Q85:Q86)</f>
        <v>7.7696578603648869E-2</v>
      </c>
      <c r="R272" s="71">
        <f>R271/SUM(BIDU_IS!R85:R86)</f>
        <v>8.3150239945808765E-2</v>
      </c>
      <c r="S272" s="71">
        <f>S271/SUM(BIDU_IS!S85:S86)</f>
        <v>8.6100801187703177E-2</v>
      </c>
      <c r="T272" s="71">
        <f>T271/SUM(BIDU_IS!T85:T86)</f>
        <v>9.5781509013083105E-2</v>
      </c>
      <c r="U272" s="71">
        <f ca="1">U271/SUM(BIDU_IS!U85:U86)</f>
        <v>0.10380900457837082</v>
      </c>
      <c r="V272" s="71">
        <f ca="1">V271/SUM(BIDU_IS!V85:V86)</f>
        <v>0.11905894914789233</v>
      </c>
      <c r="W272" s="71">
        <f ca="1">W271/SUM(BIDU_IS!W85:W86)</f>
        <v>0.12051584425429474</v>
      </c>
      <c r="X272" s="71">
        <f ca="1">X271/SUM(BIDU_IS!X85:X86)</f>
        <v>0.13025736666269919</v>
      </c>
      <c r="Y272" s="71">
        <f ca="1">Y271/SUM(BIDU_IS!Y85:Y86)</f>
        <v>0.12763966013119293</v>
      </c>
      <c r="Z272" s="71">
        <f ca="1">Z271/SUM(BIDU_IS!Z85:Z86)</f>
        <v>0.13093188335091085</v>
      </c>
      <c r="AA272" s="71">
        <f ca="1">AA271/SUM(BIDU_IS!AA85:AA86)</f>
        <v>0.13510198645705365</v>
      </c>
      <c r="AB272" s="241">
        <f ca="1">AB271/SUM(BIDU_IS!AB85:AB86)</f>
        <v>0.14621123641428271</v>
      </c>
      <c r="AC272" s="71">
        <f ca="1">AC271/SUM(BIDU_IS!AC85:AC86)</f>
        <v>0.14287356836052684</v>
      </c>
      <c r="AD272" s="71">
        <f ca="1">AD271/SUM(BIDU_IS!AD85:AD86)</f>
        <v>0.13448560263256906</v>
      </c>
      <c r="AE272" s="71">
        <f ca="1">AE271/SUM(BIDU_IS!AE85:AE86)</f>
        <v>0.14039739264238141</v>
      </c>
      <c r="AF272" s="241">
        <f ca="1">AF271/SUM(BIDU_IS!AF85:AF86)</f>
        <v>0.1561361415514331</v>
      </c>
      <c r="AG272" s="71">
        <f>AG271/SUM(BIDU_IS!AG85:AG86)</f>
        <v>0.15786002180993938</v>
      </c>
      <c r="AH272" s="71">
        <f ca="1">AH271/SUM(BIDU_IS!AH85:AH86)</f>
        <v>0.18640406506176715</v>
      </c>
      <c r="AI272" s="71">
        <f ca="1">AI271/SUM(BIDU_IS!AI85:AI86)</f>
        <v>0.17037795246408541</v>
      </c>
      <c r="AJ272" s="241">
        <f ca="1">AJ271/SUM(BIDU_IS!AJ85:AJ86)</f>
        <v>0.17240229231052812</v>
      </c>
      <c r="AK272" s="71">
        <f>AK271/SUM(BIDU_IS!AK85:AK86)</f>
        <v>0.15855584354449334</v>
      </c>
      <c r="AL272" s="71">
        <f>AL271/SUM(BIDU_IS!AL85:AL86)</f>
        <v>0.1478630482499497</v>
      </c>
      <c r="AM272" s="71">
        <f>AM271/SUM(BIDU_IS!AM85:AM86)</f>
        <v>0.13189926690482498</v>
      </c>
      <c r="AN272" s="241">
        <f>AN271/SUM(BIDU_IS!AN85:AN86)</f>
        <v>0.13272431408330013</v>
      </c>
      <c r="AO272" s="71">
        <f ca="1">AO271/SUM(BIDU_IS!AO85:AO86)</f>
        <v>0.11999377435822375</v>
      </c>
      <c r="AP272" s="71">
        <f ca="1">AP271/SUM(BIDU_IS!AP85:AP86)</f>
        <v>0.1149569986444218</v>
      </c>
      <c r="AQ272" s="71">
        <f ca="1">AQ271/SUM(BIDU_IS!AQ85:AQ86)</f>
        <v>0.10498542051764022</v>
      </c>
      <c r="AR272" s="241">
        <f ca="1">AR271/SUM(BIDU_IS!AR85:AR86)</f>
        <v>0.10498700908432233</v>
      </c>
      <c r="AS272" s="71">
        <f ca="1">AS271/SUM(BIDU_IS!AS85:AS86)</f>
        <v>0.1049888907339777</v>
      </c>
      <c r="AT272" s="71">
        <f ca="1">AT271/SUM(BIDU_IS!AT85:AT86)</f>
        <v>9.4915659421791032E-2</v>
      </c>
      <c r="AU272" s="71">
        <f ca="1">AU271/SUM(BIDU_IS!AU85:AU86)</f>
        <v>8.9978258318691162E-2</v>
      </c>
      <c r="AV272" s="241">
        <f ca="1">AV271/SUM(BIDU_IS!AV85:AV86)</f>
        <v>8.9983371857676436E-2</v>
      </c>
      <c r="AW272" s="71">
        <f ca="1">AW271/SUM(BIDU_IS!AW85:AW86)</f>
        <v>0.10392401927366106</v>
      </c>
      <c r="AX272" s="71">
        <f ca="1">AX271/SUM(BIDU_IS!AX85:AX86)</f>
        <v>9.4049819099174259E-2</v>
      </c>
      <c r="AY272" s="71">
        <f ca="1">AY271/SUM(BIDU_IS!AY85:AY86)</f>
        <v>8.9015724161203652E-2</v>
      </c>
      <c r="AZ272" s="71">
        <f ca="1">AZ271/SUM(BIDU_IS!AZ85:AZ86)</f>
        <v>8.9035972478861386E-2</v>
      </c>
    </row>
    <row r="273" spans="2:52">
      <c r="B273" s="1" t="str">
        <f>BIDU_IS!B102</f>
        <v xml:space="preserve">Bandwidth Costs </v>
      </c>
      <c r="F273" s="58">
        <f>BIDU_IS!F102</f>
        <v>1069.306</v>
      </c>
      <c r="G273" s="58">
        <f>BIDU_IS!G102</f>
        <v>1938.52</v>
      </c>
      <c r="H273" s="58">
        <f>BIDU_IS!H102</f>
        <v>2847.77</v>
      </c>
      <c r="I273" s="58">
        <f>BIDU_IS!I102</f>
        <v>3716.7469999999998</v>
      </c>
      <c r="J273" s="58">
        <f>BIDU_IS!J102</f>
        <v>4716.4160000000002</v>
      </c>
      <c r="K273" s="58">
        <f ca="1">SUM(OFFSET($P273,0,K$1,1,4))</f>
        <v>5557.5150000000003</v>
      </c>
      <c r="L273" s="58">
        <f ca="1">SUM(OFFSET($P273,0,L$1,1,4))</f>
        <v>6130.5861089428563</v>
      </c>
      <c r="M273" s="58">
        <f ca="1">SUM(OFFSET($P273,0,M$1,1,4))</f>
        <v>6585.4518692416232</v>
      </c>
      <c r="N273" s="58">
        <f ca="1">SUM(OFFSET($P273,0,N$1,1,4))</f>
        <v>6966.4222551025478</v>
      </c>
      <c r="Q273" s="58">
        <f>BIDU_IS!Q102</f>
        <v>222.648</v>
      </c>
      <c r="R273" s="58">
        <f>BIDU_IS!R102</f>
        <v>242.59200000000001</v>
      </c>
      <c r="S273" s="58">
        <f>BIDU_IS!S102</f>
        <v>266.87099999999998</v>
      </c>
      <c r="T273" s="58">
        <f>BIDU_IS!T102</f>
        <v>337.19400000000002</v>
      </c>
      <c r="U273" s="58">
        <f>BIDU_IS!U102</f>
        <v>404.88</v>
      </c>
      <c r="V273" s="58">
        <f>BIDU_IS!V102</f>
        <v>457.28699999999998</v>
      </c>
      <c r="W273" s="58">
        <f>BIDU_IS!W102</f>
        <v>512.64400000000001</v>
      </c>
      <c r="X273" s="58">
        <f>BIDU_IS!X102</f>
        <v>563.70899999999995</v>
      </c>
      <c r="Y273" s="58">
        <f>BIDU_IS!Y102</f>
        <v>646.08699999999999</v>
      </c>
      <c r="Z273" s="58">
        <f>BIDU_IS!Z102</f>
        <v>700.47299999999996</v>
      </c>
      <c r="AA273" s="58">
        <f>BIDU_IS!AA102</f>
        <v>752.60699999999997</v>
      </c>
      <c r="AB273" s="212">
        <f>BIDU_IS!AB102</f>
        <v>748.60400000000004</v>
      </c>
      <c r="AC273" s="58">
        <f>BIDU_IS!AC102</f>
        <v>849.62800000000004</v>
      </c>
      <c r="AD273" s="58">
        <f>BIDU_IS!AD102</f>
        <v>896.15599999999995</v>
      </c>
      <c r="AE273" s="58">
        <f>BIDU_IS!AE102</f>
        <v>970.005</v>
      </c>
      <c r="AF273" s="212">
        <f>BIDU_IS!AF102</f>
        <v>1000.957</v>
      </c>
      <c r="AG273" s="58">
        <f>BIDU_IS!AG102</f>
        <v>1088.038</v>
      </c>
      <c r="AH273" s="58">
        <f>BIDU_IS!AH102</f>
        <v>1151.992</v>
      </c>
      <c r="AI273" s="58">
        <f>BIDU_IS!AI102</f>
        <v>1240.9860000000001</v>
      </c>
      <c r="AJ273" s="212">
        <f>BIDU_IS!AJ102</f>
        <v>1235.4000000000001</v>
      </c>
      <c r="AK273" s="58">
        <f>BIDU_IS!AK102</f>
        <v>1335.5150000000001</v>
      </c>
      <c r="AL273" s="58">
        <f>BIDU_IS!AL102</f>
        <v>1382</v>
      </c>
      <c r="AM273" s="58">
        <f>BIDU_IS!AM102</f>
        <v>1440</v>
      </c>
      <c r="AN273" s="212">
        <f>BIDU_IS!AN102</f>
        <v>1400</v>
      </c>
      <c r="AO273" s="58">
        <f>AO122+AO241</f>
        <v>1494.3098645664095</v>
      </c>
      <c r="AP273" s="58">
        <f t="shared" ref="AP273:AZ273" si="1165">AP122+AP241</f>
        <v>1524.338127720453</v>
      </c>
      <c r="AQ273" s="58">
        <f t="shared" si="1165"/>
        <v>1576.0848149869482</v>
      </c>
      <c r="AR273" s="212">
        <f t="shared" si="1165"/>
        <v>1535.8533016690449</v>
      </c>
      <c r="AS273" s="58">
        <f t="shared" si="1165"/>
        <v>1608.5732393415512</v>
      </c>
      <c r="AT273" s="58">
        <f t="shared" si="1165"/>
        <v>1641.8859690419722</v>
      </c>
      <c r="AU273" s="58">
        <f t="shared" si="1165"/>
        <v>1685.2009035036886</v>
      </c>
      <c r="AV273" s="212">
        <f t="shared" si="1165"/>
        <v>1649.7917573544119</v>
      </c>
      <c r="AW273" s="58">
        <f t="shared" si="1165"/>
        <v>1701.3215582056246</v>
      </c>
      <c r="AX273" s="58">
        <f t="shared" si="1165"/>
        <v>1737.9926299005579</v>
      </c>
      <c r="AY273" s="58">
        <f t="shared" si="1165"/>
        <v>1775.9609239779961</v>
      </c>
      <c r="AZ273" s="58">
        <f t="shared" si="1165"/>
        <v>1751.1471430183692</v>
      </c>
    </row>
    <row r="274" spans="2:52">
      <c r="B274" s="3" t="s">
        <v>284</v>
      </c>
      <c r="F274" s="71">
        <f>F273/BIDU_IS!F$89</f>
        <v>4.793798769892943E-2</v>
      </c>
      <c r="G274" s="71">
        <f>G273/BIDU_IS!G$89</f>
        <v>6.0685093039915823E-2</v>
      </c>
      <c r="H274" s="71">
        <f>H273/BIDU_IS!H$89</f>
        <v>5.805576812904132E-2</v>
      </c>
      <c r="I274" s="71">
        <f>I273/BIDU_IS!I$89</f>
        <v>5.5990512088047596E-2</v>
      </c>
      <c r="J274" s="71">
        <f>J273/BIDU_IS!J$89</f>
        <v>6.6852707559489841E-2</v>
      </c>
      <c r="K274" s="71">
        <f ca="1">K273/BIDU_IS!K$89</f>
        <v>6.5529442567327567E-2</v>
      </c>
      <c r="L274" s="71">
        <f ca="1">L273/BIDU_IS!L$89</f>
        <v>5.8225216954129348E-2</v>
      </c>
      <c r="M274" s="71">
        <f ca="1">M273/BIDU_IS!M$89</f>
        <v>5.1209232757372235E-2</v>
      </c>
      <c r="N274" s="71">
        <f ca="1">N273/BIDU_IS!N$89</f>
        <v>4.5022414544005088E-2</v>
      </c>
      <c r="Q274" s="71">
        <f>Q273/BIDU_IS!Q$89</f>
        <v>5.2219103146144211E-2</v>
      </c>
      <c r="R274" s="71">
        <f>R273/BIDU_IS!R$89</f>
        <v>4.4461452518881166E-2</v>
      </c>
      <c r="S274" s="71">
        <f>S273/BIDU_IS!S$89</f>
        <v>4.2694441600327634E-2</v>
      </c>
      <c r="T274" s="71">
        <f>T273/BIDU_IS!T$89</f>
        <v>5.3224243790315484E-2</v>
      </c>
      <c r="U274" s="71">
        <f>U273/BIDU_IS!U$89</f>
        <v>6.783570784001039E-2</v>
      </c>
      <c r="V274" s="71">
        <f>V273/BIDU_IS!V$89</f>
        <v>6.0481178285674231E-2</v>
      </c>
      <c r="W274" s="71">
        <f>W273/BIDU_IS!W$89</f>
        <v>5.765448918525657E-2</v>
      </c>
      <c r="X274" s="71">
        <f>X273/BIDU_IS!X$89</f>
        <v>5.9195017322955699E-2</v>
      </c>
      <c r="Y274" s="71">
        <f>Y273/BIDU_IS!Y$89</f>
        <v>6.8033850601776302E-2</v>
      </c>
      <c r="Z274" s="71">
        <f>Z273/BIDU_IS!Z$89</f>
        <v>5.8441994022584418E-2</v>
      </c>
      <c r="AA274" s="71">
        <f>AA273/BIDU_IS!AA$89</f>
        <v>5.566720286963759E-2</v>
      </c>
      <c r="AB274" s="241">
        <f>AB273/BIDU_IS!AB$89</f>
        <v>5.3280555071379979E-2</v>
      </c>
      <c r="AC274" s="71">
        <f>AC273/BIDU_IS!AC$89</f>
        <v>6.6770423563272951E-2</v>
      </c>
      <c r="AD274" s="71">
        <f>AD273/BIDU_IS!AD$89</f>
        <v>5.406595066689239E-2</v>
      </c>
      <c r="AE274" s="71">
        <f>AE273/BIDU_IS!AE$89</f>
        <v>5.2766182121484428E-2</v>
      </c>
      <c r="AF274" s="241">
        <f>AF273/BIDU_IS!AF$89</f>
        <v>5.353056459149183E-2</v>
      </c>
      <c r="AG274" s="71">
        <f>AG273/BIDU_IS!AG$89</f>
        <v>6.8773619563186464E-2</v>
      </c>
      <c r="AH274" s="71">
        <f>AH273/BIDU_IS!AH$89</f>
        <v>6.3075679075724631E-2</v>
      </c>
      <c r="AI274" s="71">
        <f>AI273/BIDU_IS!AI$89</f>
        <v>6.7988954436970325E-2</v>
      </c>
      <c r="AJ274" s="241">
        <f>AJ273/BIDU_IS!AJ$89</f>
        <v>6.7832960921922092E-2</v>
      </c>
      <c r="AK274" s="71">
        <f>AK273/BIDU_IS!AK$89</f>
        <v>7.9067669146223818E-2</v>
      </c>
      <c r="AL274" s="71">
        <f>AL273/BIDU_IS!AL$89</f>
        <v>6.6206764395899204E-2</v>
      </c>
      <c r="AM274" s="71">
        <f>AM273/BIDU_IS!AM$89</f>
        <v>6.1305291838733025E-2</v>
      </c>
      <c r="AN274" s="241">
        <f>AN273/BIDU_IS!AN$89</f>
        <v>5.943284088979453E-2</v>
      </c>
      <c r="AO274" s="71">
        <f ca="1">AO273/BIDU_IS!AO$89</f>
        <v>6.8248501589004917E-2</v>
      </c>
      <c r="AP274" s="71">
        <f ca="1">AP273/BIDU_IS!AP$89</f>
        <v>5.8156611668117732E-2</v>
      </c>
      <c r="AQ274" s="71">
        <f ca="1">AQ273/BIDU_IS!AQ$89</f>
        <v>5.5059482750684639E-2</v>
      </c>
      <c r="AR274" s="241">
        <f ca="1">AR273/BIDU_IS!AR$89</f>
        <v>5.3776878190245174E-2</v>
      </c>
      <c r="AS274" s="71">
        <f ca="1">AS273/BIDU_IS!AS$89</f>
        <v>5.7989708423637744E-2</v>
      </c>
      <c r="AT274" s="71">
        <f ca="1">AT273/BIDU_IS!AT$89</f>
        <v>5.1325113337606969E-2</v>
      </c>
      <c r="AU274" s="71">
        <f ca="1">AU273/BIDU_IS!AU$89</f>
        <v>4.8126840367270149E-2</v>
      </c>
      <c r="AV274" s="241">
        <f ca="1">AV273/BIDU_IS!AV$89</f>
        <v>4.8732209396498097E-2</v>
      </c>
      <c r="AW274" s="71">
        <f ca="1">AW273/BIDU_IS!AW$89</f>
        <v>5.0510120891351512E-2</v>
      </c>
      <c r="AX274" s="71">
        <f ca="1">AX273/BIDU_IS!AX$89</f>
        <v>4.5498420269751629E-2</v>
      </c>
      <c r="AY274" s="71">
        <f ca="1">AY273/BIDU_IS!AY$89</f>
        <v>4.2737691251861019E-2</v>
      </c>
      <c r="AZ274" s="71">
        <f ca="1">AZ273/BIDU_IS!AZ$89</f>
        <v>4.2405124526578498E-2</v>
      </c>
    </row>
    <row r="275" spans="2:52">
      <c r="B275" s="1" t="str">
        <f>BIDU_IS!B103</f>
        <v>Depreciation of servers and other equipment</v>
      </c>
      <c r="F275" s="58">
        <f>BIDU_IS!F103</f>
        <v>1062.06</v>
      </c>
      <c r="G275" s="58">
        <f>BIDU_IS!G103</f>
        <v>1533.15</v>
      </c>
      <c r="H275" s="58">
        <f>BIDU_IS!H103</f>
        <v>1987.69</v>
      </c>
      <c r="I275" s="58">
        <f>BIDU_IS!I103</f>
        <v>2559.623</v>
      </c>
      <c r="J275" s="58">
        <f>BIDU_IS!J103</f>
        <v>3074.893</v>
      </c>
      <c r="K275" s="58">
        <f ca="1">SUM(OFFSET($P275,0,K$1,1,4))</f>
        <v>3388.01</v>
      </c>
      <c r="L275" s="58">
        <f ca="1">SUM(OFFSET($P275,0,L$1,1,4))</f>
        <v>3819.0107201926417</v>
      </c>
      <c r="M275" s="58">
        <f ca="1">SUM(OFFSET($P275,0,M$1,1,4))</f>
        <v>4410.0050997604467</v>
      </c>
      <c r="N275" s="58">
        <f ca="1">SUM(OFFSET($P275,0,N$1,1,4))</f>
        <v>5179.8625297606613</v>
      </c>
      <c r="Q275" s="58">
        <f>BIDU_IS!Q103</f>
        <v>228.43600000000001</v>
      </c>
      <c r="R275" s="58">
        <f>BIDU_IS!R103</f>
        <v>245.92500000000001</v>
      </c>
      <c r="S275" s="58">
        <f>BIDU_IS!S103</f>
        <v>279.87299999999999</v>
      </c>
      <c r="T275" s="58">
        <f>BIDU_IS!T103</f>
        <v>317.488</v>
      </c>
      <c r="U275" s="58">
        <f>BIDU_IS!U103</f>
        <v>333.101</v>
      </c>
      <c r="V275" s="58">
        <f>BIDU_IS!V103</f>
        <v>356.97899999999998</v>
      </c>
      <c r="W275" s="58">
        <f>BIDU_IS!W103</f>
        <v>369.40300000000002</v>
      </c>
      <c r="X275" s="58">
        <f>BIDU_IS!X103</f>
        <v>410.16399999999999</v>
      </c>
      <c r="Y275" s="58">
        <f>BIDU_IS!Y103</f>
        <v>430.49700000000001</v>
      </c>
      <c r="Z275" s="58">
        <f>BIDU_IS!Z103</f>
        <v>461.92700000000002</v>
      </c>
      <c r="AA275" s="58">
        <f>BIDU_IS!AA103</f>
        <v>512.75800000000004</v>
      </c>
      <c r="AB275" s="212">
        <f>BIDU_IS!AB103</f>
        <v>553.572</v>
      </c>
      <c r="AC275" s="58">
        <f>BIDU_IS!AC103</f>
        <v>582.43700000000001</v>
      </c>
      <c r="AD275" s="58">
        <f>BIDU_IS!AD103</f>
        <v>616.072</v>
      </c>
      <c r="AE275" s="58">
        <f>BIDU_IS!AE103</f>
        <v>657.32500000000005</v>
      </c>
      <c r="AF275" s="212">
        <f>BIDU_IS!AF103</f>
        <v>692.04600000000005</v>
      </c>
      <c r="AG275" s="58">
        <f>BIDU_IS!AG103</f>
        <v>707.33199999999999</v>
      </c>
      <c r="AH275" s="58">
        <f>BIDU_IS!AH103</f>
        <v>753.77499999999998</v>
      </c>
      <c r="AI275" s="58">
        <f>BIDU_IS!AI103</f>
        <v>802.25699999999995</v>
      </c>
      <c r="AJ275" s="212">
        <f>BIDU_IS!AJ103</f>
        <v>811.529</v>
      </c>
      <c r="AK275" s="58">
        <f>BIDU_IS!AK103</f>
        <v>823.01</v>
      </c>
      <c r="AL275" s="58">
        <f>BIDU_IS!AL103</f>
        <v>828</v>
      </c>
      <c r="AM275" s="58">
        <f>BIDU_IS!AM103</f>
        <v>852</v>
      </c>
      <c r="AN275" s="212">
        <f>BIDU_IS!AN103</f>
        <v>885</v>
      </c>
      <c r="AO275" s="58">
        <f>AO126</f>
        <v>915.60582186100521</v>
      </c>
      <c r="AP275" s="58">
        <f t="shared" ref="AP275:AZ275" ca="1" si="1166">AP126</f>
        <v>932.09393749294713</v>
      </c>
      <c r="AQ275" s="58">
        <f t="shared" ca="1" si="1166"/>
        <v>965.3368290169708</v>
      </c>
      <c r="AR275" s="212">
        <f t="shared" ca="1" si="1166"/>
        <v>1005.9741318217189</v>
      </c>
      <c r="AS275" s="58">
        <f t="shared" ca="1" si="1166"/>
        <v>1042.990417298038</v>
      </c>
      <c r="AT275" s="58">
        <f t="shared" ca="1" si="1166"/>
        <v>1073.5136262370975</v>
      </c>
      <c r="AU275" s="58">
        <f t="shared" ca="1" si="1166"/>
        <v>1119.3637736413798</v>
      </c>
      <c r="AV275" s="212">
        <f t="shared" ca="1" si="1166"/>
        <v>1174.137282583931</v>
      </c>
      <c r="AW275" s="58">
        <f t="shared" ca="1" si="1166"/>
        <v>1219.5251120331689</v>
      </c>
      <c r="AX275" s="58">
        <f t="shared" ca="1" si="1166"/>
        <v>1260.4556124038602</v>
      </c>
      <c r="AY275" s="58">
        <f t="shared" ca="1" si="1166"/>
        <v>1316.9690322300742</v>
      </c>
      <c r="AZ275" s="58">
        <f t="shared" ca="1" si="1166"/>
        <v>1382.9127730935581</v>
      </c>
    </row>
    <row r="276" spans="2:52">
      <c r="B276" s="3" t="s">
        <v>284</v>
      </c>
      <c r="F276" s="71">
        <f>F275/BIDU_IS!F$89</f>
        <v>4.7613142744476304E-2</v>
      </c>
      <c r="G276" s="71">
        <f>G275/BIDU_IS!G$89</f>
        <v>4.7995042813149695E-2</v>
      </c>
      <c r="H276" s="71">
        <f>H275/BIDU_IS!H$89</f>
        <v>4.0521836297318307E-2</v>
      </c>
      <c r="I276" s="71">
        <f>I275/BIDU_IS!I$89</f>
        <v>3.8559149310497767E-2</v>
      </c>
      <c r="J276" s="71">
        <f>J275/BIDU_IS!J$89</f>
        <v>4.3584985401144083E-2</v>
      </c>
      <c r="K276" s="71">
        <f ca="1">K275/BIDU_IS!K$89</f>
        <v>3.9948503371116675E-2</v>
      </c>
      <c r="L276" s="71">
        <f ca="1">L275/BIDU_IS!L$89</f>
        <v>3.6271038980921523E-2</v>
      </c>
      <c r="M276" s="71">
        <f ca="1">M275/BIDU_IS!M$89</f>
        <v>3.4292707941518681E-2</v>
      </c>
      <c r="N276" s="71">
        <f ca="1">N275/BIDU_IS!N$89</f>
        <v>3.3476282309047381E-2</v>
      </c>
      <c r="Q276" s="71">
        <f>Q275/BIDU_IS!Q$89</f>
        <v>5.3576600940913904E-2</v>
      </c>
      <c r="R276" s="71">
        <f>R275/BIDU_IS!R$89</f>
        <v>4.5072313640622322E-2</v>
      </c>
      <c r="S276" s="71">
        <f>S275/BIDU_IS!S$89</f>
        <v>4.4774521975068468E-2</v>
      </c>
      <c r="T276" s="71">
        <f>T275/BIDU_IS!T$89</f>
        <v>5.0113758585561073E-2</v>
      </c>
      <c r="U276" s="71">
        <f>U275/BIDU_IS!U$89</f>
        <v>5.5809479641413015E-2</v>
      </c>
      <c r="V276" s="71">
        <f>V275/BIDU_IS!V$89</f>
        <v>4.721435453717622E-2</v>
      </c>
      <c r="W276" s="71">
        <f>W275/BIDU_IS!W$89</f>
        <v>4.1544895226514562E-2</v>
      </c>
      <c r="X276" s="71">
        <f>X275/BIDU_IS!X$89</f>
        <v>4.3071274514426418E-2</v>
      </c>
      <c r="Y276" s="71">
        <f>Y275/BIDU_IS!Y$89</f>
        <v>4.5331926787743594E-2</v>
      </c>
      <c r="Z276" s="71">
        <f>Z275/BIDU_IS!Z$89</f>
        <v>3.8539579645283054E-2</v>
      </c>
      <c r="AA276" s="71">
        <f>AA275/BIDU_IS!AA$89</f>
        <v>3.7926572047602046E-2</v>
      </c>
      <c r="AB276" s="241">
        <f>AB275/BIDU_IS!AB$89</f>
        <v>3.9399500178965055E-2</v>
      </c>
      <c r="AC276" s="71">
        <f>AC275/BIDU_IS!AC$89</f>
        <v>4.5772461817315355E-2</v>
      </c>
      <c r="AD276" s="71">
        <f>AD275/BIDU_IS!AD$89</f>
        <v>3.7168214417192688E-2</v>
      </c>
      <c r="AE276" s="71">
        <f>AE275/BIDU_IS!AE$89</f>
        <v>3.5757063791428657E-2</v>
      </c>
      <c r="AF276" s="241">
        <f>AF275/BIDU_IS!AF$89</f>
        <v>3.7010194347293197E-2</v>
      </c>
      <c r="AG276" s="71">
        <f>AG275/BIDU_IS!AG$89</f>
        <v>4.4709635024574333E-2</v>
      </c>
      <c r="AH276" s="71">
        <f>AH275/BIDU_IS!AH$89</f>
        <v>4.1271875147834647E-2</v>
      </c>
      <c r="AI276" s="71">
        <f>AI275/BIDU_IS!AI$89</f>
        <v>4.395264299495763E-2</v>
      </c>
      <c r="AJ276" s="241">
        <f>AJ275/BIDU_IS!AJ$89</f>
        <v>4.4559183215158255E-2</v>
      </c>
      <c r="AK276" s="71">
        <f>AK275/BIDU_IS!AK$89</f>
        <v>4.8725384877020224E-2</v>
      </c>
      <c r="AL276" s="71">
        <f>AL275/BIDU_IS!AL$89</f>
        <v>3.9666570853693593E-2</v>
      </c>
      <c r="AM276" s="71">
        <f>AM275/BIDU_IS!AM$89</f>
        <v>3.627229767125037E-2</v>
      </c>
      <c r="AN276" s="241">
        <f>AN275/BIDU_IS!AN$89</f>
        <v>3.7570045848191541E-2</v>
      </c>
      <c r="AO276" s="71">
        <f ca="1">AO275/BIDU_IS!AO$89</f>
        <v>4.1817782823989298E-2</v>
      </c>
      <c r="AP276" s="71">
        <f ca="1">AP275/BIDU_IS!AP$89</f>
        <v>3.5561286682533978E-2</v>
      </c>
      <c r="AQ276" s="71">
        <f ca="1">AQ275/BIDU_IS!AQ$89</f>
        <v>3.3723404971895923E-2</v>
      </c>
      <c r="AR276" s="241">
        <f ca="1">AR275/BIDU_IS!AR$89</f>
        <v>3.5223512747424898E-2</v>
      </c>
      <c r="AS276" s="71">
        <f ca="1">AS275/BIDU_IS!AS$89</f>
        <v>3.7600221555668362E-2</v>
      </c>
      <c r="AT276" s="71">
        <f ca="1">AT275/BIDU_IS!AT$89</f>
        <v>3.3557877693682868E-2</v>
      </c>
      <c r="AU276" s="71">
        <f ca="1">AU275/BIDU_IS!AU$89</f>
        <v>3.1967370498639118E-2</v>
      </c>
      <c r="AV276" s="241">
        <f ca="1">AV275/BIDU_IS!AV$89</f>
        <v>3.4682137100060455E-2</v>
      </c>
      <c r="AW276" s="71">
        <f ca="1">AW275/BIDU_IS!AW$89</f>
        <v>3.6206183682173425E-2</v>
      </c>
      <c r="AX276" s="71">
        <f ca="1">AX275/BIDU_IS!AX$89</f>
        <v>3.2997112989943629E-2</v>
      </c>
      <c r="AY276" s="71">
        <f ca="1">AY275/BIDU_IS!AY$89</f>
        <v>3.1692260301335588E-2</v>
      </c>
      <c r="AZ276" s="71">
        <f ca="1">AZ275/BIDU_IS!AZ$89</f>
        <v>3.3488098693607707E-2</v>
      </c>
    </row>
    <row r="277" spans="2:52">
      <c r="B277" s="1" t="str">
        <f>BIDU_IS!B104</f>
        <v>Operational Costs</v>
      </c>
      <c r="F277" s="58">
        <f>BIDU_IS!F104</f>
        <v>589.55499999999995</v>
      </c>
      <c r="G277" s="58">
        <f>BIDU_IS!G104</f>
        <v>1082.7940000000001</v>
      </c>
      <c r="H277" s="58">
        <f>BIDU_IS!H104</f>
        <v>2217.5549999999998</v>
      </c>
      <c r="I277" s="58">
        <f>BIDU_IS!I104</f>
        <v>3881.6089999999999</v>
      </c>
      <c r="J277" s="58">
        <f>BIDU_IS!J104</f>
        <v>4429.7129999999997</v>
      </c>
      <c r="K277" s="58">
        <f ca="1">SUM(OFFSET($P277,0,K$1,1,4))</f>
        <v>4696.7039999999997</v>
      </c>
      <c r="L277" s="58">
        <f ca="1">SUM(OFFSET($P277,0,L$1,1,4))</f>
        <v>5703.6890429955192</v>
      </c>
      <c r="M277" s="58">
        <f ca="1">SUM(OFFSET($P277,0,M$1,1,4))</f>
        <v>6757.6154569968148</v>
      </c>
      <c r="N277" s="58">
        <f ca="1">SUM(OFFSET($P277,0,N$1,1,4))</f>
        <v>7874.7886767961872</v>
      </c>
      <c r="Q277" s="58">
        <f>BIDU_IS!Q104</f>
        <v>127.996</v>
      </c>
      <c r="R277" s="58">
        <f>BIDU_IS!R104</f>
        <v>137.76499999999999</v>
      </c>
      <c r="S277" s="58">
        <f>BIDU_IS!S104</f>
        <v>149.72</v>
      </c>
      <c r="T277" s="58">
        <f>BIDU_IS!T104</f>
        <v>164.41200000000001</v>
      </c>
      <c r="U277" s="58">
        <f>BIDU_IS!U104</f>
        <v>218.71199999999999</v>
      </c>
      <c r="V277" s="58">
        <f>BIDU_IS!V104</f>
        <v>243.22900000000001</v>
      </c>
      <c r="W277" s="58">
        <f>BIDU_IS!W104</f>
        <v>280.20400000000001</v>
      </c>
      <c r="X277" s="58">
        <f>BIDU_IS!X104</f>
        <v>433.47800000000001</v>
      </c>
      <c r="Y277" s="58">
        <f>BIDU_IS!Y104</f>
        <v>479.54199999999997</v>
      </c>
      <c r="Z277" s="58">
        <f>BIDU_IS!Z104</f>
        <v>627.05200000000002</v>
      </c>
      <c r="AA277" s="58">
        <f>BIDU_IS!AA104</f>
        <v>557.51499999999999</v>
      </c>
      <c r="AB277" s="212">
        <f>BIDU_IS!AB104</f>
        <v>616.22799999999995</v>
      </c>
      <c r="AC277" s="58">
        <f>BIDU_IS!AC104</f>
        <v>607.06799999999998</v>
      </c>
      <c r="AD277" s="58">
        <f>BIDU_IS!AD104</f>
        <v>850.50300000000004</v>
      </c>
      <c r="AE277" s="58">
        <f>BIDU_IS!AE104</f>
        <v>1254.114</v>
      </c>
      <c r="AF277" s="212">
        <f>BIDU_IS!AF104</f>
        <v>1181.6669999999999</v>
      </c>
      <c r="AG277" s="58">
        <f>BIDU_IS!AG104</f>
        <v>1092.153</v>
      </c>
      <c r="AH277" s="58">
        <f>BIDU_IS!AH104</f>
        <v>992.75400000000002</v>
      </c>
      <c r="AI277" s="58">
        <f>BIDU_IS!AI104</f>
        <v>1158.5540000000001</v>
      </c>
      <c r="AJ277" s="212">
        <f>BIDU_IS!AJ104</f>
        <v>1186.252</v>
      </c>
      <c r="AK277" s="58">
        <f>BIDU_IS!AK104</f>
        <v>958.70399999999995</v>
      </c>
      <c r="AL277" s="58">
        <f>BIDU_IS!AL104</f>
        <v>1225</v>
      </c>
      <c r="AM277" s="58">
        <f>BIDU_IS!AM104</f>
        <v>1383</v>
      </c>
      <c r="AN277" s="212">
        <f>BIDU_IS!AN104</f>
        <v>1130</v>
      </c>
      <c r="AO277" s="58">
        <f ca="1">AO128+AO247</f>
        <v>1226.8948324527009</v>
      </c>
      <c r="AP277" s="58">
        <f t="shared" ref="AP277:AZ277" ca="1" si="1167">AP128+AP247</f>
        <v>1526.1819102534023</v>
      </c>
      <c r="AQ277" s="58">
        <f t="shared" ca="1" si="1167"/>
        <v>1631.1871136026891</v>
      </c>
      <c r="AR277" s="212">
        <f t="shared" ca="1" si="1167"/>
        <v>1319.4251866867273</v>
      </c>
      <c r="AS277" s="58">
        <f t="shared" ca="1" si="1167"/>
        <v>1507.8113521141888</v>
      </c>
      <c r="AT277" s="58">
        <f t="shared" ca="1" si="1167"/>
        <v>1817.1692826059898</v>
      </c>
      <c r="AU277" s="58">
        <f t="shared" ca="1" si="1167"/>
        <v>1926.2479760804431</v>
      </c>
      <c r="AV277" s="212">
        <f t="shared" ca="1" si="1167"/>
        <v>1506.3868461961933</v>
      </c>
      <c r="AW277" s="58">
        <f t="shared" ca="1" si="1167"/>
        <v>1777.681186954751</v>
      </c>
      <c r="AX277" s="58">
        <f t="shared" ca="1" si="1167"/>
        <v>2119.8354551934594</v>
      </c>
      <c r="AY277" s="58">
        <f t="shared" ca="1" si="1167"/>
        <v>2206.3865496979706</v>
      </c>
      <c r="AZ277" s="58">
        <f t="shared" ca="1" si="1167"/>
        <v>1770.8854849500067</v>
      </c>
    </row>
    <row r="278" spans="2:52">
      <c r="B278" s="3" t="s">
        <v>284</v>
      </c>
      <c r="F278" s="71">
        <f>F277/BIDU_IS!F$89</f>
        <v>2.6430301838615264E-2</v>
      </c>
      <c r="G278" s="71">
        <f>G277/BIDU_IS!G$89</f>
        <v>3.3896712251131077E-2</v>
      </c>
      <c r="H278" s="71">
        <f>H277/BIDU_IS!H$89</f>
        <v>4.5207955310083404E-2</v>
      </c>
      <c r="I278" s="71">
        <f>I277/BIDU_IS!I$89</f>
        <v>5.847405692009016E-2</v>
      </c>
      <c r="J278" s="71">
        <f>J277/BIDU_IS!J$89</f>
        <v>6.2788843851235843E-2</v>
      </c>
      <c r="K278" s="71">
        <f ca="1">K277/BIDU_IS!K$89</f>
        <v>5.5379498755061859E-2</v>
      </c>
      <c r="L278" s="71">
        <f ca="1">L277/BIDU_IS!L$89</f>
        <v>5.4170763784373431E-2</v>
      </c>
      <c r="M278" s="71">
        <f ca="1">M277/BIDU_IS!M$89</f>
        <v>5.2547996658886431E-2</v>
      </c>
      <c r="N278" s="71">
        <f ca="1">N277/BIDU_IS!N$89</f>
        <v>5.0892981687044786E-2</v>
      </c>
      <c r="Q278" s="71">
        <f>Q277/BIDU_IS!Q$89</f>
        <v>3.001974563568446E-2</v>
      </c>
      <c r="R278" s="71">
        <f>R277/BIDU_IS!R$89</f>
        <v>2.5249109641965369E-2</v>
      </c>
      <c r="S278" s="71">
        <f>S277/BIDU_IS!S$89</f>
        <v>2.3952440678833797E-2</v>
      </c>
      <c r="T278" s="71">
        <f>T277/BIDU_IS!T$89</f>
        <v>2.5951542346700562E-2</v>
      </c>
      <c r="U278" s="71">
        <f>U277/BIDU_IS!U$89</f>
        <v>3.6644149706343492E-2</v>
      </c>
      <c r="V278" s="71">
        <f>V277/BIDU_IS!V$89</f>
        <v>3.2169680120463208E-2</v>
      </c>
      <c r="W278" s="71">
        <f>W277/BIDU_IS!W$89</f>
        <v>3.1513132871282275E-2</v>
      </c>
      <c r="X278" s="71">
        <f>X277/BIDU_IS!X$89</f>
        <v>4.5519474975776852E-2</v>
      </c>
      <c r="Y278" s="71">
        <f>Y277/BIDU_IS!Y$89</f>
        <v>5.049643281056114E-2</v>
      </c>
      <c r="Z278" s="71">
        <f>Z277/BIDU_IS!Z$89</f>
        <v>5.2316319452497963E-2</v>
      </c>
      <c r="AA278" s="71">
        <f>AA277/BIDU_IS!AA$89</f>
        <v>4.1237060787191721E-2</v>
      </c>
      <c r="AB278" s="241">
        <f>AB277/BIDU_IS!AB$89</f>
        <v>4.3858929274391181E-2</v>
      </c>
      <c r="AC278" s="71">
        <f>AC277/BIDU_IS!AC$89</f>
        <v>4.7708158737363858E-2</v>
      </c>
      <c r="AD278" s="71">
        <f>AD277/BIDU_IS!AD$89</f>
        <v>5.1311661407214798E-2</v>
      </c>
      <c r="AE278" s="71">
        <f>AE277/BIDU_IS!AE$89</f>
        <v>6.8221099607840494E-2</v>
      </c>
      <c r="AF278" s="241">
        <f>AF277/BIDU_IS!AF$89</f>
        <v>6.3194824222353577E-2</v>
      </c>
      <c r="AG278" s="71">
        <f>AG277/BIDU_IS!AG$89</f>
        <v>6.9033723938679334E-2</v>
      </c>
      <c r="AH278" s="71">
        <f>AH277/BIDU_IS!AH$89</f>
        <v>5.4356829478973752E-2</v>
      </c>
      <c r="AI278" s="71">
        <f>AI277/BIDU_IS!AI$89</f>
        <v>6.3472815260421728E-2</v>
      </c>
      <c r="AJ278" s="241">
        <f>AJ277/BIDU_IS!AJ$89</f>
        <v>6.5134357746116159E-2</v>
      </c>
      <c r="AK278" s="71">
        <f>AK277/BIDU_IS!AK$89</f>
        <v>5.6758996103496669E-2</v>
      </c>
      <c r="AL278" s="71">
        <f>AL277/BIDU_IS!AL$89</f>
        <v>5.8685446009389672E-2</v>
      </c>
      <c r="AM278" s="71">
        <f>AM277/BIDU_IS!AM$89</f>
        <v>5.8878624036783178E-2</v>
      </c>
      <c r="AN278" s="241">
        <f>AN277/BIDU_IS!AN$89</f>
        <v>4.7970793003905589E-2</v>
      </c>
      <c r="AO278" s="71">
        <f ca="1">AO277/BIDU_IS!AO$89</f>
        <v>5.6035053978905743E-2</v>
      </c>
      <c r="AP278" s="71">
        <f ca="1">AP277/BIDU_IS!AP$89</f>
        <v>5.8226955736024467E-2</v>
      </c>
      <c r="AQ278" s="71">
        <f ca="1">AQ277/BIDU_IS!AQ$89</f>
        <v>5.6984445183738464E-2</v>
      </c>
      <c r="AR278" s="241">
        <f ca="1">AR277/BIDU_IS!AR$89</f>
        <v>4.6198792207879341E-2</v>
      </c>
      <c r="AS278" s="71">
        <f ca="1">AS277/BIDU_IS!AS$89</f>
        <v>5.4357202102121395E-2</v>
      </c>
      <c r="AT278" s="71">
        <f ca="1">AT277/BIDU_IS!AT$89</f>
        <v>5.6804443878517713E-2</v>
      </c>
      <c r="AU278" s="71">
        <f ca="1">AU277/BIDU_IS!AU$89</f>
        <v>5.5010787532726826E-2</v>
      </c>
      <c r="AV278" s="241">
        <f ca="1">AV277/BIDU_IS!AV$89</f>
        <v>4.4496257720842321E-2</v>
      </c>
      <c r="AW278" s="71">
        <f ca="1">AW277/BIDU_IS!AW$89</f>
        <v>5.2777143289753949E-2</v>
      </c>
      <c r="AX278" s="71">
        <f ca="1">AX277/BIDU_IS!AX$89</f>
        <v>5.5494576204636013E-2</v>
      </c>
      <c r="AY278" s="71">
        <f ca="1">AY277/BIDU_IS!AY$89</f>
        <v>5.3095688013245435E-2</v>
      </c>
      <c r="AZ278" s="71">
        <f ca="1">AZ277/BIDU_IS!AZ$89</f>
        <v>4.2883100835363466E-2</v>
      </c>
    </row>
    <row r="279" spans="2:52">
      <c r="B279" s="1" t="str">
        <f>BIDU_IS!B105</f>
        <v>Content Costs</v>
      </c>
      <c r="F279" s="58">
        <f>BIDU_IS!F105</f>
        <v>215.13300000000001</v>
      </c>
      <c r="G279" s="58">
        <f>BIDU_IS!G105</f>
        <v>859.69500000000005</v>
      </c>
      <c r="H279" s="58">
        <f>BIDU_IS!H105</f>
        <v>1871.9059999999999</v>
      </c>
      <c r="I279" s="58">
        <f>BIDU_IS!I105</f>
        <v>3745.0630000000001</v>
      </c>
      <c r="J279" s="58">
        <f>BIDU_IS!J105</f>
        <v>7863.585</v>
      </c>
      <c r="K279" s="58">
        <f ca="1">SUM(OFFSET($P279,0,K$1,1,4))</f>
        <v>13398.864</v>
      </c>
      <c r="L279" s="58">
        <f ca="1">SUM(OFFSET($P279,0,L$1,1,4))</f>
        <v>23125.573166263453</v>
      </c>
      <c r="M279" s="58">
        <f ca="1">SUM(OFFSET($P279,0,M$1,1,4))</f>
        <v>27606.859963072351</v>
      </c>
      <c r="N279" s="58">
        <f ca="1">SUM(OFFSET($P279,0,N$1,1,4))</f>
        <v>31344.604264268986</v>
      </c>
      <c r="Q279" s="58">
        <f>BIDU_IS!Q105</f>
        <v>29.327000000000002</v>
      </c>
      <c r="R279" s="58">
        <f>BIDU_IS!R105</f>
        <v>33.161999999999999</v>
      </c>
      <c r="S279" s="58">
        <f>BIDU_IS!S105</f>
        <v>32.307000000000002</v>
      </c>
      <c r="T279" s="58">
        <f>BIDU_IS!T105</f>
        <v>120.337</v>
      </c>
      <c r="U279" s="58">
        <f>BIDU_IS!U105</f>
        <v>95.790999999999997</v>
      </c>
      <c r="V279" s="58">
        <f>BIDU_IS!V105</f>
        <v>150.65199999999999</v>
      </c>
      <c r="W279" s="58">
        <f>BIDU_IS!W105</f>
        <v>222.22399999999999</v>
      </c>
      <c r="X279" s="58">
        <f>BIDU_IS!X105</f>
        <v>361.702</v>
      </c>
      <c r="Y279" s="58">
        <f>BIDU_IS!Y105</f>
        <v>393.63900000000001</v>
      </c>
      <c r="Z279" s="58">
        <f>BIDU_IS!Z105</f>
        <v>354.29399999999998</v>
      </c>
      <c r="AA279" s="58">
        <f>BIDU_IS!AA105</f>
        <v>498.11900000000003</v>
      </c>
      <c r="AB279" s="212">
        <f>BIDU_IS!AB105</f>
        <v>592.00800000000004</v>
      </c>
      <c r="AC279" s="58">
        <f>BIDU_IS!AC105</f>
        <v>608.41999999999996</v>
      </c>
      <c r="AD279" s="58">
        <f>BIDU_IS!AD105</f>
        <v>840.22299999999996</v>
      </c>
      <c r="AE279" s="58">
        <f>BIDU_IS!AE105</f>
        <v>914.54499999999996</v>
      </c>
      <c r="AF279" s="212">
        <f>BIDU_IS!AF105</f>
        <v>1381.875</v>
      </c>
      <c r="AG279" s="58">
        <f>BIDU_IS!AG105</f>
        <v>1382.4680000000001</v>
      </c>
      <c r="AH279" s="58">
        <f>BIDU_IS!AH105</f>
        <v>1699.0150000000001</v>
      </c>
      <c r="AI279" s="58">
        <f>BIDU_IS!AI105</f>
        <v>2211.373</v>
      </c>
      <c r="AJ279" s="212">
        <f>BIDU_IS!AJ105</f>
        <v>2570.7289999999998</v>
      </c>
      <c r="AK279" s="58">
        <f>BIDU_IS!AK105</f>
        <v>2635.864</v>
      </c>
      <c r="AL279" s="58">
        <f>BIDU_IS!AL105</f>
        <v>3112</v>
      </c>
      <c r="AM279" s="58">
        <f>BIDU_IS!AM105</f>
        <v>3897</v>
      </c>
      <c r="AN279" s="212">
        <f>BIDU_IS!AN105</f>
        <v>3754</v>
      </c>
      <c r="AO279" s="58">
        <f ca="1">AO130+AO245</f>
        <v>4337.7734596409182</v>
      </c>
      <c r="AP279" s="58">
        <f t="shared" ref="AP279:AZ279" ca="1" si="1168">AP130+AP245</f>
        <v>5928.0006191771827</v>
      </c>
      <c r="AQ279" s="58">
        <f t="shared" ca="1" si="1168"/>
        <v>6270.3566216604277</v>
      </c>
      <c r="AR279" s="212">
        <f t="shared" ca="1" si="1168"/>
        <v>6589.4424657849277</v>
      </c>
      <c r="AS279" s="58">
        <f t="shared" ca="1" si="1168"/>
        <v>6299.8685945030447</v>
      </c>
      <c r="AT279" s="58">
        <f t="shared" ca="1" si="1168"/>
        <v>7036.4471685993731</v>
      </c>
      <c r="AU279" s="58">
        <f t="shared" ca="1" si="1168"/>
        <v>7107.184933136431</v>
      </c>
      <c r="AV279" s="212">
        <f t="shared" ca="1" si="1168"/>
        <v>7163.3592668335014</v>
      </c>
      <c r="AW279" s="58">
        <f t="shared" ca="1" si="1168"/>
        <v>7337.9840792668165</v>
      </c>
      <c r="AX279" s="58">
        <f t="shared" ca="1" si="1168"/>
        <v>8207.8940660794415</v>
      </c>
      <c r="AY279" s="58">
        <f t="shared" ca="1" si="1168"/>
        <v>7939.0120354558339</v>
      </c>
      <c r="AZ279" s="58">
        <f t="shared" ca="1" si="1168"/>
        <v>7859.7140834668926</v>
      </c>
    </row>
    <row r="280" spans="2:52">
      <c r="B280" s="3" t="s">
        <v>284</v>
      </c>
      <c r="F280" s="71">
        <f>F279/BIDU_IS!F$89</f>
        <v>9.6446135228211421E-3</v>
      </c>
      <c r="G280" s="71">
        <f>G279/BIDU_IS!G$89</f>
        <v>2.6912629769592491E-2</v>
      </c>
      <c r="H280" s="71">
        <f>H279/BIDU_IS!H$89</f>
        <v>3.8161417774385302E-2</v>
      </c>
      <c r="I280" s="71">
        <f>I279/BIDU_IS!I$89</f>
        <v>5.6417075246714347E-2</v>
      </c>
      <c r="J280" s="71">
        <f>J279/BIDU_IS!J$89</f>
        <v>0.11146216711464614</v>
      </c>
      <c r="K280" s="71">
        <f ca="1">K279/BIDU_IS!K$89</f>
        <v>0.15798789368187632</v>
      </c>
      <c r="L280" s="71">
        <f ca="1">L279/BIDU_IS!L$89</f>
        <v>0.21963503829268738</v>
      </c>
      <c r="M280" s="71">
        <f ca="1">M279/BIDU_IS!M$89</f>
        <v>0.2146741249681256</v>
      </c>
      <c r="N280" s="71">
        <f ca="1">N279/BIDU_IS!N$89</f>
        <v>0.2025731021214037</v>
      </c>
      <c r="Q280" s="71">
        <f>Q279/BIDU_IS!Q$89</f>
        <v>6.8782546349707664E-3</v>
      </c>
      <c r="R280" s="71">
        <f>R279/BIDU_IS!R$89</f>
        <v>6.0778207378278633E-3</v>
      </c>
      <c r="S280" s="71">
        <f>S279/BIDU_IS!S$89</f>
        <v>5.168524585967697E-3</v>
      </c>
      <c r="T280" s="71">
        <f>T279/BIDU_IS!T$89</f>
        <v>1.8994542681646749E-2</v>
      </c>
      <c r="U280" s="71">
        <f>U279/BIDU_IS!U$89</f>
        <v>1.6049323971800127E-2</v>
      </c>
      <c r="V280" s="71">
        <f>V279/BIDU_IS!V$89</f>
        <v>1.9925365188805704E-2</v>
      </c>
      <c r="W280" s="71">
        <f>W279/BIDU_IS!W$89</f>
        <v>2.4992414238154459E-2</v>
      </c>
      <c r="X280" s="71">
        <f>X279/BIDU_IS!X$89</f>
        <v>3.7982285462442013E-2</v>
      </c>
      <c r="Y280" s="71">
        <f>Y279/BIDU_IS!Y$89</f>
        <v>4.1450728643406577E-2</v>
      </c>
      <c r="Z280" s="71">
        <f>Z279/BIDU_IS!Z$89</f>
        <v>2.9559523108296144E-2</v>
      </c>
      <c r="AA280" s="71">
        <f>AA279/BIDU_IS!AA$89</f>
        <v>3.6843786234011917E-2</v>
      </c>
      <c r="AB280" s="241">
        <f>AB279/BIDU_IS!AB$89</f>
        <v>4.2135113954370425E-2</v>
      </c>
      <c r="AC280" s="71">
        <f>AC279/BIDU_IS!AC$89</f>
        <v>4.7814409487877664E-2</v>
      </c>
      <c r="AD280" s="71">
        <f>AD279/BIDU_IS!AD$89</f>
        <v>5.069145915129545E-2</v>
      </c>
      <c r="AE280" s="71">
        <f>AE279/BIDU_IS!AE$89</f>
        <v>4.9749277610211258E-2</v>
      </c>
      <c r="AF280" s="241">
        <f>AF279/BIDU_IS!AF$89</f>
        <v>7.3901824898439966E-2</v>
      </c>
      <c r="AG280" s="71">
        <f>AG279/BIDU_IS!AG$89</f>
        <v>8.7384198245170908E-2</v>
      </c>
      <c r="AH280" s="71">
        <f>AH279/BIDU_IS!AH$89</f>
        <v>9.3027143317698638E-2</v>
      </c>
      <c r="AI280" s="71">
        <f>AI279/BIDU_IS!AI$89</f>
        <v>0.12115280763856028</v>
      </c>
      <c r="AJ280" s="241">
        <f>AJ279/BIDU_IS!AJ$89</f>
        <v>0.14115279245414589</v>
      </c>
      <c r="AK280" s="71">
        <f>AK279/BIDU_IS!AK$89</f>
        <v>0.15605337466553509</v>
      </c>
      <c r="AL280" s="71">
        <f>AL279/BIDU_IS!AL$89</f>
        <v>0.1490849861071189</v>
      </c>
      <c r="AM280" s="71">
        <f>AM279/BIDU_IS!AM$89</f>
        <v>0.16590744603857124</v>
      </c>
      <c r="AN280" s="241">
        <f>AN279/BIDU_IS!AN$89</f>
        <v>0.15936491764306335</v>
      </c>
      <c r="AO280" s="71">
        <f ca="1">AO279/BIDU_IS!AO$89</f>
        <v>0.19811589675809826</v>
      </c>
      <c r="AP280" s="71">
        <f ca="1">AP279/BIDU_IS!AP$89</f>
        <v>0.22616532625435498</v>
      </c>
      <c r="AQ280" s="71">
        <f ca="1">AQ279/BIDU_IS!AQ$89</f>
        <v>0.21905076996367898</v>
      </c>
      <c r="AR280" s="241">
        <f ca="1">AR279/BIDU_IS!AR$89</f>
        <v>0.23072492954831988</v>
      </c>
      <c r="AS280" s="71">
        <f ca="1">AS279/BIDU_IS!AS$89</f>
        <v>0.22711278166731544</v>
      </c>
      <c r="AT280" s="71">
        <f ca="1">AT279/BIDU_IS!AT$89</f>
        <v>0.21995830114388068</v>
      </c>
      <c r="AU280" s="71">
        <f ca="1">AU279/BIDU_IS!AU$89</f>
        <v>0.20297066897280827</v>
      </c>
      <c r="AV280" s="241">
        <f ca="1">AV279/BIDU_IS!AV$89</f>
        <v>0.21159417376012735</v>
      </c>
      <c r="AW280" s="71">
        <f ca="1">AW279/BIDU_IS!AW$89</f>
        <v>0.217855620035459</v>
      </c>
      <c r="AX280" s="71">
        <f ca="1">AX279/BIDU_IS!AX$89</f>
        <v>0.2148721503896425</v>
      </c>
      <c r="AY280" s="71">
        <f ca="1">AY279/BIDU_IS!AY$89</f>
        <v>0.19104871094580678</v>
      </c>
      <c r="AZ280" s="71">
        <f ca="1">AZ279/BIDU_IS!AZ$89</f>
        <v>0.19032789779060855</v>
      </c>
    </row>
    <row r="281" spans="2:52">
      <c r="B281" s="11" t="s">
        <v>29</v>
      </c>
      <c r="F281" s="58">
        <f>BIDU_IS!F116</f>
        <v>1801.456682249006</v>
      </c>
      <c r="G281" s="58">
        <f>BIDU_IS!G116</f>
        <v>3884.9608590031221</v>
      </c>
      <c r="H281" s="58">
        <f>BIDU_IS!H116</f>
        <v>7958.0100443839056</v>
      </c>
      <c r="I281" s="58">
        <f>BIDU_IS!I116</f>
        <v>14090.358502869198</v>
      </c>
      <c r="J281" s="58">
        <f>BIDU_IS!J116</f>
        <v>12059.696252504051</v>
      </c>
      <c r="K281" s="58">
        <f ca="1">SUM(OFFSET($P281,0,K$1,1,4))</f>
        <v>9314.1329398624857</v>
      </c>
      <c r="L281" s="58">
        <f ca="1">SUM(OFFSET($P281,0,L$1,1,4))</f>
        <v>13301.705946399534</v>
      </c>
      <c r="M281" s="58">
        <f ca="1">SUM(OFFSET($P281,0,M$1,1,4))</f>
        <v>16895.480583505196</v>
      </c>
      <c r="N281" s="58">
        <f ca="1">SUM(OFFSET($P281,0,N$1,1,4))</f>
        <v>19010.045587189255</v>
      </c>
      <c r="Q281" s="58">
        <f>BIDU_IS!Q116</f>
        <v>348.66174873089273</v>
      </c>
      <c r="R281" s="58">
        <f>BIDU_IS!R116</f>
        <v>416.38829844607284</v>
      </c>
      <c r="S281" s="58">
        <f>BIDU_IS!S116</f>
        <v>442.30933869580639</v>
      </c>
      <c r="T281" s="58">
        <f>BIDU_IS!T116</f>
        <v>594.42698679510795</v>
      </c>
      <c r="U281" s="58">
        <f>BIDU_IS!U116</f>
        <v>628.46056493942001</v>
      </c>
      <c r="V281" s="58">
        <f>BIDU_IS!V116</f>
        <v>796.73586442223848</v>
      </c>
      <c r="W281" s="58">
        <f>BIDU_IS!W116</f>
        <v>1017.9247981728735</v>
      </c>
      <c r="X281" s="58">
        <f>BIDU_IS!X116</f>
        <v>1441.5542405796052</v>
      </c>
      <c r="Y281" s="58">
        <f>BIDU_IS!Y116</f>
        <v>1548.3652626711707</v>
      </c>
      <c r="Z281" s="58">
        <f>BIDU_IS!Z116</f>
        <v>1536.8380156145217</v>
      </c>
      <c r="AA281" s="58">
        <f>BIDU_IS!AA116</f>
        <v>2051.0925391781593</v>
      </c>
      <c r="AB281" s="212">
        <f>BIDU_IS!AB116</f>
        <v>2821.9184930527963</v>
      </c>
      <c r="AC281" s="58">
        <f>BIDU_IS!AC116</f>
        <v>2350.314503367355</v>
      </c>
      <c r="AD281" s="58">
        <f>BIDU_IS!AD116</f>
        <v>3134.6652520003031</v>
      </c>
      <c r="AE281" s="58">
        <f>BIDU_IS!AE116</f>
        <v>4882.0921368419276</v>
      </c>
      <c r="AF281" s="212">
        <f>BIDU_IS!AF116</f>
        <v>3724.7672639704861</v>
      </c>
      <c r="AG281" s="58">
        <f>BIDU_IS!AG116</f>
        <v>3263.4286798483204</v>
      </c>
      <c r="AH281" s="58">
        <f>BIDU_IS!AH116</f>
        <v>3431.0821230002502</v>
      </c>
      <c r="AI281" s="58">
        <f>BIDU_IS!AI116</f>
        <v>2817.0635430010725</v>
      </c>
      <c r="AJ281" s="212">
        <f>BIDU_IS!AJ116</f>
        <v>2549.4470188946802</v>
      </c>
      <c r="AK281" s="58">
        <f ca="1">BIDU_IS!AK116</f>
        <v>2046.3083111034152</v>
      </c>
      <c r="AL281" s="58">
        <f ca="1">BIDU_IS!AL116</f>
        <v>2006.9809570552147</v>
      </c>
      <c r="AM281" s="58">
        <f ca="1">BIDU_IS!AM116</f>
        <v>2705.2812664175121</v>
      </c>
      <c r="AN281" s="212">
        <f ca="1">BIDU_IS!AN116</f>
        <v>2555.5624052863436</v>
      </c>
      <c r="AO281" s="58">
        <f ca="1">AO132+AO249</f>
        <v>3021.3921181693299</v>
      </c>
      <c r="AP281" s="58">
        <f t="shared" ref="AP281:AZ281" ca="1" si="1169">AP132+AP249</f>
        <v>3122.0579415927091</v>
      </c>
      <c r="AQ281" s="58">
        <f t="shared" ca="1" si="1169"/>
        <v>3442.3128086244014</v>
      </c>
      <c r="AR281" s="212">
        <f t="shared" ca="1" si="1169"/>
        <v>3715.9430780130933</v>
      </c>
      <c r="AS281" s="58">
        <f t="shared" ca="1" si="1169"/>
        <v>3525.8690380731109</v>
      </c>
      <c r="AT281" s="58">
        <f t="shared" ca="1" si="1169"/>
        <v>3926.8087262796962</v>
      </c>
      <c r="AU281" s="58">
        <f t="shared" ca="1" si="1169"/>
        <v>4758.245546142989</v>
      </c>
      <c r="AV281" s="212">
        <f t="shared" ca="1" si="1169"/>
        <v>4684.5572730093972</v>
      </c>
      <c r="AW281" s="58">
        <f t="shared" ca="1" si="1169"/>
        <v>4094.3194866832614</v>
      </c>
      <c r="AX281" s="58">
        <f t="shared" ca="1" si="1169"/>
        <v>4275.0183133034161</v>
      </c>
      <c r="AY281" s="58">
        <f t="shared" ca="1" si="1169"/>
        <v>5448.8858078160183</v>
      </c>
      <c r="AZ281" s="58">
        <f t="shared" ca="1" si="1169"/>
        <v>5191.8219793865592</v>
      </c>
    </row>
    <row r="282" spans="2:52">
      <c r="B282" s="3" t="s">
        <v>284</v>
      </c>
      <c r="F282" s="71">
        <f>F281/BIDU_IS!F$89</f>
        <v>8.0760987288771471E-2</v>
      </c>
      <c r="G282" s="71">
        <f>G281/BIDU_IS!G$89</f>
        <v>0.12161814744497645</v>
      </c>
      <c r="H282" s="71">
        <f>H281/BIDU_IS!H$89</f>
        <v>0.16223514746813608</v>
      </c>
      <c r="I282" s="71">
        <f>I281/BIDU_IS!I$89</f>
        <v>0.21226260169977187</v>
      </c>
      <c r="J282" s="71">
        <f>J281/BIDU_IS!J$89</f>
        <v>0.17093982948597594</v>
      </c>
      <c r="K282" s="71">
        <f ca="1">K281/BIDU_IS!K$89</f>
        <v>0.10982425410406857</v>
      </c>
      <c r="L282" s="71">
        <f ca="1">L281/BIDU_IS!L$89</f>
        <v>0.12633289881686327</v>
      </c>
      <c r="M282" s="71">
        <f ca="1">M281/BIDU_IS!M$89</f>
        <v>0.13138120434672879</v>
      </c>
      <c r="N282" s="71">
        <f ca="1">N281/BIDU_IS!N$89</f>
        <v>0.12285763360094663</v>
      </c>
      <c r="Q282" s="71">
        <f>Q281/BIDU_IS!Q$89</f>
        <v>8.1773938324590845E-2</v>
      </c>
      <c r="R282" s="71">
        <f>R281/BIDU_IS!R$89</f>
        <v>7.6314258346432642E-2</v>
      </c>
      <c r="S282" s="71">
        <f>S281/BIDU_IS!S$89</f>
        <v>7.0761342484674791E-2</v>
      </c>
      <c r="T282" s="71">
        <f>T281/BIDU_IS!T$89</f>
        <v>9.3827075394952067E-2</v>
      </c>
      <c r="U282" s="71">
        <f>U281/BIDU_IS!U$89</f>
        <v>0.10529556232018963</v>
      </c>
      <c r="V282" s="71">
        <f>V281/BIDU_IS!V$89</f>
        <v>0.10537698177011851</v>
      </c>
      <c r="W282" s="71">
        <f>W281/BIDU_IS!W$89</f>
        <v>0.11448087613950891</v>
      </c>
      <c r="X282" s="71">
        <f>X281/BIDU_IS!X$89</f>
        <v>0.15137744517666027</v>
      </c>
      <c r="Y282" s="71">
        <f>Y281/BIDU_IS!Y$89</f>
        <v>0.16304499387474219</v>
      </c>
      <c r="Z282" s="71">
        <f>Z281/BIDU_IS!Z$89</f>
        <v>0.12822175604516431</v>
      </c>
      <c r="AA282" s="71">
        <f>AA281/BIDU_IS!AA$89</f>
        <v>0.15171076602108496</v>
      </c>
      <c r="AB282" s="241">
        <f>AB281/BIDU_IS!AB$89</f>
        <v>0.20084501776111952</v>
      </c>
      <c r="AC282" s="71">
        <f>AC281/BIDU_IS!AC$89</f>
        <v>0.18470612420581925</v>
      </c>
      <c r="AD282" s="71">
        <f>AD281/BIDU_IS!AD$89</f>
        <v>0.18911736000414012</v>
      </c>
      <c r="AE282" s="71">
        <f>AE281/BIDU_IS!AE$89</f>
        <v>0.26557529376288602</v>
      </c>
      <c r="AF282" s="241">
        <f>AF281/BIDU_IS!AF$89</f>
        <v>0.19919826187563142</v>
      </c>
      <c r="AG282" s="71">
        <f>AG281/BIDU_IS!AG$89</f>
        <v>0.20627754039792748</v>
      </c>
      <c r="AH282" s="71">
        <f>AH281/BIDU_IS!AH$89</f>
        <v>0.18786400849382609</v>
      </c>
      <c r="AI282" s="71">
        <f>AI281/BIDU_IS!AI$89</f>
        <v>0.15433631392388802</v>
      </c>
      <c r="AJ282" s="241">
        <f>AJ281/BIDU_IS!AJ$89</f>
        <v>0.13998424802104062</v>
      </c>
      <c r="AK282" s="71">
        <f ca="1">AK281/BIDU_IS!AK$89</f>
        <v>0.12114939069459561</v>
      </c>
      <c r="AL282" s="71">
        <f ca="1">AL281/BIDU_IS!AL$89</f>
        <v>9.6147406201744501E-2</v>
      </c>
      <c r="AM282" s="71">
        <f ca="1">AM281/BIDU_IS!AM$89</f>
        <v>0.11517226218304365</v>
      </c>
      <c r="AN282" s="241">
        <f ca="1">AN281/BIDU_IS!AN$89</f>
        <v>0.10848880986951705</v>
      </c>
      <c r="AO282" s="71">
        <f ca="1">AO281/BIDU_IS!AO$89</f>
        <v>0.13799379209593804</v>
      </c>
      <c r="AP282" s="71">
        <f ca="1">AP281/BIDU_IS!AP$89</f>
        <v>0.11911288447930748</v>
      </c>
      <c r="AQ282" s="71">
        <f ca="1">AQ281/BIDU_IS!AQ$89</f>
        <v>0.12025492594475988</v>
      </c>
      <c r="AR282" s="241">
        <f ca="1">AR281/BIDU_IS!AR$89</f>
        <v>0.13011126651942168</v>
      </c>
      <c r="AS282" s="71">
        <f ca="1">AS281/BIDU_IS!AS$89</f>
        <v>0.12710898854781802</v>
      </c>
      <c r="AT282" s="71">
        <f ca="1">AT281/BIDU_IS!AT$89</f>
        <v>0.12275146187466891</v>
      </c>
      <c r="AU282" s="71">
        <f ca="1">AU281/BIDU_IS!AU$89</f>
        <v>0.13588844116531568</v>
      </c>
      <c r="AV282" s="241">
        <f ca="1">AV281/BIDU_IS!AV$89</f>
        <v>0.13837432811778835</v>
      </c>
      <c r="AW282" s="71">
        <f ca="1">AW281/BIDU_IS!AW$89</f>
        <v>0.12155525288135627</v>
      </c>
      <c r="AX282" s="71">
        <f ca="1">AX281/BIDU_IS!AX$89</f>
        <v>0.11191450212921361</v>
      </c>
      <c r="AY282" s="71">
        <f ca="1">AY281/BIDU_IS!AY$89</f>
        <v>0.13112495673580121</v>
      </c>
      <c r="AZ282" s="71">
        <f ca="1">AZ281/BIDU_IS!AZ$89</f>
        <v>0.1257232200237812</v>
      </c>
    </row>
    <row r="283" spans="2:52">
      <c r="B283" s="11" t="s">
        <v>285</v>
      </c>
      <c r="F283" s="58">
        <f>BIDU_IS!F117-'BIDU_BS + CFS'!AD225</f>
        <v>561.71531775099379</v>
      </c>
      <c r="G283" s="58">
        <f>BIDU_IS!G117-'BIDU_BS + CFS'!AE225</f>
        <v>1035.3171409968779</v>
      </c>
      <c r="H283" s="58">
        <f>BIDU_IS!H117-'BIDU_BS + CFS'!AF225</f>
        <v>1917.4419556160954</v>
      </c>
      <c r="I283" s="58">
        <f>BIDU_IS!I117-'BIDU_BS + CFS'!AG225</f>
        <v>2411.0074971308031</v>
      </c>
      <c r="J283" s="58">
        <f>BIDU_IS!J117-'BIDU_BS + CFS'!AH225</f>
        <v>2490.0657474959498</v>
      </c>
      <c r="K283" s="58">
        <f ca="1">SUM(OFFSET($P283,0,K$1,1,4))</f>
        <v>2425.524060137514</v>
      </c>
      <c r="L283" s="58">
        <f ca="1">SUM(OFFSET($P283,0,L$1,1,4))</f>
        <v>2837.171920112045</v>
      </c>
      <c r="M283" s="58">
        <f ca="1">SUM(OFFSET($P283,0,M$1,1,4))</f>
        <v>3271.7815043423598</v>
      </c>
      <c r="N283" s="58">
        <f ca="1">SUM(OFFSET($P283,0,N$1,1,4))</f>
        <v>3896.0808583709336</v>
      </c>
      <c r="Q283" s="58">
        <f ca="1">BIDU_IS!Q117-'BIDU_BS + CFS'!Q225</f>
        <v>71.214329212827735</v>
      </c>
      <c r="R283" s="58">
        <f ca="1">BIDU_IS!R117-'BIDU_BS + CFS'!R225</f>
        <v>105.33817299148276</v>
      </c>
      <c r="S283" s="58">
        <f ca="1">BIDU_IS!S117-'BIDU_BS + CFS'!S225</f>
        <v>127.44537348328484</v>
      </c>
      <c r="T283" s="58">
        <f ca="1">BIDU_IS!T117-'BIDU_BS + CFS'!T225</f>
        <v>131.42675164452467</v>
      </c>
      <c r="U283" s="58">
        <f ca="1">BIDU_IS!U117-'BIDU_BS + CFS'!U225</f>
        <v>137.40602535130955</v>
      </c>
      <c r="V283" s="58">
        <f ca="1">BIDU_IS!V117-'BIDU_BS + CFS'!V225</f>
        <v>202.7223100305381</v>
      </c>
      <c r="W283" s="58">
        <f ca="1">BIDU_IS!W117-'BIDU_BS + CFS'!W225</f>
        <v>258.86894306226634</v>
      </c>
      <c r="X283" s="58">
        <f ca="1">BIDU_IS!X117-'BIDU_BS + CFS'!X225</f>
        <v>292.66425344174803</v>
      </c>
      <c r="Y283" s="58">
        <f ca="1">BIDU_IS!Y117-'BIDU_BS + CFS'!Y225</f>
        <v>325.30213404173969</v>
      </c>
      <c r="Z283" s="58">
        <f ca="1">BIDU_IS!Z117-'BIDU_BS + CFS'!Z225</f>
        <v>452.47575862410122</v>
      </c>
      <c r="AA283" s="58">
        <f ca="1">BIDU_IS!AA117-'BIDU_BS + CFS'!AA225</f>
        <v>476.8243341698975</v>
      </c>
      <c r="AB283" s="212">
        <f ca="1">BIDU_IS!AB117-'BIDU_BS + CFS'!AB225</f>
        <v>478.12146264761327</v>
      </c>
      <c r="AC283" s="58">
        <f>BIDU_IS!AC117-'BIDU_BS + CFS'!AC225</f>
        <v>403.16549663264527</v>
      </c>
      <c r="AD283" s="58">
        <f>BIDU_IS!AD117-'BIDU_BS + CFS'!AD225</f>
        <v>541.10774799969658</v>
      </c>
      <c r="AE283" s="58">
        <f>BIDU_IS!AE117-'BIDU_BS + CFS'!AE225</f>
        <v>593.08286315807322</v>
      </c>
      <c r="AF283" s="212">
        <f>BIDU_IS!AF117-'BIDU_BS + CFS'!AF225</f>
        <v>622.05473602951406</v>
      </c>
      <c r="AG283" s="58">
        <f>BIDU_IS!AG117-'BIDU_BS + CFS'!AG225</f>
        <v>489.2223201516797</v>
      </c>
      <c r="AH283" s="58">
        <f>BIDU_IS!AH117-'BIDU_BS + CFS'!AH225</f>
        <v>577.97387699974888</v>
      </c>
      <c r="AI283" s="58">
        <f>BIDU_IS!AI117-'BIDU_BS + CFS'!AI225</f>
        <v>565.64245699892729</v>
      </c>
      <c r="AJ283" s="212">
        <f>BIDU_IS!AJ117-'BIDU_BS + CFS'!AJ225</f>
        <v>570.96298110531973</v>
      </c>
      <c r="AK283" s="58">
        <f ca="1">BIDU_IS!AK117-'BIDU_BS + CFS'!AK225</f>
        <v>484.34868889658458</v>
      </c>
      <c r="AL283" s="58">
        <f ca="1">BIDU_IS!AL117-'BIDU_BS + CFS'!AL225</f>
        <v>587.01904294478527</v>
      </c>
      <c r="AM283" s="58">
        <f ca="1">BIDU_IS!AM117-'BIDU_BS + CFS'!AM225</f>
        <v>683.71873358248797</v>
      </c>
      <c r="AN283" s="212">
        <f ca="1">BIDU_IS!AN117-'BIDU_BS + CFS'!AN225</f>
        <v>670.43759471365638</v>
      </c>
      <c r="AO283" s="58">
        <f ca="1">AO134+AO251</f>
        <v>589.93290420803055</v>
      </c>
      <c r="AP283" s="58">
        <f t="shared" ref="AP283:AZ283" ca="1" si="1170">AP134+AP251</f>
        <v>708.43925467870599</v>
      </c>
      <c r="AQ283" s="58">
        <f t="shared" ca="1" si="1170"/>
        <v>770.29660761962259</v>
      </c>
      <c r="AR283" s="212">
        <f t="shared" ca="1" si="1170"/>
        <v>768.50315360568607</v>
      </c>
      <c r="AS283" s="58">
        <f t="shared" ca="1" si="1170"/>
        <v>705.3407605909224</v>
      </c>
      <c r="AT283" s="58">
        <f t="shared" ca="1" si="1170"/>
        <v>815.46230645838909</v>
      </c>
      <c r="AU283" s="58">
        <f t="shared" ca="1" si="1170"/>
        <v>889.63830911326136</v>
      </c>
      <c r="AV283" s="212">
        <f t="shared" ca="1" si="1170"/>
        <v>861.34012817978669</v>
      </c>
      <c r="AW283" s="58">
        <f t="shared" ca="1" si="1170"/>
        <v>847.74637203482644</v>
      </c>
      <c r="AX283" s="58">
        <f t="shared" ca="1" si="1170"/>
        <v>962.54421740454018</v>
      </c>
      <c r="AY283" s="58">
        <f t="shared" ca="1" si="1170"/>
        <v>1045.2622986390479</v>
      </c>
      <c r="AZ283" s="58">
        <f t="shared" ca="1" si="1170"/>
        <v>1040.5279702925191</v>
      </c>
    </row>
    <row r="284" spans="2:52">
      <c r="B284" s="3" t="s">
        <v>284</v>
      </c>
      <c r="F284" s="71">
        <f>F283/BIDU_IS!F$89</f>
        <v>2.518222285542901E-2</v>
      </c>
      <c r="G284" s="71">
        <f>G283/BIDU_IS!G$89</f>
        <v>3.2410455928860771E-2</v>
      </c>
      <c r="H284" s="71">
        <f>H283/BIDU_IS!H$89</f>
        <v>3.9089731816875514E-2</v>
      </c>
      <c r="I284" s="71">
        <f>I283/BIDU_IS!I$89</f>
        <v>3.6320347985072866E-2</v>
      </c>
      <c r="J284" s="71">
        <f>J283/BIDU_IS!J$89</f>
        <v>3.5295367758325216E-2</v>
      </c>
      <c r="K284" s="71">
        <f ca="1">K283/BIDU_IS!K$89</f>
        <v>2.8599696014217215E-2</v>
      </c>
      <c r="L284" s="71">
        <f ca="1">L283/BIDU_IS!L$89</f>
        <v>2.6946028919439383E-2</v>
      </c>
      <c r="M284" s="71">
        <f ca="1">M283/BIDU_IS!M$89</f>
        <v>2.5441750074840012E-2</v>
      </c>
      <c r="N284" s="71">
        <f ca="1">N283/BIDU_IS!N$89</f>
        <v>2.5179491147562839E-2</v>
      </c>
      <c r="Q284" s="71">
        <f ca="1">Q283/BIDU_IS!Q$89</f>
        <v>1.6702366078510125E-2</v>
      </c>
      <c r="R284" s="71">
        <f ca="1">R283/BIDU_IS!R$89</f>
        <v>1.9306028957618144E-2</v>
      </c>
      <c r="S284" s="71">
        <f ca="1">S283/BIDU_IS!S$89</f>
        <v>2.0388910954783582E-2</v>
      </c>
      <c r="T284" s="71">
        <f ca="1">T283/BIDU_IS!T$89</f>
        <v>2.0744999822349827E-2</v>
      </c>
      <c r="U284" s="71">
        <f ca="1">U283/BIDU_IS!U$89</f>
        <v>2.3021722463911522E-2</v>
      </c>
      <c r="V284" s="71">
        <f ca="1">V283/BIDU_IS!V$89</f>
        <v>2.681222990253539E-2</v>
      </c>
      <c r="W284" s="71">
        <f ca="1">W283/BIDU_IS!W$89</f>
        <v>2.911368645333259E-2</v>
      </c>
      <c r="X284" s="71">
        <f ca="1">X283/BIDU_IS!X$89</f>
        <v>3.0732639628414968E-2</v>
      </c>
      <c r="Y284" s="71">
        <f ca="1">Y283/BIDU_IS!Y$89</f>
        <v>3.4254762575063005E-2</v>
      </c>
      <c r="Z284" s="71">
        <f ca="1">Z283/BIDU_IS!Z$89</f>
        <v>3.7751041911499909E-2</v>
      </c>
      <c r="AA284" s="71">
        <f ca="1">AA283/BIDU_IS!AA$89</f>
        <v>3.5268708560265254E-2</v>
      </c>
      <c r="AB284" s="241">
        <f ca="1">AB283/BIDU_IS!AB$89</f>
        <v>3.402944269788153E-2</v>
      </c>
      <c r="AC284" s="71">
        <f>AC283/BIDU_IS!AC$89</f>
        <v>3.1683902809534314E-2</v>
      </c>
      <c r="AD284" s="71">
        <f>AD283/BIDU_IS!AD$89</f>
        <v>3.2645549222261344E-2</v>
      </c>
      <c r="AE284" s="71">
        <f>AE283/BIDU_IS!AE$89</f>
        <v>3.226242995709333E-2</v>
      </c>
      <c r="AF284" s="241">
        <f>AF283/BIDU_IS!AF$89</f>
        <v>3.3267104607362055E-2</v>
      </c>
      <c r="AG284" s="71">
        <f>AG283/BIDU_IS!AG$89</f>
        <v>3.092317522727242E-2</v>
      </c>
      <c r="AH284" s="71">
        <f>AH283/BIDU_IS!AH$89</f>
        <v>3.1646135372284272E-2</v>
      </c>
      <c r="AI284" s="71">
        <f>AI283/BIDU_IS!AI$89</f>
        <v>3.0989422311384664E-2</v>
      </c>
      <c r="AJ284" s="241">
        <f>AJ283/BIDU_IS!AJ$89</f>
        <v>3.1350258689640025E-2</v>
      </c>
      <c r="AK284" s="71">
        <f ca="1">AK283/BIDU_IS!AK$89</f>
        <v>2.8675321419139761E-2</v>
      </c>
      <c r="AL284" s="71">
        <f ca="1">AL283/BIDU_IS!AL$89</f>
        <v>2.8122019878546768E-2</v>
      </c>
      <c r="AM284" s="71">
        <f ca="1">AM283/BIDU_IS!AM$89</f>
        <v>2.9108039234641236E-2</v>
      </c>
      <c r="AN284" s="241">
        <f ca="1">AN283/BIDU_IS!AN$89</f>
        <v>2.8461436352252352E-2</v>
      </c>
      <c r="AO284" s="71">
        <f ca="1">AO283/BIDU_IS!AO$89</f>
        <v>2.6943566193970443E-2</v>
      </c>
      <c r="AP284" s="71">
        <f ca="1">AP283/BIDU_IS!AP$89</f>
        <v>2.7028403918763599E-2</v>
      </c>
      <c r="AQ284" s="71">
        <f ca="1">AQ283/BIDU_IS!AQ$89</f>
        <v>2.6909803569482856E-2</v>
      </c>
      <c r="AR284" s="241">
        <f ca="1">AR283/BIDU_IS!AR$89</f>
        <v>2.6908624954844682E-2</v>
      </c>
      <c r="AS284" s="71">
        <f ca="1">AS283/BIDU_IS!AS$89</f>
        <v>2.5427816431110951E-2</v>
      </c>
      <c r="AT284" s="71">
        <f ca="1">AT283/BIDU_IS!AT$89</f>
        <v>2.5491231480554353E-2</v>
      </c>
      <c r="AU284" s="71">
        <f ca="1">AU283/BIDU_IS!AU$89</f>
        <v>2.540675168063625E-2</v>
      </c>
      <c r="AV284" s="241">
        <f ca="1">AV283/BIDU_IS!AV$89</f>
        <v>2.5442609529929123E-2</v>
      </c>
      <c r="AW284" s="71">
        <f ca="1">AW283/BIDU_IS!AW$89</f>
        <v>2.5168535324883286E-2</v>
      </c>
      <c r="AX284" s="71">
        <f ca="1">AX283/BIDU_IS!AX$89</f>
        <v>2.5198174364063158E-2</v>
      </c>
      <c r="AY284" s="71">
        <f ca="1">AY283/BIDU_IS!AY$89</f>
        <v>2.515376143321026E-2</v>
      </c>
      <c r="AZ284" s="71">
        <f ca="1">AZ283/BIDU_IS!AZ$89</f>
        <v>2.5197036313914935E-2</v>
      </c>
    </row>
    <row r="285" spans="2:52">
      <c r="B285" s="11" t="s">
        <v>33</v>
      </c>
      <c r="F285" s="58">
        <f>BIDU_IS!F118</f>
        <v>2157.1329999999998</v>
      </c>
      <c r="G285" s="58">
        <f>BIDU_IS!G118</f>
        <v>3780.7850000000003</v>
      </c>
      <c r="H285" s="58">
        <f>BIDU_IS!H118</f>
        <v>6478.8850000000002</v>
      </c>
      <c r="I285" s="58">
        <f>BIDU_IS!I118</f>
        <v>9325.1740000000009</v>
      </c>
      <c r="J285" s="58">
        <f>BIDU_IS!J118</f>
        <v>8923.353000000001</v>
      </c>
      <c r="K285" s="58">
        <f ca="1">SUM(OFFSET($P285,0,K$1,1,4))</f>
        <v>10840.72</v>
      </c>
      <c r="L285" s="58">
        <f ca="1">SUM(OFFSET($P285,0,L$1,1,4))</f>
        <v>12820.271561826219</v>
      </c>
      <c r="M285" s="58">
        <f ca="1">SUM(OFFSET($P285,0,M$1,1,4))</f>
        <v>15485.821208605248</v>
      </c>
      <c r="N285" s="58">
        <f ca="1">SUM(OFFSET($P285,0,N$1,1,4))</f>
        <v>18082.178247759613</v>
      </c>
      <c r="Q285" s="58">
        <f>BIDU_IS!Q118</f>
        <v>422.84199999999998</v>
      </c>
      <c r="R285" s="58">
        <f>BIDU_IS!R118</f>
        <v>511.97799999999995</v>
      </c>
      <c r="S285" s="58">
        <f>BIDU_IS!S118</f>
        <v>578.51800000000003</v>
      </c>
      <c r="T285" s="58">
        <f>BIDU_IS!T118</f>
        <v>643.79700000000003</v>
      </c>
      <c r="U285" s="58">
        <f>BIDU_IS!U118</f>
        <v>733.68000000000006</v>
      </c>
      <c r="V285" s="58">
        <f>BIDU_IS!V118</f>
        <v>884.65899999999999</v>
      </c>
      <c r="W285" s="58">
        <f>BIDU_IS!W118</f>
        <v>1002.929</v>
      </c>
      <c r="X285" s="58">
        <f>BIDU_IS!X118</f>
        <v>1159.5160000000001</v>
      </c>
      <c r="Y285" s="58">
        <f>BIDU_IS!Y118</f>
        <v>1191.0320000000002</v>
      </c>
      <c r="Z285" s="58">
        <f>BIDU_IS!Z118</f>
        <v>1622.1559999999999</v>
      </c>
      <c r="AA285" s="58">
        <f>BIDU_IS!AA118</f>
        <v>1708.453</v>
      </c>
      <c r="AB285" s="212">
        <f>BIDU_IS!AB118</f>
        <v>1957.2449999999999</v>
      </c>
      <c r="AC285" s="58">
        <f>BIDU_IS!AC118</f>
        <v>2121.8240000000001</v>
      </c>
      <c r="AD285" s="58">
        <f>BIDU_IS!AD118</f>
        <v>2501.0889999999999</v>
      </c>
      <c r="AE285" s="58">
        <f>BIDU_IS!AE118</f>
        <v>2439.6109999999999</v>
      </c>
      <c r="AF285" s="212">
        <f>BIDU_IS!AF118</f>
        <v>2262.6489999999999</v>
      </c>
      <c r="AG285" s="58">
        <f>BIDU_IS!AG118</f>
        <v>1909.1019999999999</v>
      </c>
      <c r="AH285" s="58">
        <f>BIDU_IS!AH118</f>
        <v>2178.1860000000001</v>
      </c>
      <c r="AI285" s="58">
        <f>BIDU_IS!AI118</f>
        <v>2340.5279999999998</v>
      </c>
      <c r="AJ285" s="212">
        <f>BIDU_IS!AJ118</f>
        <v>2495.5370000000003</v>
      </c>
      <c r="AK285" s="58">
        <f>BIDU_IS!AK118</f>
        <v>2427.7199999999998</v>
      </c>
      <c r="AL285" s="58">
        <f>BIDU_IS!AL118</f>
        <v>2636</v>
      </c>
      <c r="AM285" s="58">
        <f>BIDU_IS!AM118</f>
        <v>2706</v>
      </c>
      <c r="AN285" s="212">
        <f>BIDU_IS!AN118</f>
        <v>3071</v>
      </c>
      <c r="AO285" s="58">
        <f ca="1">AO136+AO253</f>
        <v>2944.0820337390937</v>
      </c>
      <c r="AP285" s="58">
        <f t="shared" ref="AP285:AZ285" ca="1" si="1171">AP136+AP253</f>
        <v>2993.8772763098714</v>
      </c>
      <c r="AQ285" s="58">
        <f t="shared" ca="1" si="1171"/>
        <v>3321.1618791534565</v>
      </c>
      <c r="AR285" s="212">
        <f t="shared" ca="1" si="1171"/>
        <v>3561.150372623797</v>
      </c>
      <c r="AS285" s="58">
        <f t="shared" ca="1" si="1171"/>
        <v>3635.0308686251751</v>
      </c>
      <c r="AT285" s="58">
        <f t="shared" ca="1" si="1171"/>
        <v>3830.0964918247469</v>
      </c>
      <c r="AU285" s="58">
        <f t="shared" ca="1" si="1171"/>
        <v>3937.6031706113599</v>
      </c>
      <c r="AV285" s="212">
        <f t="shared" ca="1" si="1171"/>
        <v>4083.0906775439662</v>
      </c>
      <c r="AW285" s="58">
        <f t="shared" ca="1" si="1171"/>
        <v>4284.1495430523437</v>
      </c>
      <c r="AX285" s="58">
        <f t="shared" ca="1" si="1171"/>
        <v>4427.4144082419525</v>
      </c>
      <c r="AY285" s="58">
        <f t="shared" ca="1" si="1171"/>
        <v>4532.3690107583034</v>
      </c>
      <c r="AZ285" s="58">
        <f t="shared" ca="1" si="1171"/>
        <v>4838.245285707012</v>
      </c>
    </row>
    <row r="286" spans="2:52">
      <c r="B286" s="3" t="s">
        <v>284</v>
      </c>
      <c r="F286" s="71">
        <f>F285/BIDU_IS!F$89</f>
        <v>9.670628914357042E-2</v>
      </c>
      <c r="G286" s="71">
        <f>G285/BIDU_IS!G$89</f>
        <v>0.11835693698745341</v>
      </c>
      <c r="H286" s="71">
        <f>H285/BIDU_IS!H$89</f>
        <v>0.13208111796062319</v>
      </c>
      <c r="I286" s="71">
        <f>I285/BIDU_IS!I$89</f>
        <v>0.14047802219794547</v>
      </c>
      <c r="J286" s="71">
        <f>J285/BIDU_IS!J$89</f>
        <v>0.12648381918793769</v>
      </c>
      <c r="K286" s="71">
        <f ca="1">K285/BIDU_IS!K$89</f>
        <v>0.12782445726704816</v>
      </c>
      <c r="L286" s="71">
        <f ca="1">L285/BIDU_IS!L$89</f>
        <v>0.12176047768243559</v>
      </c>
      <c r="M286" s="71">
        <f ca="1">M285/BIDU_IS!M$89</f>
        <v>0.12041953057381329</v>
      </c>
      <c r="N286" s="71">
        <f ca="1">N285/BIDU_IS!N$89</f>
        <v>0.11686103642840998</v>
      </c>
      <c r="Q286" s="71">
        <f>Q285/BIDU_IS!Q$89</f>
        <v>9.917192165445865E-2</v>
      </c>
      <c r="R286" s="71">
        <f>R285/BIDU_IS!R$89</f>
        <v>9.3833619978036117E-2</v>
      </c>
      <c r="S286" s="71">
        <f>S285/BIDU_IS!S$89</f>
        <v>9.2552217984488191E-2</v>
      </c>
      <c r="T286" s="71">
        <f>T285/BIDU_IS!T$89</f>
        <v>0.1016198641715859</v>
      </c>
      <c r="U286" s="71">
        <f>U285/BIDU_IS!U$89</f>
        <v>0.12292457549905857</v>
      </c>
      <c r="V286" s="71">
        <f>V285/BIDU_IS!V$89</f>
        <v>0.11700577252584543</v>
      </c>
      <c r="W286" s="71">
        <f>W285/BIDU_IS!W$89</f>
        <v>0.1127943742325672</v>
      </c>
      <c r="X286" s="71">
        <f>X285/BIDU_IS!X$89</f>
        <v>0.12176064193802887</v>
      </c>
      <c r="Y286" s="71">
        <f>Y285/BIDU_IS!Y$89</f>
        <v>0.12541730935606946</v>
      </c>
      <c r="Z286" s="71">
        <f>Z285/BIDU_IS!Z$89</f>
        <v>0.13534002203610909</v>
      </c>
      <c r="AA286" s="71">
        <f>AA285/BIDU_IS!AA$89</f>
        <v>0.12636714745443631</v>
      </c>
      <c r="AB286" s="241">
        <f>AB285/BIDU_IS!AB$89</f>
        <v>0.13930342345309815</v>
      </c>
      <c r="AC286" s="71">
        <f>AC285/BIDU_IS!AC$89</f>
        <v>0.16674955063476965</v>
      </c>
      <c r="AD286" s="71">
        <f>AD285/BIDU_IS!AD$89</f>
        <v>0.15089309728161976</v>
      </c>
      <c r="AE286" s="71">
        <f>AE285/BIDU_IS!AE$89</f>
        <v>0.13270958225120152</v>
      </c>
      <c r="AF286" s="241">
        <f>AF285/BIDU_IS!AF$89</f>
        <v>0.12100507658408342</v>
      </c>
      <c r="AG286" s="71">
        <f>AG285/BIDU_IS!AG$89</f>
        <v>0.12067212234804152</v>
      </c>
      <c r="AH286" s="71">
        <f>AH285/BIDU_IS!AH$89</f>
        <v>0.11926346806508754</v>
      </c>
      <c r="AI286" s="71">
        <f>AI285/BIDU_IS!AI$89</f>
        <v>0.12822872421643214</v>
      </c>
      <c r="AJ286" s="241">
        <f>AJ285/BIDU_IS!AJ$89</f>
        <v>0.13702417338530895</v>
      </c>
      <c r="AK286" s="71">
        <f>AK285/BIDU_IS!AK$89</f>
        <v>0.1437304423684275</v>
      </c>
      <c r="AL286" s="71">
        <f>AL285/BIDU_IS!AL$89</f>
        <v>0.12628149851489892</v>
      </c>
      <c r="AM286" s="71">
        <f>AM285/BIDU_IS!AM$89</f>
        <v>0.11520286091361914</v>
      </c>
      <c r="AN286" s="241">
        <f>AN285/BIDU_IS!AN$89</f>
        <v>0.13037018169468501</v>
      </c>
      <c r="AO286" s="71">
        <f ca="1">AO285/BIDU_IS!AO$89</f>
        <v>0.13446286618478906</v>
      </c>
      <c r="AP286" s="71">
        <f ca="1">AP285/BIDU_IS!AP$89</f>
        <v>0.11422253040454405</v>
      </c>
      <c r="AQ286" s="71">
        <f ca="1">AQ285/BIDU_IS!AQ$89</f>
        <v>0.11602259818675775</v>
      </c>
      <c r="AR286" s="241">
        <f ca="1">AR285/BIDU_IS!AR$89</f>
        <v>0.12469130326289676</v>
      </c>
      <c r="AS286" s="71">
        <f ca="1">AS285/BIDU_IS!AS$89</f>
        <v>0.13104431618468457</v>
      </c>
      <c r="AT286" s="71">
        <f ca="1">AT285/BIDU_IS!AT$89</f>
        <v>0.11972825168338516</v>
      </c>
      <c r="AU286" s="71">
        <f ca="1">AU285/BIDU_IS!AU$89</f>
        <v>0.11245211109706418</v>
      </c>
      <c r="AV286" s="241">
        <f ca="1">AV285/BIDU_IS!AV$89</f>
        <v>0.12060796703339145</v>
      </c>
      <c r="AW286" s="71">
        <f ca="1">AW285/BIDU_IS!AW$89</f>
        <v>0.12719107113674075</v>
      </c>
      <c r="AX286" s="71">
        <f ca="1">AX285/BIDU_IS!AX$89</f>
        <v>0.11590403663913799</v>
      </c>
      <c r="AY286" s="71">
        <f ca="1">AY285/BIDU_IS!AY$89</f>
        <v>0.10906939719563957</v>
      </c>
      <c r="AZ286" s="71">
        <f ca="1">AZ285/BIDU_IS!AZ$89</f>
        <v>0.11716113899880602</v>
      </c>
    </row>
    <row r="287" spans="2:52">
      <c r="G287" s="10"/>
      <c r="H287" s="10"/>
      <c r="I287" s="10"/>
      <c r="J287" s="10"/>
    </row>
    <row r="288" spans="2:52">
      <c r="B288" s="6" t="s">
        <v>283</v>
      </c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254"/>
      <c r="AC288" s="6"/>
      <c r="AD288" s="6"/>
      <c r="AE288" s="6"/>
      <c r="AF288" s="254"/>
      <c r="AG288" s="6"/>
      <c r="AH288" s="6"/>
      <c r="AI288" s="6"/>
      <c r="AJ288" s="254"/>
      <c r="AK288" s="6"/>
      <c r="AL288" s="6"/>
      <c r="AM288" s="6"/>
      <c r="AN288" s="254"/>
      <c r="AO288" s="6"/>
      <c r="AP288" s="6"/>
      <c r="AQ288" s="6"/>
      <c r="AR288" s="254"/>
      <c r="AS288" s="6"/>
      <c r="AT288" s="6"/>
      <c r="AU288" s="6"/>
      <c r="AV288" s="254"/>
      <c r="AW288" s="6"/>
      <c r="AX288" s="6"/>
      <c r="AY288" s="6"/>
      <c r="AZ288" s="6"/>
    </row>
    <row r="289" spans="2:11">
      <c r="B289" s="1" t="s">
        <v>282</v>
      </c>
      <c r="E289" s="80">
        <v>16082</v>
      </c>
      <c r="F289" s="146">
        <v>20877</v>
      </c>
      <c r="G289" s="67">
        <v>31676</v>
      </c>
      <c r="H289" s="67">
        <v>46391</v>
      </c>
      <c r="I289" s="67">
        <v>41467</v>
      </c>
      <c r="J289" s="67">
        <v>45887</v>
      </c>
      <c r="K289" s="67">
        <v>39343</v>
      </c>
    </row>
    <row r="290" spans="2:11">
      <c r="B290" s="3" t="s">
        <v>270</v>
      </c>
      <c r="E290" s="145">
        <v>0.47717461192247645</v>
      </c>
      <c r="F290" s="4">
        <f t="shared" ref="F290:K290" si="1172">F289/E289-1</f>
        <v>0.29815943290635483</v>
      </c>
      <c r="G290" s="4">
        <f t="shared" si="1172"/>
        <v>0.51726780667720451</v>
      </c>
      <c r="H290" s="4">
        <f t="shared" si="1172"/>
        <v>0.46454729132466221</v>
      </c>
      <c r="I290" s="4">
        <f t="shared" si="1172"/>
        <v>-0.10614127740294454</v>
      </c>
      <c r="J290" s="4">
        <f t="shared" si="1172"/>
        <v>0.10659078303229075</v>
      </c>
      <c r="K290" s="4">
        <f t="shared" si="1172"/>
        <v>-0.14261119707106584</v>
      </c>
    </row>
    <row r="292" spans="2:11">
      <c r="B292" s="1" t="s">
        <v>281</v>
      </c>
      <c r="E292" s="80">
        <v>1256</v>
      </c>
      <c r="F292" s="146">
        <v>2037</v>
      </c>
      <c r="G292" s="67">
        <v>2779</v>
      </c>
      <c r="H292" s="67">
        <v>3463</v>
      </c>
      <c r="I292" s="67">
        <v>4120</v>
      </c>
      <c r="J292" s="67">
        <v>6442</v>
      </c>
      <c r="K292" s="67">
        <v>4341</v>
      </c>
    </row>
    <row r="293" spans="2:11">
      <c r="B293" s="3" t="s">
        <v>270</v>
      </c>
      <c r="E293" s="145">
        <v>0.57987421383647808</v>
      </c>
      <c r="F293" s="4">
        <f t="shared" ref="F293:K293" si="1173">F292/E292-1</f>
        <v>0.62181528662420371</v>
      </c>
      <c r="G293" s="4">
        <f t="shared" si="1173"/>
        <v>0.36426116838487976</v>
      </c>
      <c r="H293" s="4">
        <f t="shared" si="1173"/>
        <v>0.24613170205109758</v>
      </c>
      <c r="I293" s="4">
        <f t="shared" si="1173"/>
        <v>0.18971989604389261</v>
      </c>
      <c r="J293" s="4">
        <f t="shared" si="1173"/>
        <v>0.56359223300970873</v>
      </c>
      <c r="K293" s="4">
        <f t="shared" si="1173"/>
        <v>-0.32614095001552312</v>
      </c>
    </row>
    <row r="295" spans="2:11">
      <c r="B295" s="1" t="s">
        <v>40</v>
      </c>
      <c r="E295" s="80">
        <v>7593</v>
      </c>
      <c r="F295" s="146">
        <v>8508</v>
      </c>
      <c r="G295" s="67">
        <v>13168</v>
      </c>
      <c r="H295" s="67">
        <v>20915</v>
      </c>
      <c r="I295" s="67">
        <v>17098</v>
      </c>
      <c r="J295" s="67">
        <v>17289</v>
      </c>
      <c r="K295" s="67">
        <v>12392</v>
      </c>
    </row>
    <row r="296" spans="2:11">
      <c r="B296" s="3" t="s">
        <v>270</v>
      </c>
      <c r="E296" s="145">
        <v>0.28738555442522884</v>
      </c>
      <c r="F296" s="4">
        <f t="shared" ref="F296:K296" si="1174">F295/E295-1</f>
        <v>0.12050572896088507</v>
      </c>
      <c r="G296" s="4">
        <f t="shared" si="1174"/>
        <v>0.54771979313587216</v>
      </c>
      <c r="H296" s="4">
        <f t="shared" si="1174"/>
        <v>0.58832017010935611</v>
      </c>
      <c r="I296" s="4">
        <f t="shared" si="1174"/>
        <v>-0.18250059765718385</v>
      </c>
      <c r="J296" s="4">
        <f t="shared" si="1174"/>
        <v>1.1170897180956763E-2</v>
      </c>
      <c r="K296" s="4">
        <f t="shared" si="1174"/>
        <v>-0.28324368095320729</v>
      </c>
    </row>
    <row r="298" spans="2:11">
      <c r="B298" s="1" t="s">
        <v>280</v>
      </c>
      <c r="E298" s="80">
        <v>841</v>
      </c>
      <c r="F298" s="146">
        <v>1010</v>
      </c>
      <c r="G298" s="67">
        <v>1674</v>
      </c>
      <c r="H298" s="67">
        <v>2481</v>
      </c>
      <c r="I298" s="67">
        <v>2172</v>
      </c>
      <c r="J298" s="67">
        <v>2594</v>
      </c>
      <c r="K298" s="67">
        <v>2047</v>
      </c>
    </row>
    <row r="299" spans="2:11">
      <c r="B299" s="3" t="s">
        <v>270</v>
      </c>
      <c r="E299" s="145">
        <v>0.53187613843351556</v>
      </c>
      <c r="F299" s="4">
        <f t="shared" ref="F299:K299" si="1175">F298/E298-1</f>
        <v>0.20095124851367419</v>
      </c>
      <c r="G299" s="4">
        <f t="shared" si="1175"/>
        <v>0.65742574257425734</v>
      </c>
      <c r="H299" s="4">
        <f t="shared" si="1175"/>
        <v>0.48207885304659492</v>
      </c>
      <c r="I299" s="4">
        <f t="shared" si="1175"/>
        <v>-0.12454655380894797</v>
      </c>
      <c r="J299" s="4">
        <f t="shared" si="1175"/>
        <v>0.19429097605893175</v>
      </c>
      <c r="K299" s="4">
        <f t="shared" si="1175"/>
        <v>-0.21087124132613722</v>
      </c>
    </row>
    <row r="301" spans="2:11">
      <c r="B301" s="1" t="s">
        <v>279</v>
      </c>
      <c r="E301" s="80">
        <v>6392</v>
      </c>
      <c r="F301" s="146">
        <v>9322</v>
      </c>
      <c r="G301" s="67">
        <v>14055</v>
      </c>
      <c r="H301" s="67">
        <v>19532</v>
      </c>
      <c r="I301" s="67">
        <v>18077</v>
      </c>
      <c r="J301" s="67">
        <v>19562</v>
      </c>
      <c r="K301" s="67">
        <v>20563</v>
      </c>
    </row>
    <row r="302" spans="2:11">
      <c r="B302" s="3" t="s">
        <v>270</v>
      </c>
      <c r="E302" s="145">
        <v>0.75363511659807947</v>
      </c>
      <c r="F302" s="4">
        <f t="shared" ref="F302:K302" si="1176">F301/E301-1</f>
        <v>0.45838548185231542</v>
      </c>
      <c r="G302" s="4">
        <f t="shared" si="1176"/>
        <v>0.50772366444968897</v>
      </c>
      <c r="H302" s="4">
        <f t="shared" si="1176"/>
        <v>0.38968338669512637</v>
      </c>
      <c r="I302" s="4">
        <f t="shared" si="1176"/>
        <v>-7.4493139463444602E-2</v>
      </c>
      <c r="J302" s="4">
        <f t="shared" si="1176"/>
        <v>8.2148586601759055E-2</v>
      </c>
      <c r="K302" s="4">
        <f t="shared" si="1176"/>
        <v>5.1170636949187109E-2</v>
      </c>
    </row>
    <row r="304" spans="2:11">
      <c r="B304" s="1" t="s">
        <v>278</v>
      </c>
      <c r="C304" s="1" t="s">
        <v>274</v>
      </c>
      <c r="E304" s="58"/>
      <c r="F304" s="10">
        <f>+BIDU_IS!F82/Operating_Model!F295*1000</f>
        <v>2621.770803949224</v>
      </c>
      <c r="G304" s="10">
        <f>+BIDU_IS!G82/Operating_Model!G295*1000</f>
        <v>2425.8751518833537</v>
      </c>
      <c r="H304" s="10">
        <f>+BIDU_IS!H82/Operating_Model!H295*1000</f>
        <v>2345.3176189337796</v>
      </c>
      <c r="I304" s="10">
        <f>+BIDU_IS!I82/Operating_Model!I295*1000</f>
        <v>3882.4265411159204</v>
      </c>
      <c r="J304" s="10">
        <f>+BIDU_IS!J82/Operating_Model!J295*1000</f>
        <v>4080.5925154722659</v>
      </c>
      <c r="K304" s="10">
        <f ca="1">+BIDU_IS!K82/Operating_Model!K295*1000</f>
        <v>6843.8859748224659</v>
      </c>
    </row>
    <row r="305" spans="2:52">
      <c r="B305" s="3" t="s">
        <v>270</v>
      </c>
      <c r="E305" s="58"/>
      <c r="F305" s="4"/>
      <c r="G305" s="4">
        <f>+G304/F304-1</f>
        <v>-7.4718831932520158E-2</v>
      </c>
      <c r="H305" s="4">
        <f>+H304/G304-1</f>
        <v>-3.3207617006601686E-2</v>
      </c>
      <c r="I305" s="4">
        <f>+I304/H304-1</f>
        <v>0.65539477884489528</v>
      </c>
      <c r="J305" s="4">
        <f>+J304/I304-1</f>
        <v>5.104178334289533E-2</v>
      </c>
      <c r="K305" s="4">
        <f ca="1">+K304/J304-1</f>
        <v>0.67717946569590071</v>
      </c>
    </row>
    <row r="306" spans="2:52">
      <c r="B306" s="3"/>
      <c r="E306" s="58"/>
      <c r="G306" s="10"/>
      <c r="H306" s="10"/>
      <c r="I306" s="10"/>
      <c r="J306" s="10"/>
      <c r="K306" s="10"/>
    </row>
    <row r="307" spans="2:52">
      <c r="B307" s="1" t="s">
        <v>277</v>
      </c>
      <c r="C307" s="1" t="s">
        <v>274</v>
      </c>
      <c r="E307" s="58"/>
      <c r="F307" s="10">
        <f>+BIDU_IS!F116/Operating_Model!F295*100</f>
        <v>21.173679857181547</v>
      </c>
      <c r="G307" s="10">
        <f>+BIDU_IS!G116/Operating_Model!G295*100</f>
        <v>29.503044190485433</v>
      </c>
      <c r="H307" s="10">
        <f>+BIDU_IS!H116/Operating_Model!H295*100</f>
        <v>38.049294976733947</v>
      </c>
      <c r="I307" s="10">
        <f>+BIDU_IS!I116/Operating_Model!I295*100</f>
        <v>82.409395852551157</v>
      </c>
      <c r="J307" s="10">
        <f>+BIDU_IS!J116/Operating_Model!J295*100</f>
        <v>69.75357887965788</v>
      </c>
      <c r="K307" s="10">
        <f ca="1">+BIDU_IS!K116/Operating_Model!K295*100</f>
        <v>75.162467235817346</v>
      </c>
    </row>
    <row r="308" spans="2:52">
      <c r="B308" s="3" t="s">
        <v>270</v>
      </c>
      <c r="E308" s="58"/>
      <c r="F308" s="4"/>
      <c r="G308" s="4">
        <f>+G307/F307-1</f>
        <v>0.39338293529921242</v>
      </c>
      <c r="H308" s="4">
        <f>+H307/G307-1</f>
        <v>0.28967352423261561</v>
      </c>
      <c r="I308" s="4">
        <f>+I307/H307-1</f>
        <v>1.1658586815588077</v>
      </c>
      <c r="J308" s="4">
        <f>+J307/I307-1</f>
        <v>-0.15357250034373948</v>
      </c>
      <c r="K308" s="4">
        <f ca="1">+K307/J307-1</f>
        <v>7.7542807738813391E-2</v>
      </c>
    </row>
    <row r="309" spans="2:52">
      <c r="B309" s="3"/>
      <c r="E309" s="58"/>
      <c r="G309" s="10"/>
      <c r="H309" s="10"/>
      <c r="I309" s="10"/>
      <c r="J309" s="10"/>
      <c r="K309" s="10"/>
    </row>
    <row r="310" spans="2:52">
      <c r="B310" s="1" t="s">
        <v>276</v>
      </c>
      <c r="C310" s="1" t="s">
        <v>274</v>
      </c>
      <c r="E310" s="58"/>
      <c r="F310" s="10">
        <f>+BIDU_IS!F105/Operating_Model!F292*1000</f>
        <v>105.61266568483065</v>
      </c>
      <c r="G310" s="10">
        <f>+BIDU_IS!G105/Operating_Model!G292*1000</f>
        <v>309.35408420295073</v>
      </c>
      <c r="H310" s="10">
        <f>+BIDU_IS!H105/Operating_Model!H292*1000</f>
        <v>540.54461449610153</v>
      </c>
      <c r="I310" s="10">
        <f>+BIDU_IS!I105/Operating_Model!I292*1000</f>
        <v>908.99587378640774</v>
      </c>
      <c r="J310" s="10">
        <f>+BIDU_IS!J105/Operating_Model!J292*1000</f>
        <v>1220.674479975163</v>
      </c>
      <c r="K310" s="10">
        <f>+BIDU_IS!K105/Operating_Model!K292*1000</f>
        <v>3086.385625431928</v>
      </c>
    </row>
    <row r="311" spans="2:52">
      <c r="B311" s="3" t="s">
        <v>270</v>
      </c>
      <c r="E311" s="58"/>
      <c r="F311" s="4"/>
      <c r="G311" s="4">
        <f>+G310/F310-1</f>
        <v>1.9291381123370686</v>
      </c>
      <c r="H311" s="4">
        <f>+H310/G310-1</f>
        <v>0.74733304681854151</v>
      </c>
      <c r="I311" s="4">
        <f>+I310/H310-1</f>
        <v>0.68162969236827631</v>
      </c>
      <c r="J311" s="4">
        <f>+J310/I310-1</f>
        <v>0.34288231132498215</v>
      </c>
      <c r="K311" s="4">
        <f>+K310/J310-1</f>
        <v>1.5284264364195823</v>
      </c>
    </row>
    <row r="312" spans="2:52">
      <c r="E312" s="58"/>
      <c r="G312" s="10"/>
      <c r="H312" s="10"/>
      <c r="I312" s="10"/>
      <c r="J312" s="10"/>
      <c r="K312" s="10"/>
    </row>
    <row r="313" spans="2:52">
      <c r="B313" s="1" t="s">
        <v>275</v>
      </c>
      <c r="C313" s="1" t="s">
        <v>274</v>
      </c>
      <c r="E313" s="58"/>
      <c r="F313" s="10">
        <f>+BIDU_IS!F117/Operating_Model!F298*1000</f>
        <v>638.97853242672659</v>
      </c>
      <c r="G313" s="10">
        <f>+BIDU_IS!G117/Operating_Model!G298*1000</f>
        <v>671.36687036850526</v>
      </c>
      <c r="H313" s="10">
        <f>+BIDU_IS!H117/Operating_Model!H298*1000</f>
        <v>805.35266248129597</v>
      </c>
      <c r="I313" s="10">
        <f>+BIDU_IS!I117/Operating_Model!I298*1000</f>
        <v>1150.6742620307566</v>
      </c>
      <c r="J313" s="10">
        <f>+BIDU_IS!J117/Operating_Model!J298*1000</f>
        <v>995.24122879566301</v>
      </c>
      <c r="K313" s="10">
        <f ca="1">+BIDU_IS!K117/Operating_Model!K298*1000</f>
        <v>1388.1631949865728</v>
      </c>
    </row>
    <row r="314" spans="2:52">
      <c r="B314" s="3" t="s">
        <v>270</v>
      </c>
      <c r="E314" s="58"/>
      <c r="F314" s="4"/>
      <c r="G314" s="4">
        <f>+G313/F313-1</f>
        <v>5.0687677751509952E-2</v>
      </c>
      <c r="H314" s="4">
        <f>+H313/G313-1</f>
        <v>0.19957164707762165</v>
      </c>
      <c r="I314" s="4">
        <f>+I313/H313-1</f>
        <v>0.42878308551873778</v>
      </c>
      <c r="J314" s="4">
        <f>+J313/I313-1</f>
        <v>-0.1350799599538961</v>
      </c>
      <c r="K314" s="4">
        <f ca="1">+K313/J313-1</f>
        <v>0.39480073254841219</v>
      </c>
    </row>
    <row r="316" spans="2:52">
      <c r="B316" s="57" t="s">
        <v>414</v>
      </c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232"/>
      <c r="AC316" s="56"/>
      <c r="AD316" s="56"/>
      <c r="AE316" s="56"/>
      <c r="AF316" s="232"/>
      <c r="AG316" s="56"/>
      <c r="AH316" s="56"/>
      <c r="AI316" s="56"/>
      <c r="AJ316" s="232"/>
      <c r="AK316" s="56"/>
      <c r="AL316" s="56"/>
      <c r="AM316" s="56"/>
      <c r="AN316" s="232"/>
      <c r="AO316" s="56"/>
      <c r="AP316" s="56"/>
      <c r="AQ316" s="56"/>
      <c r="AR316" s="232"/>
      <c r="AS316" s="56"/>
      <c r="AT316" s="56"/>
      <c r="AU316" s="56"/>
      <c r="AV316" s="232"/>
      <c r="AW316" s="56"/>
      <c r="AX316" s="56"/>
      <c r="AY316" s="56"/>
      <c r="AZ316" s="56"/>
    </row>
    <row r="317" spans="2:52">
      <c r="B317" s="1" t="s">
        <v>415</v>
      </c>
      <c r="I317" s="67">
        <v>698</v>
      </c>
      <c r="J317" s="67">
        <v>909</v>
      </c>
      <c r="K317" s="67">
        <v>1239</v>
      </c>
    </row>
    <row r="318" spans="2:52">
      <c r="B318" s="3" t="s">
        <v>270</v>
      </c>
      <c r="J318" s="4">
        <f>+J317/I317-1</f>
        <v>0.30229226361031514</v>
      </c>
      <c r="K318" s="4">
        <f>+K317/J317-1</f>
        <v>0.36303630363036299</v>
      </c>
    </row>
    <row r="319" spans="2:52">
      <c r="B319" s="3"/>
    </row>
    <row r="320" spans="2:52">
      <c r="B320" s="1" t="s">
        <v>417</v>
      </c>
      <c r="I320" s="67">
        <v>222</v>
      </c>
      <c r="J320" s="67">
        <v>255</v>
      </c>
      <c r="K320" s="67">
        <v>344</v>
      </c>
    </row>
    <row r="321" spans="2:11">
      <c r="B321" s="3" t="s">
        <v>270</v>
      </c>
      <c r="J321" s="4">
        <f>+J320/I320-1</f>
        <v>0.14864864864864868</v>
      </c>
      <c r="K321" s="4">
        <f>+K320/J320-1</f>
        <v>0.34901960784313735</v>
      </c>
    </row>
    <row r="323" spans="2:11">
      <c r="B323" s="1" t="s">
        <v>33</v>
      </c>
      <c r="I323" s="67">
        <v>1345</v>
      </c>
      <c r="J323" s="67">
        <v>1998</v>
      </c>
      <c r="K323" s="67">
        <v>2608</v>
      </c>
    </row>
    <row r="324" spans="2:11">
      <c r="B324" s="3" t="s">
        <v>270</v>
      </c>
      <c r="J324" s="4">
        <f>+J323/I323-1</f>
        <v>0.48550185873605955</v>
      </c>
      <c r="K324" s="4">
        <f>+K323/J323-1</f>
        <v>0.3053053053053052</v>
      </c>
    </row>
    <row r="326" spans="2:11">
      <c r="B326" s="1" t="s">
        <v>450</v>
      </c>
      <c r="I326" s="67"/>
      <c r="J326" s="67"/>
      <c r="K326" s="67">
        <v>1823</v>
      </c>
    </row>
    <row r="327" spans="2:11">
      <c r="B327" s="3" t="s">
        <v>270</v>
      </c>
    </row>
    <row r="348" spans="23:36">
      <c r="AC348" s="10"/>
      <c r="AD348" s="10"/>
      <c r="AE348" s="10"/>
      <c r="AF348" s="255"/>
      <c r="AG348" s="10"/>
      <c r="AH348" s="10"/>
      <c r="AI348" s="10"/>
      <c r="AJ348" s="255"/>
    </row>
    <row r="349" spans="23:36">
      <c r="W349" s="10"/>
    </row>
  </sheetData>
  <pageMargins left="0.75" right="0.75" top="1" bottom="1" header="0.5" footer="0.5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K41"/>
  <sheetViews>
    <sheetView zoomScaleNormal="100" workbookViewId="0"/>
  </sheetViews>
  <sheetFormatPr defaultColWidth="12.6640625" defaultRowHeight="11.25" outlineLevelCol="1"/>
  <cols>
    <col min="1" max="1" width="12.6640625" style="1"/>
    <col min="2" max="2" width="59.83203125" style="1" customWidth="1"/>
    <col min="3" max="4" width="12.6640625" style="1" customWidth="1"/>
    <col min="5" max="19" width="13.1640625" style="1" hidden="1" customWidth="1" outlineLevel="1"/>
    <col min="20" max="20" width="13.1640625" style="1" customWidth="1" collapsed="1"/>
    <col min="21" max="63" width="13.1640625" style="1" customWidth="1"/>
    <col min="64" max="16384" width="12.6640625" style="1"/>
  </cols>
  <sheetData>
    <row r="1" spans="1:63">
      <c r="D1" s="48"/>
      <c r="E1" s="48"/>
      <c r="F1" s="48"/>
      <c r="G1" s="49"/>
      <c r="H1" s="49"/>
      <c r="I1" s="49"/>
      <c r="J1" s="49"/>
      <c r="K1" s="49"/>
      <c r="L1" s="49"/>
      <c r="M1" s="49"/>
    </row>
    <row r="2" spans="1:63">
      <c r="A2" s="47"/>
      <c r="B2" s="19"/>
      <c r="D2" s="48"/>
      <c r="F2" s="48"/>
      <c r="G2" s="48"/>
      <c r="H2" s="48"/>
      <c r="I2" s="48"/>
      <c r="J2" s="48"/>
      <c r="K2" s="48"/>
      <c r="L2" s="48"/>
      <c r="M2" s="48"/>
    </row>
    <row r="3" spans="1:63">
      <c r="A3" s="47"/>
      <c r="B3" s="18"/>
    </row>
    <row r="4" spans="1:63">
      <c r="C4" s="8" t="s">
        <v>376</v>
      </c>
      <c r="E4" s="46">
        <v>2011</v>
      </c>
      <c r="F4" s="46">
        <f t="shared" ref="F4:M4" si="0">+E4+1</f>
        <v>2012</v>
      </c>
      <c r="G4" s="46">
        <f t="shared" si="0"/>
        <v>2013</v>
      </c>
      <c r="H4" s="46">
        <f t="shared" si="0"/>
        <v>2014</v>
      </c>
      <c r="I4" s="46">
        <f t="shared" si="0"/>
        <v>2015</v>
      </c>
      <c r="J4" s="46">
        <f t="shared" si="0"/>
        <v>2016</v>
      </c>
      <c r="K4" s="45">
        <f t="shared" si="0"/>
        <v>2017</v>
      </c>
      <c r="L4" s="45">
        <f t="shared" si="0"/>
        <v>2018</v>
      </c>
      <c r="M4" s="45">
        <f t="shared" si="0"/>
        <v>2019</v>
      </c>
      <c r="P4" s="16">
        <v>12</v>
      </c>
      <c r="Q4" s="15">
        <f>P4</f>
        <v>12</v>
      </c>
      <c r="R4" s="14">
        <f>Q4</f>
        <v>12</v>
      </c>
      <c r="S4" s="17">
        <f>R4</f>
        <v>12</v>
      </c>
      <c r="T4" s="16">
        <f t="shared" ref="T4:AU4" si="1">P4+1</f>
        <v>13</v>
      </c>
      <c r="U4" s="15">
        <f t="shared" si="1"/>
        <v>13</v>
      </c>
      <c r="V4" s="14">
        <f t="shared" si="1"/>
        <v>13</v>
      </c>
      <c r="W4" s="17">
        <f t="shared" si="1"/>
        <v>13</v>
      </c>
      <c r="X4" s="16">
        <f t="shared" si="1"/>
        <v>14</v>
      </c>
      <c r="Y4" s="15">
        <f t="shared" si="1"/>
        <v>14</v>
      </c>
      <c r="Z4" s="14">
        <f t="shared" si="1"/>
        <v>14</v>
      </c>
      <c r="AA4" s="17">
        <f t="shared" si="1"/>
        <v>14</v>
      </c>
      <c r="AB4" s="16">
        <f t="shared" si="1"/>
        <v>15</v>
      </c>
      <c r="AC4" s="15">
        <f t="shared" si="1"/>
        <v>15</v>
      </c>
      <c r="AD4" s="14">
        <f t="shared" si="1"/>
        <v>15</v>
      </c>
      <c r="AE4" s="17">
        <f t="shared" si="1"/>
        <v>15</v>
      </c>
      <c r="AF4" s="16">
        <f t="shared" si="1"/>
        <v>16</v>
      </c>
      <c r="AG4" s="15">
        <f t="shared" si="1"/>
        <v>16</v>
      </c>
      <c r="AH4" s="14">
        <f t="shared" si="1"/>
        <v>16</v>
      </c>
      <c r="AI4" s="17">
        <f t="shared" si="1"/>
        <v>16</v>
      </c>
      <c r="AJ4" s="16">
        <f t="shared" si="1"/>
        <v>17</v>
      </c>
      <c r="AK4" s="15">
        <f t="shared" si="1"/>
        <v>17</v>
      </c>
      <c r="AL4" s="14">
        <f t="shared" si="1"/>
        <v>17</v>
      </c>
      <c r="AM4" s="41">
        <f t="shared" si="1"/>
        <v>17</v>
      </c>
      <c r="AN4" s="44">
        <f t="shared" si="1"/>
        <v>18</v>
      </c>
      <c r="AO4" s="43">
        <f t="shared" si="1"/>
        <v>18</v>
      </c>
      <c r="AP4" s="42">
        <f t="shared" si="1"/>
        <v>18</v>
      </c>
      <c r="AQ4" s="41">
        <f t="shared" si="1"/>
        <v>18</v>
      </c>
      <c r="AR4" s="44">
        <f t="shared" si="1"/>
        <v>19</v>
      </c>
      <c r="AS4" s="43">
        <f t="shared" si="1"/>
        <v>19</v>
      </c>
      <c r="AT4" s="42">
        <f t="shared" si="1"/>
        <v>19</v>
      </c>
      <c r="AU4" s="41">
        <f t="shared" si="1"/>
        <v>19</v>
      </c>
      <c r="AV4" s="44">
        <f t="shared" ref="AV4" si="2">AR4+1</f>
        <v>20</v>
      </c>
      <c r="AW4" s="43">
        <f t="shared" ref="AW4" si="3">AS4+1</f>
        <v>20</v>
      </c>
      <c r="AX4" s="42">
        <f t="shared" ref="AX4" si="4">AT4+1</f>
        <v>20</v>
      </c>
      <c r="AY4" s="41">
        <f t="shared" ref="AY4" si="5">AU4+1</f>
        <v>20</v>
      </c>
      <c r="AZ4" s="44"/>
      <c r="BA4" s="43"/>
      <c r="BB4" s="42"/>
      <c r="BC4" s="41"/>
      <c r="BD4" s="44"/>
      <c r="BE4" s="43"/>
      <c r="BF4" s="42"/>
      <c r="BG4" s="41"/>
      <c r="BH4" s="44"/>
      <c r="BI4" s="43"/>
      <c r="BJ4" s="42"/>
      <c r="BK4" s="41"/>
    </row>
    <row r="5" spans="1:63">
      <c r="B5" s="6" t="s">
        <v>25</v>
      </c>
      <c r="C5" s="6"/>
      <c r="D5" s="6"/>
      <c r="E5" s="105"/>
      <c r="F5" s="105"/>
      <c r="G5" s="105"/>
      <c r="H5" s="105"/>
      <c r="I5" s="105"/>
      <c r="J5" s="105"/>
      <c r="K5" s="104"/>
      <c r="L5" s="104"/>
      <c r="M5" s="104"/>
      <c r="N5" s="6"/>
      <c r="O5" s="6"/>
      <c r="P5" s="103"/>
      <c r="Q5" s="102"/>
      <c r="R5" s="101"/>
      <c r="S5" s="100"/>
      <c r="T5" s="103"/>
      <c r="U5" s="102"/>
      <c r="V5" s="101"/>
      <c r="W5" s="100"/>
      <c r="X5" s="103"/>
      <c r="Y5" s="102"/>
      <c r="Z5" s="101"/>
      <c r="AA5" s="100"/>
      <c r="AB5" s="103"/>
      <c r="AC5" s="102"/>
      <c r="AD5" s="101"/>
      <c r="AE5" s="100"/>
      <c r="AF5" s="103"/>
      <c r="AG5" s="102"/>
      <c r="AH5" s="101"/>
      <c r="AI5" s="100"/>
      <c r="AJ5" s="99"/>
      <c r="AK5" s="98"/>
      <c r="AL5" s="97"/>
      <c r="AM5" s="96"/>
      <c r="AN5" s="99"/>
      <c r="AO5" s="98"/>
      <c r="AP5" s="97"/>
      <c r="AQ5" s="96"/>
      <c r="AR5" s="99"/>
      <c r="AS5" s="98"/>
      <c r="AT5" s="97"/>
      <c r="AU5" s="96"/>
      <c r="AV5" s="96"/>
      <c r="AW5" s="96"/>
      <c r="AX5" s="96"/>
      <c r="AY5" s="96"/>
      <c r="AZ5" s="44"/>
      <c r="BA5" s="43"/>
      <c r="BB5" s="42"/>
      <c r="BC5" s="41"/>
      <c r="BD5" s="44"/>
      <c r="BE5" s="43"/>
      <c r="BF5" s="42"/>
      <c r="BG5" s="41"/>
      <c r="BH5" s="44"/>
      <c r="BI5" s="43"/>
      <c r="BJ5" s="42"/>
      <c r="BK5" s="41"/>
    </row>
    <row r="6" spans="1:63">
      <c r="B6" s="1" t="s">
        <v>18</v>
      </c>
      <c r="E6" s="10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44"/>
      <c r="BA6" s="43"/>
      <c r="BB6" s="42"/>
      <c r="BC6" s="41"/>
      <c r="BD6" s="44"/>
      <c r="BE6" s="43"/>
      <c r="BF6" s="42"/>
      <c r="BG6" s="41"/>
      <c r="BH6" s="44"/>
      <c r="BI6" s="43"/>
      <c r="BJ6" s="42"/>
      <c r="BK6" s="41"/>
    </row>
    <row r="7" spans="1:63">
      <c r="B7" s="3" t="s">
        <v>375</v>
      </c>
      <c r="E7" s="10"/>
      <c r="F7" s="10"/>
      <c r="G7" s="10"/>
      <c r="H7" s="10"/>
      <c r="I7" s="10"/>
      <c r="J7" s="10"/>
      <c r="K7" s="10"/>
      <c r="L7" s="10"/>
      <c r="M7" s="10"/>
      <c r="T7" s="4">
        <f>Operating_Model!U9</f>
        <v>0.27725856697819307</v>
      </c>
      <c r="U7" s="4">
        <f>Operating_Model!V9</f>
        <v>0.32954545454545459</v>
      </c>
      <c r="V7" s="4">
        <f>Operating_Model!W9</f>
        <v>0.18974358974358974</v>
      </c>
      <c r="W7" s="4">
        <f>Operating_Model!X9</f>
        <v>0.11083743842364524</v>
      </c>
      <c r="X7" s="4">
        <f>Operating_Model!Y9</f>
        <v>8.7804878048780566E-2</v>
      </c>
      <c r="Y7" s="4">
        <f>Operating_Model!Z9</f>
        <v>4.2735042735042805E-2</v>
      </c>
      <c r="Z7" s="4">
        <f>Operating_Model!AA9</f>
        <v>0.11206896551724133</v>
      </c>
      <c r="AA7" s="4">
        <f>Operating_Model!AB9</f>
        <v>0.15964523281596454</v>
      </c>
      <c r="AB7" s="4">
        <f>Operating_Model!AC9</f>
        <v>0.17488789237668168</v>
      </c>
      <c r="AC7" s="4">
        <f>Operating_Model!AD9</f>
        <v>0.20901639344262302</v>
      </c>
      <c r="AD7" s="4">
        <f>Operating_Model!AE9</f>
        <v>0.20736434108527124</v>
      </c>
      <c r="AE7" s="4">
        <f>Operating_Model!AF9</f>
        <v>6.118546845124273E-2</v>
      </c>
      <c r="AF7" s="4">
        <f>Operating_Model!AG9</f>
        <v>0.12022900763358768</v>
      </c>
      <c r="AG7" s="4">
        <f>Operating_Model!AH9</f>
        <v>6.7796610169490457E-3</v>
      </c>
      <c r="AH7" s="4">
        <f>Operating_Model!AI9</f>
        <v>-0.158908507223114</v>
      </c>
      <c r="AI7" s="4">
        <f>Operating_Model!AJ9</f>
        <v>-0.18558558558558558</v>
      </c>
      <c r="AJ7" s="4">
        <f>Operating_Model!AK9</f>
        <v>-0.23168654173764902</v>
      </c>
      <c r="AK7" s="4">
        <f>Operating_Model!AL9</f>
        <v>-0.2087542087542088</v>
      </c>
      <c r="AL7" s="4">
        <f>Operating_Model!AM9</f>
        <v>-7.2519083969465603E-2</v>
      </c>
      <c r="AM7" s="4">
        <f>Operating_Model!AN9</f>
        <v>1.7699115044247815E-2</v>
      </c>
      <c r="AN7" s="66">
        <v>0.03</v>
      </c>
      <c r="AO7" s="66">
        <v>0.06</v>
      </c>
      <c r="AP7" s="66">
        <v>0.06</v>
      </c>
      <c r="AQ7" s="66">
        <v>0.06</v>
      </c>
      <c r="AR7" s="66">
        <v>0.03</v>
      </c>
      <c r="AS7" s="66">
        <v>3.5000000000000003E-2</v>
      </c>
      <c r="AT7" s="66">
        <v>3.5000000000000003E-2</v>
      </c>
      <c r="AU7" s="66">
        <v>3.5000000000000003E-2</v>
      </c>
      <c r="AV7" s="66">
        <v>3.5000000000000003E-2</v>
      </c>
      <c r="AW7" s="66">
        <v>3.5000000000000003E-2</v>
      </c>
      <c r="AX7" s="66">
        <v>3.5000000000000003E-2</v>
      </c>
      <c r="AY7" s="66">
        <v>3.5000000000000003E-2</v>
      </c>
      <c r="AZ7" s="44"/>
      <c r="BA7" s="43"/>
      <c r="BB7" s="42"/>
      <c r="BC7" s="41"/>
      <c r="BD7" s="44"/>
      <c r="BE7" s="43"/>
      <c r="BF7" s="42"/>
      <c r="BG7" s="41"/>
      <c r="BH7" s="44"/>
      <c r="BI7" s="43"/>
      <c r="BJ7" s="42"/>
      <c r="BK7" s="41"/>
    </row>
    <row r="8" spans="1:63">
      <c r="B8" s="3" t="s">
        <v>374</v>
      </c>
      <c r="E8" s="10"/>
      <c r="F8" s="10"/>
      <c r="G8" s="10"/>
      <c r="H8" s="10"/>
      <c r="I8" s="10"/>
      <c r="J8" s="10"/>
      <c r="K8" s="10"/>
      <c r="L8" s="10"/>
      <c r="M8" s="10"/>
      <c r="X8" s="109">
        <f>Operating_Model!Y28</f>
        <v>0</v>
      </c>
      <c r="Y8" s="109">
        <f>Operating_Model!Z28</f>
        <v>0</v>
      </c>
      <c r="Z8" s="109">
        <f>Operating_Model!AA28</f>
        <v>0</v>
      </c>
      <c r="AA8" s="109">
        <f>Operating_Model!AB28</f>
        <v>0</v>
      </c>
      <c r="AB8" s="109">
        <f>Operating_Model!AC28</f>
        <v>0</v>
      </c>
      <c r="AC8" s="109">
        <f>Operating_Model!AD28</f>
        <v>0</v>
      </c>
      <c r="AD8" s="109">
        <f>Operating_Model!AE28</f>
        <v>0</v>
      </c>
      <c r="AE8" s="109">
        <f>Operating_Model!AF28</f>
        <v>0</v>
      </c>
      <c r="AF8" s="109">
        <f>Operating_Model!AG28</f>
        <v>0</v>
      </c>
      <c r="AG8" s="109">
        <f>Operating_Model!AH28</f>
        <v>0</v>
      </c>
      <c r="AH8" s="109">
        <f>Operating_Model!AI28</f>
        <v>0</v>
      </c>
      <c r="AI8" s="109">
        <f>Operating_Model!AJ28</f>
        <v>0</v>
      </c>
      <c r="AJ8" s="109">
        <f>Operating_Model!AK28</f>
        <v>0</v>
      </c>
      <c r="AK8" s="109">
        <f>Operating_Model!AL28</f>
        <v>0</v>
      </c>
      <c r="AL8" s="109">
        <f>Operating_Model!AM28</f>
        <v>0</v>
      </c>
      <c r="AM8" s="109">
        <f>Operating_Model!AN28</f>
        <v>0</v>
      </c>
      <c r="AN8" s="66">
        <v>0</v>
      </c>
      <c r="AO8" s="66">
        <v>0</v>
      </c>
      <c r="AP8" s="66">
        <v>0</v>
      </c>
      <c r="AQ8" s="66">
        <v>0</v>
      </c>
      <c r="AR8" s="66">
        <v>2.5000000000000001E-2</v>
      </c>
      <c r="AS8" s="66">
        <v>2.5000000000000001E-2</v>
      </c>
      <c r="AT8" s="66">
        <v>2.5000000000000001E-2</v>
      </c>
      <c r="AU8" s="66">
        <v>2.5000000000000001E-2</v>
      </c>
      <c r="AV8" s="66">
        <v>3.5000000000000003E-2</v>
      </c>
      <c r="AW8" s="66">
        <v>3.5000000000000003E-2</v>
      </c>
      <c r="AX8" s="66">
        <v>3.5000000000000003E-2</v>
      </c>
      <c r="AY8" s="66">
        <v>3.5000000000000003E-2</v>
      </c>
      <c r="AZ8" s="44"/>
      <c r="BA8" s="43"/>
      <c r="BB8" s="42"/>
      <c r="BC8" s="41"/>
      <c r="BD8" s="44"/>
      <c r="BE8" s="43"/>
      <c r="BF8" s="42"/>
      <c r="BG8" s="41"/>
      <c r="BH8" s="44"/>
      <c r="BI8" s="43"/>
      <c r="BJ8" s="42"/>
      <c r="BK8" s="41"/>
    </row>
    <row r="9" spans="1:63">
      <c r="B9" s="3" t="s">
        <v>373</v>
      </c>
      <c r="E9" s="10"/>
      <c r="F9" s="67"/>
      <c r="G9" s="67"/>
      <c r="H9" s="67"/>
      <c r="I9" s="67"/>
      <c r="J9" s="67"/>
      <c r="K9" s="58"/>
      <c r="L9" s="58"/>
      <c r="M9" s="58"/>
      <c r="N9" s="58"/>
      <c r="O9" s="58"/>
      <c r="P9" s="67"/>
      <c r="Q9" s="67"/>
      <c r="R9" s="67"/>
      <c r="S9" s="67"/>
      <c r="U9" s="67"/>
      <c r="V9" s="67"/>
      <c r="W9" s="67"/>
      <c r="X9" s="67"/>
      <c r="Y9" s="67"/>
      <c r="Z9" s="67"/>
      <c r="AA9" s="67"/>
      <c r="AB9" s="4"/>
      <c r="AC9" s="67"/>
      <c r="AD9" s="67"/>
      <c r="AE9" s="67"/>
      <c r="AF9" s="4">
        <f ca="1">Operating_Model!AG70</f>
        <v>0.32364095298081197</v>
      </c>
      <c r="AG9" s="4">
        <f ca="1">Operating_Model!AH70</f>
        <v>0.20632048724697039</v>
      </c>
      <c r="AH9" s="4">
        <f ca="1">Operating_Model!AI70</f>
        <v>-0.13301966599553439</v>
      </c>
      <c r="AI9" s="4">
        <f ca="1">Operating_Model!AJ70</f>
        <v>-0.24442502707100189</v>
      </c>
      <c r="AJ9" s="4">
        <f ca="1">Operating_Model!AK70</f>
        <v>-0.29738949232970602</v>
      </c>
      <c r="AK9" s="4">
        <f ca="1">Operating_Model!AL70</f>
        <v>-9.1949351171514149E-2</v>
      </c>
      <c r="AL9" s="4">
        <f ca="1">Operating_Model!AM70</f>
        <v>-5.0495191679795104E-2</v>
      </c>
      <c r="AM9" s="4">
        <f ca="1">Operating_Model!AN70</f>
        <v>1.1301143647092893E-2</v>
      </c>
      <c r="AN9" s="66">
        <v>0.06</v>
      </c>
      <c r="AO9" s="66">
        <v>-0.02</v>
      </c>
      <c r="AP9" s="66">
        <v>-0.03</v>
      </c>
      <c r="AQ9" s="66">
        <v>-0.03</v>
      </c>
      <c r="AR9" s="66">
        <v>-0.02</v>
      </c>
      <c r="AS9" s="66">
        <v>-0.02</v>
      </c>
      <c r="AT9" s="66">
        <v>-0.02</v>
      </c>
      <c r="AU9" s="66">
        <v>-0.02</v>
      </c>
      <c r="AV9" s="66">
        <v>-0.02</v>
      </c>
      <c r="AW9" s="66">
        <v>-0.02</v>
      </c>
      <c r="AX9" s="66">
        <v>-0.02</v>
      </c>
      <c r="AY9" s="66">
        <v>-0.02</v>
      </c>
      <c r="AZ9" s="44"/>
      <c r="BA9" s="43"/>
      <c r="BB9" s="42"/>
      <c r="BC9" s="41"/>
      <c r="BD9" s="44"/>
      <c r="BE9" s="43"/>
      <c r="BF9" s="42"/>
      <c r="BG9" s="41"/>
      <c r="BH9" s="44"/>
      <c r="BI9" s="43"/>
      <c r="BJ9" s="42"/>
      <c r="BK9" s="41"/>
    </row>
    <row r="10" spans="1:63">
      <c r="B10" s="3" t="s">
        <v>75</v>
      </c>
      <c r="E10" s="10"/>
      <c r="F10" s="67"/>
      <c r="G10" s="67"/>
      <c r="H10" s="67"/>
      <c r="I10" s="67"/>
      <c r="J10" s="67"/>
      <c r="K10" s="58"/>
      <c r="L10" s="58"/>
      <c r="M10" s="58"/>
      <c r="N10" s="58"/>
      <c r="O10" s="58"/>
      <c r="P10" s="67"/>
      <c r="Q10" s="67"/>
      <c r="R10" s="67"/>
      <c r="S10" s="67"/>
      <c r="T10" s="4">
        <f ca="1">BIDU_IS!U303</f>
        <v>0.46083418979785512</v>
      </c>
      <c r="U10" s="4">
        <f ca="1">BIDU_IS!V303</f>
        <v>0.48969540687322488</v>
      </c>
      <c r="V10" s="4">
        <f ca="1">BIDU_IS!W303</f>
        <v>0.5120900768240082</v>
      </c>
      <c r="W10" s="4">
        <f ca="1">BIDU_IS!X303</f>
        <v>0.45092357398149663</v>
      </c>
      <c r="X10" s="4">
        <f ca="1">BIDU_IS!Y303</f>
        <v>0.42118614299878426</v>
      </c>
      <c r="Y10" s="4">
        <f ca="1">BIDU_IS!Z303</f>
        <v>0.49261367252361793</v>
      </c>
      <c r="Z10" s="4">
        <f ca="1">BIDU_IS!AA303</f>
        <v>0.50059339175783713</v>
      </c>
      <c r="AA10" s="4">
        <f ca="1">BIDU_IS!AB303</f>
        <v>0.45357134098712348</v>
      </c>
      <c r="AB10" s="4">
        <f>BIDU_IS!AC303</f>
        <v>0.442735728095971</v>
      </c>
      <c r="AC10" s="4">
        <f>BIDU_IS!AD303</f>
        <v>0.52073864836892003</v>
      </c>
      <c r="AD10" s="4">
        <f>BIDU_IS!AE303</f>
        <v>0.51841268353412284</v>
      </c>
      <c r="AE10" s="4">
        <f>BIDU_IS!AF303</f>
        <v>0.50128837748671529</v>
      </c>
      <c r="AF10" s="4">
        <f>BIDU_IS!AG303</f>
        <v>0.50995036574772323</v>
      </c>
      <c r="AG10" s="4">
        <f>BIDU_IS!AH303</f>
        <v>0.48589728273343868</v>
      </c>
      <c r="AH10" s="4">
        <f ca="1">BIDU_IS!AI303</f>
        <v>0.47447269741955694</v>
      </c>
      <c r="AI10" s="4">
        <f ca="1">BIDU_IS!AJ303</f>
        <v>0.49221037102582132</v>
      </c>
      <c r="AJ10" s="4">
        <f>BIDU_IS!AK303</f>
        <v>0.4378400464713908</v>
      </c>
      <c r="AK10" s="4">
        <f ca="1">BIDU_IS!AL303</f>
        <v>0.51366712827089245</v>
      </c>
      <c r="AL10" s="4">
        <f>BIDU_IS!AM303</f>
        <v>0.5</v>
      </c>
      <c r="AM10" s="4">
        <f>BIDU_IS!AN303</f>
        <v>0.47</v>
      </c>
      <c r="AN10" s="66">
        <v>0.42499999999999999</v>
      </c>
      <c r="AO10" s="66">
        <v>0.46500000000000002</v>
      </c>
      <c r="AP10" s="66">
        <v>0.47</v>
      </c>
      <c r="AQ10" s="66">
        <v>0.46</v>
      </c>
      <c r="AR10" s="66">
        <f>+AN10*1.07</f>
        <v>0.45474999999999999</v>
      </c>
      <c r="AS10" s="66">
        <f t="shared" ref="AS10:AU10" si="6">+AO10*1.05</f>
        <v>0.48825000000000007</v>
      </c>
      <c r="AT10" s="66">
        <f t="shared" si="6"/>
        <v>0.49349999999999999</v>
      </c>
      <c r="AU10" s="66">
        <f t="shared" si="6"/>
        <v>0.48300000000000004</v>
      </c>
      <c r="AV10" s="66">
        <f t="shared" ref="AV10" si="7">+AR10*1.02</f>
        <v>0.46384500000000001</v>
      </c>
      <c r="AW10" s="66">
        <f t="shared" ref="AW10" si="8">+AS10*1.02</f>
        <v>0.4980150000000001</v>
      </c>
      <c r="AX10" s="66">
        <f t="shared" ref="AX10" si="9">+AT10*1.02</f>
        <v>0.50336999999999998</v>
      </c>
      <c r="AY10" s="66">
        <f t="shared" ref="AY10" si="10">+AU10*1.02</f>
        <v>0.49266000000000004</v>
      </c>
      <c r="AZ10" s="44"/>
      <c r="BA10" s="43"/>
      <c r="BB10" s="42"/>
      <c r="BC10" s="41"/>
      <c r="BD10" s="44"/>
      <c r="BE10" s="43"/>
      <c r="BF10" s="42"/>
      <c r="BG10" s="41"/>
      <c r="BH10" s="44"/>
      <c r="BI10" s="43"/>
      <c r="BJ10" s="42"/>
      <c r="BK10" s="41"/>
    </row>
    <row r="11" spans="1:63">
      <c r="B11" s="11" t="s">
        <v>3</v>
      </c>
      <c r="E11" s="10"/>
      <c r="F11" s="67"/>
      <c r="G11" s="67"/>
      <c r="H11" s="67"/>
      <c r="I11" s="67"/>
      <c r="J11" s="67"/>
      <c r="K11" s="58"/>
      <c r="L11" s="58"/>
      <c r="M11" s="58"/>
      <c r="N11" s="58"/>
      <c r="O11" s="58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44"/>
      <c r="BA11" s="43"/>
      <c r="BB11" s="42"/>
      <c r="BC11" s="41"/>
      <c r="BD11" s="44"/>
      <c r="BE11" s="43"/>
      <c r="BF11" s="42"/>
      <c r="BG11" s="41"/>
      <c r="BH11" s="44"/>
      <c r="BI11" s="43"/>
      <c r="BJ11" s="42"/>
      <c r="BK11" s="41"/>
    </row>
    <row r="12" spans="1:63">
      <c r="B12" s="3" t="s">
        <v>372</v>
      </c>
      <c r="E12" s="10"/>
      <c r="F12" s="67"/>
      <c r="G12" s="67"/>
      <c r="H12" s="67"/>
      <c r="I12" s="67"/>
      <c r="J12" s="67"/>
      <c r="K12" s="58"/>
      <c r="L12" s="58"/>
      <c r="M12" s="58"/>
      <c r="N12" s="58"/>
      <c r="O12" s="58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4">
        <f>Operating_Model!AG180</f>
        <v>1.2287616304128575</v>
      </c>
      <c r="AG12" s="4">
        <f>Operating_Model!AH180</f>
        <v>1.5332083897471693</v>
      </c>
      <c r="AH12" s="4">
        <f>Operating_Model!AI180</f>
        <v>0.59729083778671854</v>
      </c>
      <c r="AI12" s="4">
        <f>Operating_Model!AJ180</f>
        <v>-0.33362264412152454</v>
      </c>
      <c r="AJ12" s="4">
        <f>Operating_Model!AK180</f>
        <v>-0.12051883908821404</v>
      </c>
      <c r="AK12" s="4">
        <f>Operating_Model!AL180</f>
        <v>-0.14570111486481785</v>
      </c>
      <c r="AL12" s="4">
        <f>Operating_Model!AM180</f>
        <v>0.36705991291345597</v>
      </c>
      <c r="AM12" s="4">
        <f>Operating_Model!AN180</f>
        <v>0.60741728198935263</v>
      </c>
      <c r="AN12" s="66">
        <v>0.3</v>
      </c>
      <c r="AO12" s="66">
        <v>7.4999999999999997E-2</v>
      </c>
      <c r="AP12" s="66">
        <v>2.5000000000000001E-2</v>
      </c>
      <c r="AQ12" s="66">
        <v>0.03</v>
      </c>
      <c r="AR12" s="66">
        <v>0.15</v>
      </c>
      <c r="AS12" s="66">
        <v>0.05</v>
      </c>
      <c r="AT12" s="66">
        <v>2.5000000000000001E-2</v>
      </c>
      <c r="AU12" s="66">
        <v>0.05</v>
      </c>
      <c r="AV12" s="66">
        <v>0.1</v>
      </c>
      <c r="AW12" s="66">
        <v>0.04</v>
      </c>
      <c r="AX12" s="66">
        <v>1.4999999999999999E-2</v>
      </c>
      <c r="AY12" s="66">
        <v>0.04</v>
      </c>
      <c r="AZ12" s="44"/>
      <c r="BA12" s="43"/>
      <c r="BB12" s="42"/>
      <c r="BC12" s="41"/>
      <c r="BD12" s="44"/>
      <c r="BE12" s="43"/>
      <c r="BF12" s="42"/>
      <c r="BG12" s="41"/>
      <c r="BH12" s="44"/>
      <c r="BI12" s="43"/>
      <c r="BJ12" s="42"/>
      <c r="BK12" s="41"/>
    </row>
    <row r="13" spans="1:63">
      <c r="B13" s="3" t="s">
        <v>371</v>
      </c>
      <c r="E13" s="10"/>
      <c r="F13" s="67"/>
      <c r="G13" s="67"/>
      <c r="H13" s="67"/>
      <c r="I13" s="67"/>
      <c r="J13" s="67"/>
      <c r="K13" s="58"/>
      <c r="L13" s="58"/>
      <c r="M13" s="58"/>
      <c r="N13" s="58"/>
      <c r="O13" s="58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4">
        <f>Operating_Model!AG167</f>
        <v>-3.0261344400996149E-2</v>
      </c>
      <c r="AG13" s="4">
        <f>Operating_Model!AH167</f>
        <v>3.6448807463097976E-2</v>
      </c>
      <c r="AH13" s="4">
        <f>Operating_Model!AI167</f>
        <v>9.0049109733230992E-2</v>
      </c>
      <c r="AI13" s="4">
        <f>Operating_Model!AJ167</f>
        <v>0.23915200060770303</v>
      </c>
      <c r="AJ13" s="4">
        <f>Operating_Model!AK167</f>
        <v>0.27901911794833256</v>
      </c>
      <c r="AK13" s="4">
        <f>Operating_Model!AL167</f>
        <v>0.12328595342983406</v>
      </c>
      <c r="AL13" s="4">
        <f>Operating_Model!AM167</f>
        <v>0.10725566283882437</v>
      </c>
      <c r="AM13" s="4">
        <f>Operating_Model!AN167</f>
        <v>2.0024293492279188E-2</v>
      </c>
      <c r="AN13" s="66">
        <v>0.05</v>
      </c>
      <c r="AO13" s="66">
        <v>0.05</v>
      </c>
      <c r="AP13" s="66">
        <v>0.08</v>
      </c>
      <c r="AQ13" s="66">
        <v>7.0000000000000007E-2</v>
      </c>
      <c r="AR13" s="66">
        <f>AN13*0.97</f>
        <v>4.8500000000000001E-2</v>
      </c>
      <c r="AS13" s="66">
        <f t="shared" ref="AS13:AY13" si="11">AO13*0.97</f>
        <v>4.8500000000000001E-2</v>
      </c>
      <c r="AT13" s="66">
        <f t="shared" si="11"/>
        <v>7.7600000000000002E-2</v>
      </c>
      <c r="AU13" s="66">
        <f t="shared" si="11"/>
        <v>6.7900000000000002E-2</v>
      </c>
      <c r="AV13" s="66">
        <f t="shared" si="11"/>
        <v>4.7045000000000003E-2</v>
      </c>
      <c r="AW13" s="66">
        <f t="shared" si="11"/>
        <v>4.7045000000000003E-2</v>
      </c>
      <c r="AX13" s="66">
        <f t="shared" si="11"/>
        <v>7.5272000000000006E-2</v>
      </c>
      <c r="AY13" s="66">
        <f t="shared" si="11"/>
        <v>6.5863000000000005E-2</v>
      </c>
      <c r="AZ13" s="44"/>
      <c r="BA13" s="43"/>
      <c r="BB13" s="42"/>
      <c r="BC13" s="41"/>
      <c r="BD13" s="44"/>
      <c r="BE13" s="43"/>
      <c r="BF13" s="42"/>
      <c r="BG13" s="41"/>
      <c r="BH13" s="44"/>
      <c r="BI13" s="43"/>
      <c r="BJ13" s="42"/>
      <c r="BK13" s="41"/>
    </row>
    <row r="14" spans="1:63">
      <c r="B14" s="3" t="s">
        <v>370</v>
      </c>
      <c r="E14" s="10"/>
      <c r="F14" s="67"/>
      <c r="G14" s="67"/>
      <c r="H14" s="67"/>
      <c r="I14" s="67"/>
      <c r="J14" s="67"/>
      <c r="K14" s="58"/>
      <c r="L14" s="58"/>
      <c r="M14" s="58"/>
      <c r="N14" s="58"/>
      <c r="O14" s="58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4"/>
      <c r="AB14" s="4"/>
      <c r="AC14" s="4"/>
      <c r="AD14" s="4"/>
      <c r="AE14" s="4">
        <f>Operating_Model!AF191</f>
        <v>0.52857142857142847</v>
      </c>
      <c r="AF14" s="4">
        <f>Operating_Model!AG191</f>
        <v>0.40186915887850483</v>
      </c>
      <c r="AG14" s="4">
        <f>Operating_Model!AH191</f>
        <v>0.33333333333333326</v>
      </c>
      <c r="AH14" s="4">
        <f>Operating_Model!AI191</f>
        <v>0.25</v>
      </c>
      <c r="AI14" s="4">
        <f>Operating_Model!AJ191</f>
        <v>0.19999999999999996</v>
      </c>
      <c r="AJ14" s="4">
        <f>Operating_Model!AK191</f>
        <v>0.16666666666666674</v>
      </c>
      <c r="AK14" s="4">
        <f>Operating_Model!AL191</f>
        <v>0.14285714285714279</v>
      </c>
      <c r="AL14" s="4">
        <f>Operating_Model!AM191</f>
        <v>0.125</v>
      </c>
      <c r="AM14" s="4">
        <f>Operating_Model!AN191</f>
        <v>0.11111111111111116</v>
      </c>
      <c r="AN14" s="66">
        <v>0.22</v>
      </c>
      <c r="AO14" s="66">
        <v>0.1</v>
      </c>
      <c r="AP14" s="66">
        <v>7.0000000000000007E-2</v>
      </c>
      <c r="AQ14" s="66">
        <v>0.05</v>
      </c>
      <c r="AR14" s="66">
        <f>AN14*0.5</f>
        <v>0.11</v>
      </c>
      <c r="AS14" s="66">
        <f>AO14*0.95</f>
        <v>9.5000000000000001E-2</v>
      </c>
      <c r="AT14" s="66">
        <f t="shared" ref="AT14:AU14" si="12">AP14*0.95</f>
        <v>6.6500000000000004E-2</v>
      </c>
      <c r="AU14" s="66">
        <f t="shared" si="12"/>
        <v>4.7500000000000001E-2</v>
      </c>
      <c r="AV14" s="66">
        <f t="shared" ref="AV14" si="13">AR14*0.95</f>
        <v>0.1045</v>
      </c>
      <c r="AW14" s="66">
        <f t="shared" ref="AW14" si="14">AS14*0.95</f>
        <v>9.0249999999999997E-2</v>
      </c>
      <c r="AX14" s="66">
        <f t="shared" ref="AX14" si="15">AT14*0.95</f>
        <v>6.3174999999999995E-2</v>
      </c>
      <c r="AY14" s="66">
        <f t="shared" ref="AY14" si="16">AU14*0.95</f>
        <v>4.5124999999999998E-2</v>
      </c>
      <c r="AZ14" s="44"/>
      <c r="BA14" s="43"/>
      <c r="BB14" s="42"/>
      <c r="BC14" s="41"/>
      <c r="BD14" s="44"/>
      <c r="BE14" s="43"/>
      <c r="BF14" s="42"/>
      <c r="BG14" s="41"/>
      <c r="BH14" s="44"/>
      <c r="BI14" s="43"/>
      <c r="BJ14" s="42"/>
      <c r="BK14" s="41"/>
    </row>
    <row r="15" spans="1:63">
      <c r="B15" s="3" t="s">
        <v>369</v>
      </c>
      <c r="E15" s="10"/>
      <c r="F15" s="67"/>
      <c r="G15" s="67"/>
      <c r="H15" s="67"/>
      <c r="I15" s="67"/>
      <c r="J15" s="67"/>
      <c r="K15" s="58"/>
      <c r="L15" s="58"/>
      <c r="M15" s="58"/>
      <c r="N15" s="58"/>
      <c r="O15" s="58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4"/>
      <c r="AF15" s="4"/>
      <c r="AG15" s="4">
        <f>Operating_Model!AH197</f>
        <v>0.10421994128972401</v>
      </c>
      <c r="AH15" s="4">
        <f>Operating_Model!AI197</f>
        <v>0.30900032783293452</v>
      </c>
      <c r="AI15" s="4">
        <f>Operating_Model!AJ197</f>
        <v>0.42406909665316417</v>
      </c>
      <c r="AJ15" s="4">
        <f>Operating_Model!AK197</f>
        <v>0.45500754366937435</v>
      </c>
      <c r="AK15" s="4">
        <f>Operating_Model!AL197</f>
        <v>-0.15897854629790831</v>
      </c>
      <c r="AL15" s="4">
        <f>Operating_Model!AM197</f>
        <v>-0.19327043617867312</v>
      </c>
      <c r="AM15" s="4">
        <f>Operating_Model!AN197</f>
        <v>-8.3183683940482367E-2</v>
      </c>
      <c r="AN15" s="66">
        <v>-0.05</v>
      </c>
      <c r="AO15" s="66">
        <v>-0.02</v>
      </c>
      <c r="AP15" s="66">
        <v>0.05</v>
      </c>
      <c r="AQ15" s="66">
        <v>0.05</v>
      </c>
      <c r="AR15" s="66">
        <v>0.05</v>
      </c>
      <c r="AS15" s="66">
        <v>0.05</v>
      </c>
      <c r="AT15" s="66">
        <v>0.04</v>
      </c>
      <c r="AU15" s="66">
        <v>0.04</v>
      </c>
      <c r="AV15" s="66">
        <v>0.04</v>
      </c>
      <c r="AW15" s="66">
        <v>0.04</v>
      </c>
      <c r="AX15" s="66">
        <v>0.03</v>
      </c>
      <c r="AY15" s="66">
        <v>0.03</v>
      </c>
      <c r="AZ15" s="44"/>
      <c r="BA15" s="43"/>
      <c r="BB15" s="42"/>
      <c r="BC15" s="41"/>
      <c r="BD15" s="44"/>
      <c r="BE15" s="43"/>
      <c r="BF15" s="42"/>
      <c r="BG15" s="41"/>
      <c r="BH15" s="44"/>
      <c r="BI15" s="43"/>
      <c r="BJ15" s="42"/>
      <c r="BK15" s="41"/>
    </row>
    <row r="16" spans="1:63" s="8" customFormat="1">
      <c r="B16" s="94"/>
      <c r="C16" s="93"/>
      <c r="D16" s="93"/>
      <c r="E16" s="92"/>
      <c r="F16" s="91"/>
      <c r="G16" s="91"/>
      <c r="H16" s="91"/>
      <c r="I16" s="91"/>
      <c r="J16" s="91"/>
      <c r="K16" s="91"/>
      <c r="L16" s="91"/>
      <c r="M16" s="91"/>
      <c r="N16" s="58"/>
      <c r="O16" s="58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44"/>
      <c r="BA16" s="43"/>
      <c r="BB16" s="42"/>
      <c r="BC16" s="41"/>
      <c r="BD16" s="44"/>
      <c r="BE16" s="43"/>
      <c r="BF16" s="42"/>
      <c r="BG16" s="41"/>
      <c r="BH16" s="44"/>
      <c r="BI16" s="43"/>
      <c r="BJ16" s="42"/>
      <c r="BK16" s="41"/>
    </row>
    <row r="17" spans="2:63">
      <c r="B17" s="6" t="s">
        <v>24</v>
      </c>
      <c r="C17" s="6"/>
      <c r="D17" s="6"/>
      <c r="E17" s="105"/>
      <c r="F17" s="105"/>
      <c r="G17" s="105"/>
      <c r="H17" s="105"/>
      <c r="I17" s="105"/>
      <c r="J17" s="105"/>
      <c r="K17" s="104"/>
      <c r="L17" s="104"/>
      <c r="M17" s="104"/>
      <c r="N17" s="6"/>
      <c r="O17" s="6"/>
      <c r="P17" s="103"/>
      <c r="Q17" s="102"/>
      <c r="R17" s="101"/>
      <c r="S17" s="100"/>
      <c r="T17" s="103"/>
      <c r="U17" s="102"/>
      <c r="V17" s="101"/>
      <c r="W17" s="100"/>
      <c r="X17" s="103"/>
      <c r="Y17" s="102"/>
      <c r="Z17" s="101"/>
      <c r="AA17" s="100"/>
      <c r="AB17" s="103"/>
      <c r="AC17" s="102"/>
      <c r="AD17" s="101"/>
      <c r="AE17" s="100"/>
      <c r="AF17" s="103"/>
      <c r="AG17" s="102"/>
      <c r="AH17" s="101"/>
      <c r="AI17" s="100"/>
      <c r="AJ17" s="99"/>
      <c r="AK17" s="98"/>
      <c r="AL17" s="97"/>
      <c r="AM17" s="97"/>
      <c r="AN17" s="99"/>
      <c r="AO17" s="98"/>
      <c r="AP17" s="97"/>
      <c r="AQ17" s="96"/>
      <c r="AR17" s="99"/>
      <c r="AS17" s="98"/>
      <c r="AT17" s="97"/>
      <c r="AU17" s="96"/>
      <c r="AV17" s="96"/>
      <c r="AW17" s="96"/>
      <c r="AX17" s="96"/>
      <c r="AY17" s="96"/>
      <c r="AZ17" s="44"/>
      <c r="BA17" s="43"/>
      <c r="BB17" s="42"/>
      <c r="BC17" s="41"/>
      <c r="BD17" s="44"/>
      <c r="BE17" s="43"/>
      <c r="BF17" s="42"/>
      <c r="BG17" s="41"/>
      <c r="BH17" s="44"/>
      <c r="BI17" s="43"/>
      <c r="BJ17" s="42"/>
      <c r="BK17" s="41"/>
    </row>
    <row r="18" spans="2:63">
      <c r="B18" s="1" t="s">
        <v>18</v>
      </c>
      <c r="E18" s="10"/>
      <c r="F18" s="10"/>
      <c r="G18" s="4"/>
      <c r="H18" s="4"/>
      <c r="I18" s="4"/>
      <c r="J18" s="4"/>
      <c r="K18" s="4"/>
      <c r="L18" s="4"/>
      <c r="M18" s="4"/>
      <c r="P18" s="10"/>
      <c r="Q18" s="10"/>
      <c r="R18" s="10"/>
      <c r="S18" s="10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4"/>
      <c r="BA18" s="43"/>
      <c r="BB18" s="42"/>
      <c r="BC18" s="41"/>
      <c r="BD18" s="44"/>
      <c r="BE18" s="43"/>
      <c r="BF18" s="42"/>
      <c r="BG18" s="41"/>
      <c r="BH18" s="44"/>
      <c r="BI18" s="43"/>
      <c r="BJ18" s="42"/>
      <c r="BK18" s="41"/>
    </row>
    <row r="19" spans="2:63">
      <c r="B19" s="3" t="s">
        <v>375</v>
      </c>
      <c r="C19" s="160">
        <v>0.1</v>
      </c>
      <c r="G19" s="10"/>
      <c r="J19" s="40"/>
      <c r="K19" s="40"/>
      <c r="L19" s="40"/>
      <c r="M19" s="40"/>
      <c r="T19" s="71">
        <f t="shared" ref="T19:AL19" si="17">T7</f>
        <v>0.27725856697819307</v>
      </c>
      <c r="U19" s="71">
        <f t="shared" si="17"/>
        <v>0.32954545454545459</v>
      </c>
      <c r="V19" s="71">
        <f t="shared" si="17"/>
        <v>0.18974358974358974</v>
      </c>
      <c r="W19" s="71">
        <f t="shared" si="17"/>
        <v>0.11083743842364524</v>
      </c>
      <c r="X19" s="71">
        <f t="shared" si="17"/>
        <v>8.7804878048780566E-2</v>
      </c>
      <c r="Y19" s="71">
        <f t="shared" si="17"/>
        <v>4.2735042735042805E-2</v>
      </c>
      <c r="Z19" s="71">
        <f t="shared" si="17"/>
        <v>0.11206896551724133</v>
      </c>
      <c r="AA19" s="71">
        <f t="shared" si="17"/>
        <v>0.15964523281596454</v>
      </c>
      <c r="AB19" s="71">
        <f t="shared" si="17"/>
        <v>0.17488789237668168</v>
      </c>
      <c r="AC19" s="71">
        <f t="shared" si="17"/>
        <v>0.20901639344262302</v>
      </c>
      <c r="AD19" s="71">
        <f t="shared" si="17"/>
        <v>0.20736434108527124</v>
      </c>
      <c r="AE19" s="71">
        <f t="shared" si="17"/>
        <v>6.118546845124273E-2</v>
      </c>
      <c r="AF19" s="71">
        <f t="shared" si="17"/>
        <v>0.12022900763358768</v>
      </c>
      <c r="AG19" s="71">
        <f t="shared" si="17"/>
        <v>6.7796610169490457E-3</v>
      </c>
      <c r="AH19" s="71">
        <f t="shared" si="17"/>
        <v>-0.158908507223114</v>
      </c>
      <c r="AI19" s="71">
        <f t="shared" si="17"/>
        <v>-0.18558558558558558</v>
      </c>
      <c r="AJ19" s="71">
        <f t="shared" si="17"/>
        <v>-0.23168654173764902</v>
      </c>
      <c r="AK19" s="71">
        <f t="shared" si="17"/>
        <v>-0.2087542087542088</v>
      </c>
      <c r="AL19" s="71">
        <f t="shared" si="17"/>
        <v>-7.2519083969465603E-2</v>
      </c>
      <c r="AM19" s="71">
        <f t="shared" ref="AM19" si="18">AM7</f>
        <v>1.7699115044247815E-2</v>
      </c>
      <c r="AN19" s="66">
        <f t="shared" ref="AN19:AU19" si="19">(1+AN7)*(1+$C19)-1</f>
        <v>0.13300000000000023</v>
      </c>
      <c r="AO19" s="66">
        <f t="shared" si="19"/>
        <v>0.16600000000000015</v>
      </c>
      <c r="AP19" s="66">
        <f t="shared" si="19"/>
        <v>0.16600000000000015</v>
      </c>
      <c r="AQ19" s="66">
        <f t="shared" si="19"/>
        <v>0.16600000000000015</v>
      </c>
      <c r="AR19" s="66">
        <f t="shared" si="19"/>
        <v>0.13300000000000023</v>
      </c>
      <c r="AS19" s="66">
        <f t="shared" si="19"/>
        <v>0.13850000000000007</v>
      </c>
      <c r="AT19" s="66">
        <f t="shared" si="19"/>
        <v>0.13850000000000007</v>
      </c>
      <c r="AU19" s="66">
        <f t="shared" si="19"/>
        <v>0.13850000000000007</v>
      </c>
      <c r="AV19" s="66">
        <f t="shared" ref="AV19:AY19" si="20">(1+AV7)*(1+$C19)-1</f>
        <v>0.13850000000000007</v>
      </c>
      <c r="AW19" s="66">
        <f t="shared" si="20"/>
        <v>0.13850000000000007</v>
      </c>
      <c r="AX19" s="66">
        <f t="shared" si="20"/>
        <v>0.13850000000000007</v>
      </c>
      <c r="AY19" s="66">
        <f t="shared" si="20"/>
        <v>0.13850000000000007</v>
      </c>
      <c r="AZ19" s="44"/>
      <c r="BA19" s="43"/>
      <c r="BB19" s="42"/>
      <c r="BC19" s="41"/>
      <c r="BD19" s="44"/>
      <c r="BE19" s="43"/>
      <c r="BF19" s="42"/>
      <c r="BG19" s="41"/>
      <c r="BH19" s="44"/>
      <c r="BI19" s="43"/>
      <c r="BJ19" s="42"/>
      <c r="BK19" s="41"/>
    </row>
    <row r="20" spans="2:63">
      <c r="B20" s="3" t="s">
        <v>374</v>
      </c>
      <c r="C20" s="160">
        <v>0.1</v>
      </c>
      <c r="J20" s="40"/>
      <c r="K20" s="40"/>
      <c r="L20" s="40"/>
      <c r="M20" s="40"/>
      <c r="T20" s="71">
        <f t="shared" ref="T20:AL20" si="21">T8</f>
        <v>0</v>
      </c>
      <c r="U20" s="71">
        <f t="shared" si="21"/>
        <v>0</v>
      </c>
      <c r="V20" s="71">
        <f t="shared" si="21"/>
        <v>0</v>
      </c>
      <c r="W20" s="71">
        <f t="shared" si="21"/>
        <v>0</v>
      </c>
      <c r="X20" s="71">
        <f t="shared" si="21"/>
        <v>0</v>
      </c>
      <c r="Y20" s="71">
        <f t="shared" si="21"/>
        <v>0</v>
      </c>
      <c r="Z20" s="71">
        <f t="shared" si="21"/>
        <v>0</v>
      </c>
      <c r="AA20" s="71">
        <f t="shared" si="21"/>
        <v>0</v>
      </c>
      <c r="AB20" s="71">
        <f t="shared" si="21"/>
        <v>0</v>
      </c>
      <c r="AC20" s="71">
        <f t="shared" si="21"/>
        <v>0</v>
      </c>
      <c r="AD20" s="71">
        <f t="shared" si="21"/>
        <v>0</v>
      </c>
      <c r="AE20" s="71">
        <f t="shared" si="21"/>
        <v>0</v>
      </c>
      <c r="AF20" s="71">
        <f t="shared" si="21"/>
        <v>0</v>
      </c>
      <c r="AG20" s="71">
        <f t="shared" si="21"/>
        <v>0</v>
      </c>
      <c r="AH20" s="71">
        <f t="shared" si="21"/>
        <v>0</v>
      </c>
      <c r="AI20" s="71">
        <f t="shared" si="21"/>
        <v>0</v>
      </c>
      <c r="AJ20" s="71">
        <f t="shared" si="21"/>
        <v>0</v>
      </c>
      <c r="AK20" s="71">
        <f t="shared" si="21"/>
        <v>0</v>
      </c>
      <c r="AL20" s="71">
        <f t="shared" si="21"/>
        <v>0</v>
      </c>
      <c r="AM20" s="71">
        <f t="shared" ref="AM20" si="22">AM8</f>
        <v>0</v>
      </c>
      <c r="AN20" s="66">
        <f t="shared" ref="AN20:AU20" si="23">+AN8+$C20</f>
        <v>0.1</v>
      </c>
      <c r="AO20" s="66">
        <f t="shared" si="23"/>
        <v>0.1</v>
      </c>
      <c r="AP20" s="66">
        <f t="shared" si="23"/>
        <v>0.1</v>
      </c>
      <c r="AQ20" s="66">
        <f t="shared" si="23"/>
        <v>0.1</v>
      </c>
      <c r="AR20" s="66">
        <f t="shared" si="23"/>
        <v>0.125</v>
      </c>
      <c r="AS20" s="66">
        <f t="shared" si="23"/>
        <v>0.125</v>
      </c>
      <c r="AT20" s="66">
        <f t="shared" si="23"/>
        <v>0.125</v>
      </c>
      <c r="AU20" s="66">
        <f t="shared" si="23"/>
        <v>0.125</v>
      </c>
      <c r="AV20" s="66">
        <f t="shared" ref="AV20:AY20" si="24">+AV8+$C20</f>
        <v>0.13500000000000001</v>
      </c>
      <c r="AW20" s="66">
        <f t="shared" si="24"/>
        <v>0.13500000000000001</v>
      </c>
      <c r="AX20" s="66">
        <f t="shared" si="24"/>
        <v>0.13500000000000001</v>
      </c>
      <c r="AY20" s="66">
        <f t="shared" si="24"/>
        <v>0.13500000000000001</v>
      </c>
      <c r="AZ20" s="44"/>
      <c r="BA20" s="43"/>
      <c r="BB20" s="42"/>
      <c r="BC20" s="41"/>
      <c r="BD20" s="44"/>
      <c r="BE20" s="43"/>
      <c r="BF20" s="42"/>
      <c r="BG20" s="41"/>
      <c r="BH20" s="44"/>
      <c r="BI20" s="43"/>
      <c r="BJ20" s="42"/>
      <c r="BK20" s="41"/>
    </row>
    <row r="21" spans="2:63">
      <c r="B21" s="3" t="s">
        <v>373</v>
      </c>
      <c r="C21" s="160">
        <v>0.1</v>
      </c>
      <c r="F21" s="67"/>
      <c r="G21" s="67"/>
      <c r="H21" s="67"/>
      <c r="I21" s="67"/>
      <c r="J21" s="67"/>
      <c r="K21" s="58"/>
      <c r="L21" s="58"/>
      <c r="M21" s="58"/>
      <c r="N21" s="58"/>
      <c r="O21" s="58"/>
      <c r="P21" s="67"/>
      <c r="Q21" s="67"/>
      <c r="R21" s="67"/>
      <c r="S21" s="67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>
        <f t="shared" ref="AF21:AL22" ca="1" si="25">AF9</f>
        <v>0.32364095298081197</v>
      </c>
      <c r="AG21" s="71">
        <f t="shared" ca="1" si="25"/>
        <v>0.20632048724697039</v>
      </c>
      <c r="AH21" s="71">
        <f t="shared" ca="1" si="25"/>
        <v>-0.13301966599553439</v>
      </c>
      <c r="AI21" s="71">
        <f t="shared" ca="1" si="25"/>
        <v>-0.24442502707100189</v>
      </c>
      <c r="AJ21" s="71">
        <f t="shared" ca="1" si="25"/>
        <v>-0.29738949232970602</v>
      </c>
      <c r="AK21" s="71">
        <f t="shared" ca="1" si="25"/>
        <v>-9.1949351171514149E-2</v>
      </c>
      <c r="AL21" s="71">
        <f t="shared" ca="1" si="25"/>
        <v>-5.0495191679795104E-2</v>
      </c>
      <c r="AM21" s="71">
        <f t="shared" ref="AM21" ca="1" si="26">AM9</f>
        <v>1.1301143647092893E-2</v>
      </c>
      <c r="AN21" s="66">
        <f t="shared" ref="AN21:AU21" si="27">(1+AN9)*(1+$C21)-1</f>
        <v>0.16600000000000015</v>
      </c>
      <c r="AO21" s="66">
        <f t="shared" si="27"/>
        <v>7.8000000000000069E-2</v>
      </c>
      <c r="AP21" s="66">
        <f t="shared" si="27"/>
        <v>6.6999999999999948E-2</v>
      </c>
      <c r="AQ21" s="66">
        <f t="shared" si="27"/>
        <v>6.6999999999999948E-2</v>
      </c>
      <c r="AR21" s="66">
        <f t="shared" si="27"/>
        <v>7.8000000000000069E-2</v>
      </c>
      <c r="AS21" s="66">
        <f t="shared" si="27"/>
        <v>7.8000000000000069E-2</v>
      </c>
      <c r="AT21" s="66">
        <f t="shared" si="27"/>
        <v>7.8000000000000069E-2</v>
      </c>
      <c r="AU21" s="66">
        <f t="shared" si="27"/>
        <v>7.8000000000000069E-2</v>
      </c>
      <c r="AV21" s="66">
        <f t="shared" ref="AV21:AY21" si="28">(1+AV9)*(1+$C21)-1</f>
        <v>7.8000000000000069E-2</v>
      </c>
      <c r="AW21" s="66">
        <f t="shared" si="28"/>
        <v>7.8000000000000069E-2</v>
      </c>
      <c r="AX21" s="66">
        <f t="shared" si="28"/>
        <v>7.8000000000000069E-2</v>
      </c>
      <c r="AY21" s="66">
        <f t="shared" si="28"/>
        <v>7.8000000000000069E-2</v>
      </c>
      <c r="AZ21" s="44"/>
      <c r="BA21" s="43"/>
      <c r="BB21" s="42"/>
      <c r="BC21" s="41"/>
      <c r="BD21" s="44"/>
      <c r="BE21" s="43"/>
      <c r="BF21" s="42"/>
      <c r="BG21" s="41"/>
      <c r="BH21" s="44"/>
      <c r="BI21" s="43"/>
      <c r="BJ21" s="42"/>
      <c r="BK21" s="41"/>
    </row>
    <row r="22" spans="2:63">
      <c r="B22" s="3" t="s">
        <v>75</v>
      </c>
      <c r="C22" s="160">
        <v>0.04</v>
      </c>
      <c r="F22" s="67"/>
      <c r="G22" s="67"/>
      <c r="H22" s="67"/>
      <c r="I22" s="67"/>
      <c r="J22" s="67"/>
      <c r="K22" s="58"/>
      <c r="L22" s="58"/>
      <c r="M22" s="58"/>
      <c r="N22" s="58"/>
      <c r="O22" s="58"/>
      <c r="P22" s="67"/>
      <c r="Q22" s="67"/>
      <c r="R22" s="67"/>
      <c r="S22" s="67"/>
      <c r="T22" s="71">
        <f t="shared" ref="T22:AE22" ca="1" si="29">T10</f>
        <v>0.46083418979785512</v>
      </c>
      <c r="U22" s="71">
        <f t="shared" ca="1" si="29"/>
        <v>0.48969540687322488</v>
      </c>
      <c r="V22" s="71">
        <f t="shared" ca="1" si="29"/>
        <v>0.5120900768240082</v>
      </c>
      <c r="W22" s="71">
        <f t="shared" ca="1" si="29"/>
        <v>0.45092357398149663</v>
      </c>
      <c r="X22" s="71">
        <f t="shared" ca="1" si="29"/>
        <v>0.42118614299878426</v>
      </c>
      <c r="Y22" s="71">
        <f t="shared" ca="1" si="29"/>
        <v>0.49261367252361793</v>
      </c>
      <c r="Z22" s="71">
        <f t="shared" ca="1" si="29"/>
        <v>0.50059339175783713</v>
      </c>
      <c r="AA22" s="71">
        <f t="shared" ca="1" si="29"/>
        <v>0.45357134098712348</v>
      </c>
      <c r="AB22" s="71">
        <f t="shared" si="29"/>
        <v>0.442735728095971</v>
      </c>
      <c r="AC22" s="71">
        <f t="shared" si="29"/>
        <v>0.52073864836892003</v>
      </c>
      <c r="AD22" s="71">
        <f t="shared" si="29"/>
        <v>0.51841268353412284</v>
      </c>
      <c r="AE22" s="71">
        <f t="shared" si="29"/>
        <v>0.50128837748671529</v>
      </c>
      <c r="AF22" s="71">
        <f t="shared" si="25"/>
        <v>0.50995036574772323</v>
      </c>
      <c r="AG22" s="71">
        <f t="shared" si="25"/>
        <v>0.48589728273343868</v>
      </c>
      <c r="AH22" s="71">
        <f t="shared" ca="1" si="25"/>
        <v>0.47447269741955694</v>
      </c>
      <c r="AI22" s="71">
        <f t="shared" ca="1" si="25"/>
        <v>0.49221037102582132</v>
      </c>
      <c r="AJ22" s="71">
        <f t="shared" si="25"/>
        <v>0.4378400464713908</v>
      </c>
      <c r="AK22" s="71">
        <f t="shared" ca="1" si="25"/>
        <v>0.51366712827089245</v>
      </c>
      <c r="AL22" s="71">
        <f t="shared" si="25"/>
        <v>0.5</v>
      </c>
      <c r="AM22" s="71">
        <f t="shared" ref="AM22" si="30">AM10</f>
        <v>0.47</v>
      </c>
      <c r="AN22" s="66">
        <f t="shared" ref="AN22:AU22" si="31">AN10+$C22</f>
        <v>0.46499999999999997</v>
      </c>
      <c r="AO22" s="66">
        <f t="shared" si="31"/>
        <v>0.505</v>
      </c>
      <c r="AP22" s="66">
        <f t="shared" si="31"/>
        <v>0.51</v>
      </c>
      <c r="AQ22" s="66">
        <f t="shared" si="31"/>
        <v>0.5</v>
      </c>
      <c r="AR22" s="66">
        <f t="shared" si="31"/>
        <v>0.49474999999999997</v>
      </c>
      <c r="AS22" s="66">
        <f t="shared" si="31"/>
        <v>0.52825000000000011</v>
      </c>
      <c r="AT22" s="66">
        <f t="shared" si="31"/>
        <v>0.53349999999999997</v>
      </c>
      <c r="AU22" s="66">
        <f t="shared" si="31"/>
        <v>0.52300000000000002</v>
      </c>
      <c r="AV22" s="66">
        <f t="shared" ref="AV22:AY22" si="32">AV10+$C22</f>
        <v>0.50384499999999999</v>
      </c>
      <c r="AW22" s="66">
        <f t="shared" si="32"/>
        <v>0.53801500000000013</v>
      </c>
      <c r="AX22" s="66">
        <f t="shared" si="32"/>
        <v>0.54337000000000002</v>
      </c>
      <c r="AY22" s="66">
        <f t="shared" si="32"/>
        <v>0.53266000000000002</v>
      </c>
      <c r="AZ22" s="44"/>
      <c r="BA22" s="43"/>
      <c r="BB22" s="42"/>
      <c r="BC22" s="41"/>
      <c r="BD22" s="44"/>
      <c r="BE22" s="43"/>
      <c r="BF22" s="42"/>
      <c r="BG22" s="41"/>
      <c r="BH22" s="44"/>
      <c r="BI22" s="43"/>
      <c r="BJ22" s="42"/>
      <c r="BK22" s="41"/>
    </row>
    <row r="23" spans="2:63">
      <c r="B23" s="11" t="s">
        <v>3</v>
      </c>
      <c r="F23" s="67"/>
      <c r="G23" s="67"/>
      <c r="H23" s="67"/>
      <c r="I23" s="67"/>
      <c r="J23" s="67"/>
      <c r="K23" s="58"/>
      <c r="L23" s="58"/>
      <c r="M23" s="58"/>
      <c r="N23" s="58"/>
      <c r="O23" s="58"/>
      <c r="P23" s="67"/>
      <c r="Q23" s="67"/>
      <c r="R23" s="67"/>
      <c r="S23" s="67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44"/>
      <c r="BA23" s="43"/>
      <c r="BB23" s="42"/>
      <c r="BC23" s="41"/>
      <c r="BD23" s="44"/>
      <c r="BE23" s="43"/>
      <c r="BF23" s="42"/>
      <c r="BG23" s="41"/>
      <c r="BH23" s="44"/>
      <c r="BI23" s="43"/>
      <c r="BJ23" s="42"/>
      <c r="BK23" s="41"/>
    </row>
    <row r="24" spans="2:63">
      <c r="B24" s="3" t="s">
        <v>372</v>
      </c>
      <c r="C24" s="160">
        <v>0.1</v>
      </c>
      <c r="F24" s="67"/>
      <c r="G24" s="67"/>
      <c r="H24" s="67"/>
      <c r="I24" s="67"/>
      <c r="J24" s="67"/>
      <c r="K24" s="58"/>
      <c r="L24" s="58"/>
      <c r="M24" s="58"/>
      <c r="N24" s="58"/>
      <c r="O24" s="58"/>
      <c r="P24" s="67"/>
      <c r="Q24" s="67"/>
      <c r="R24" s="67"/>
      <c r="S24" s="67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>
        <f t="shared" ref="AF24:AL26" si="33">AF12</f>
        <v>1.2287616304128575</v>
      </c>
      <c r="AG24" s="71">
        <f t="shared" si="33"/>
        <v>1.5332083897471693</v>
      </c>
      <c r="AH24" s="71">
        <f t="shared" si="33"/>
        <v>0.59729083778671854</v>
      </c>
      <c r="AI24" s="71">
        <f t="shared" si="33"/>
        <v>-0.33362264412152454</v>
      </c>
      <c r="AJ24" s="71">
        <f t="shared" si="33"/>
        <v>-0.12051883908821404</v>
      </c>
      <c r="AK24" s="71">
        <f t="shared" si="33"/>
        <v>-0.14570111486481785</v>
      </c>
      <c r="AL24" s="71">
        <f t="shared" si="33"/>
        <v>0.36705991291345597</v>
      </c>
      <c r="AM24" s="71">
        <f t="shared" ref="AM24" si="34">AM12</f>
        <v>0.60741728198935263</v>
      </c>
      <c r="AN24" s="66">
        <f t="shared" ref="AN24:AU24" si="35">(1+AN12)*(1+$C24)-1</f>
        <v>0.43000000000000016</v>
      </c>
      <c r="AO24" s="66">
        <f t="shared" si="35"/>
        <v>0.18250000000000011</v>
      </c>
      <c r="AP24" s="66">
        <f t="shared" si="35"/>
        <v>0.12749999999999995</v>
      </c>
      <c r="AQ24" s="66">
        <f t="shared" si="35"/>
        <v>0.13300000000000023</v>
      </c>
      <c r="AR24" s="66">
        <f t="shared" si="35"/>
        <v>0.2649999999999999</v>
      </c>
      <c r="AS24" s="66">
        <f t="shared" si="35"/>
        <v>0.15500000000000025</v>
      </c>
      <c r="AT24" s="66">
        <f t="shared" si="35"/>
        <v>0.12749999999999995</v>
      </c>
      <c r="AU24" s="66">
        <f t="shared" si="35"/>
        <v>0.15500000000000025</v>
      </c>
      <c r="AV24" s="66">
        <f t="shared" ref="AV24:AY24" si="36">(1+AV12)*(1+$C24)-1</f>
        <v>0.21000000000000019</v>
      </c>
      <c r="AW24" s="66">
        <f t="shared" si="36"/>
        <v>0.14400000000000013</v>
      </c>
      <c r="AX24" s="66">
        <f t="shared" si="36"/>
        <v>0.11650000000000005</v>
      </c>
      <c r="AY24" s="66">
        <f t="shared" si="36"/>
        <v>0.14400000000000013</v>
      </c>
      <c r="AZ24" s="44"/>
      <c r="BA24" s="43"/>
      <c r="BB24" s="42"/>
      <c r="BC24" s="41"/>
      <c r="BD24" s="44"/>
      <c r="BE24" s="43"/>
      <c r="BF24" s="42"/>
      <c r="BG24" s="41"/>
      <c r="BH24" s="44"/>
      <c r="BI24" s="43"/>
      <c r="BJ24" s="42"/>
      <c r="BK24" s="41"/>
    </row>
    <row r="25" spans="2:63">
      <c r="B25" s="3" t="s">
        <v>371</v>
      </c>
      <c r="C25" s="160">
        <v>0.1</v>
      </c>
      <c r="F25" s="67"/>
      <c r="G25" s="67"/>
      <c r="H25" s="67"/>
      <c r="I25" s="67"/>
      <c r="J25" s="67"/>
      <c r="K25" s="58"/>
      <c r="L25" s="58"/>
      <c r="M25" s="58"/>
      <c r="N25" s="58"/>
      <c r="O25" s="58"/>
      <c r="P25" s="67"/>
      <c r="Q25" s="67"/>
      <c r="R25" s="67"/>
      <c r="S25" s="67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>
        <f t="shared" si="33"/>
        <v>-3.0261344400996149E-2</v>
      </c>
      <c r="AG25" s="71">
        <f t="shared" si="33"/>
        <v>3.6448807463097976E-2</v>
      </c>
      <c r="AH25" s="71">
        <f t="shared" si="33"/>
        <v>9.0049109733230992E-2</v>
      </c>
      <c r="AI25" s="71">
        <f t="shared" si="33"/>
        <v>0.23915200060770303</v>
      </c>
      <c r="AJ25" s="71">
        <f t="shared" si="33"/>
        <v>0.27901911794833256</v>
      </c>
      <c r="AK25" s="71">
        <f t="shared" si="33"/>
        <v>0.12328595342983406</v>
      </c>
      <c r="AL25" s="71">
        <f t="shared" si="33"/>
        <v>0.10725566283882437</v>
      </c>
      <c r="AM25" s="71">
        <f t="shared" ref="AM25" si="37">AM13</f>
        <v>2.0024293492279188E-2</v>
      </c>
      <c r="AN25" s="66">
        <f t="shared" ref="AN25:AU25" si="38">(1+AN13)*(1+$C25)-1</f>
        <v>0.15500000000000025</v>
      </c>
      <c r="AO25" s="66">
        <f t="shared" si="38"/>
        <v>0.15500000000000025</v>
      </c>
      <c r="AP25" s="66">
        <f t="shared" si="38"/>
        <v>0.18800000000000017</v>
      </c>
      <c r="AQ25" s="66">
        <f t="shared" si="38"/>
        <v>0.17700000000000027</v>
      </c>
      <c r="AR25" s="66">
        <f t="shared" si="38"/>
        <v>0.1533500000000001</v>
      </c>
      <c r="AS25" s="66">
        <f t="shared" si="38"/>
        <v>0.1533500000000001</v>
      </c>
      <c r="AT25" s="66">
        <f t="shared" si="38"/>
        <v>0.18535999999999997</v>
      </c>
      <c r="AU25" s="66">
        <f t="shared" si="38"/>
        <v>0.17469000000000023</v>
      </c>
      <c r="AV25" s="66">
        <f t="shared" ref="AV25:AY25" si="39">(1+AV13)*(1+$C25)-1</f>
        <v>0.1517495000000002</v>
      </c>
      <c r="AW25" s="66">
        <f t="shared" si="39"/>
        <v>0.1517495000000002</v>
      </c>
      <c r="AX25" s="66">
        <f t="shared" si="39"/>
        <v>0.18279920000000005</v>
      </c>
      <c r="AY25" s="66">
        <f t="shared" si="39"/>
        <v>0.17244930000000003</v>
      </c>
      <c r="AZ25" s="44"/>
      <c r="BA25" s="43"/>
      <c r="BB25" s="42"/>
      <c r="BC25" s="41"/>
      <c r="BD25" s="44"/>
      <c r="BE25" s="43"/>
      <c r="BF25" s="42"/>
      <c r="BG25" s="41"/>
      <c r="BH25" s="44"/>
      <c r="BI25" s="43"/>
      <c r="BJ25" s="42"/>
      <c r="BK25" s="41"/>
    </row>
    <row r="26" spans="2:63">
      <c r="B26" s="3" t="s">
        <v>370</v>
      </c>
      <c r="C26" s="160">
        <v>0.1</v>
      </c>
      <c r="F26" s="67"/>
      <c r="G26" s="67"/>
      <c r="H26" s="67"/>
      <c r="I26" s="67"/>
      <c r="J26" s="67"/>
      <c r="K26" s="58"/>
      <c r="L26" s="58"/>
      <c r="M26" s="58"/>
      <c r="N26" s="58"/>
      <c r="O26" s="58"/>
      <c r="P26" s="67"/>
      <c r="Q26" s="67"/>
      <c r="R26" s="67"/>
      <c r="S26" s="67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>
        <f>AE14</f>
        <v>0.52857142857142847</v>
      </c>
      <c r="AF26" s="71">
        <f t="shared" si="33"/>
        <v>0.40186915887850483</v>
      </c>
      <c r="AG26" s="71">
        <f t="shared" si="33"/>
        <v>0.33333333333333326</v>
      </c>
      <c r="AH26" s="71">
        <f t="shared" si="33"/>
        <v>0.25</v>
      </c>
      <c r="AI26" s="71">
        <f t="shared" si="33"/>
        <v>0.19999999999999996</v>
      </c>
      <c r="AJ26" s="71">
        <f t="shared" si="33"/>
        <v>0.16666666666666674</v>
      </c>
      <c r="AK26" s="71">
        <f t="shared" si="33"/>
        <v>0.14285714285714279</v>
      </c>
      <c r="AL26" s="71">
        <f t="shared" si="33"/>
        <v>0.125</v>
      </c>
      <c r="AM26" s="71">
        <f t="shared" ref="AM26" si="40">AM14</f>
        <v>0.11111111111111116</v>
      </c>
      <c r="AN26" s="66">
        <f t="shared" ref="AN26:AU26" si="41">(1+AN14)*(1+$C26/4)-1</f>
        <v>0.25049999999999994</v>
      </c>
      <c r="AO26" s="66">
        <f t="shared" si="41"/>
        <v>0.12749999999999995</v>
      </c>
      <c r="AP26" s="66">
        <f t="shared" si="41"/>
        <v>9.6749999999999892E-2</v>
      </c>
      <c r="AQ26" s="66">
        <f t="shared" si="41"/>
        <v>7.6249999999999929E-2</v>
      </c>
      <c r="AR26" s="66">
        <f t="shared" si="41"/>
        <v>0.13775000000000004</v>
      </c>
      <c r="AS26" s="66">
        <f t="shared" si="41"/>
        <v>0.1223749999999999</v>
      </c>
      <c r="AT26" s="66">
        <f t="shared" si="41"/>
        <v>9.3162499999999815E-2</v>
      </c>
      <c r="AU26" s="66">
        <f t="shared" si="41"/>
        <v>7.3687499999999906E-2</v>
      </c>
      <c r="AV26" s="66">
        <f t="shared" ref="AV26:AY26" si="42">(1+AV14)*(1+$C26/4)-1</f>
        <v>0.13211249999999986</v>
      </c>
      <c r="AW26" s="66">
        <f t="shared" si="42"/>
        <v>0.11750624999999992</v>
      </c>
      <c r="AX26" s="66">
        <f t="shared" si="42"/>
        <v>8.9754374999999831E-2</v>
      </c>
      <c r="AY26" s="66">
        <f t="shared" si="42"/>
        <v>7.1253124999999917E-2</v>
      </c>
      <c r="AZ26" s="44"/>
      <c r="BA26" s="43"/>
      <c r="BB26" s="42"/>
      <c r="BC26" s="41"/>
      <c r="BD26" s="44"/>
      <c r="BE26" s="43"/>
      <c r="BF26" s="42"/>
      <c r="BG26" s="41"/>
      <c r="BH26" s="44"/>
      <c r="BI26" s="43"/>
      <c r="BJ26" s="42"/>
      <c r="BK26" s="41"/>
    </row>
    <row r="27" spans="2:63">
      <c r="B27" s="3" t="s">
        <v>369</v>
      </c>
      <c r="C27" s="160">
        <v>0.1</v>
      </c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67"/>
      <c r="Q27" s="67"/>
      <c r="R27" s="67"/>
      <c r="S27" s="67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>
        <f t="shared" ref="AG27:AL27" si="43">AG15</f>
        <v>0.10421994128972401</v>
      </c>
      <c r="AH27" s="71">
        <f t="shared" si="43"/>
        <v>0.30900032783293452</v>
      </c>
      <c r="AI27" s="71">
        <f t="shared" si="43"/>
        <v>0.42406909665316417</v>
      </c>
      <c r="AJ27" s="71">
        <f t="shared" si="43"/>
        <v>0.45500754366937435</v>
      </c>
      <c r="AK27" s="71">
        <f t="shared" si="43"/>
        <v>-0.15897854629790831</v>
      </c>
      <c r="AL27" s="71">
        <f t="shared" si="43"/>
        <v>-0.19327043617867312</v>
      </c>
      <c r="AM27" s="71">
        <f t="shared" ref="AM27" si="44">AM15</f>
        <v>-8.3183683940482367E-2</v>
      </c>
      <c r="AN27" s="66">
        <f t="shared" ref="AN27:AU27" si="45">(1+AN15)*(1+$C27)-1</f>
        <v>4.4999999999999929E-2</v>
      </c>
      <c r="AO27" s="66">
        <f t="shared" si="45"/>
        <v>7.8000000000000069E-2</v>
      </c>
      <c r="AP27" s="66">
        <f t="shared" si="45"/>
        <v>0.15500000000000025</v>
      </c>
      <c r="AQ27" s="66">
        <f t="shared" si="45"/>
        <v>0.15500000000000025</v>
      </c>
      <c r="AR27" s="66">
        <f t="shared" si="45"/>
        <v>0.15500000000000025</v>
      </c>
      <c r="AS27" s="66">
        <f t="shared" si="45"/>
        <v>0.15500000000000025</v>
      </c>
      <c r="AT27" s="66">
        <f t="shared" si="45"/>
        <v>0.14400000000000013</v>
      </c>
      <c r="AU27" s="66">
        <f t="shared" si="45"/>
        <v>0.14400000000000013</v>
      </c>
      <c r="AV27" s="66">
        <f t="shared" ref="AV27:AY27" si="46">(1+AV15)*(1+$C27)-1</f>
        <v>0.14400000000000013</v>
      </c>
      <c r="AW27" s="66">
        <f t="shared" si="46"/>
        <v>0.14400000000000013</v>
      </c>
      <c r="AX27" s="66">
        <f t="shared" si="46"/>
        <v>0.13300000000000023</v>
      </c>
      <c r="AY27" s="66">
        <f t="shared" si="46"/>
        <v>0.13300000000000023</v>
      </c>
      <c r="AZ27" s="44"/>
      <c r="BA27" s="43"/>
      <c r="BB27" s="42"/>
      <c r="BC27" s="41"/>
      <c r="BD27" s="44"/>
      <c r="BE27" s="43"/>
      <c r="BF27" s="42"/>
      <c r="BG27" s="41"/>
      <c r="BH27" s="44"/>
      <c r="BI27" s="43"/>
      <c r="BJ27" s="42"/>
      <c r="BK27" s="41"/>
    </row>
    <row r="28" spans="2:63">
      <c r="B28" s="74"/>
      <c r="C28" s="36"/>
      <c r="D28" s="36"/>
      <c r="E28" s="90"/>
      <c r="F28" s="72"/>
      <c r="G28" s="72"/>
      <c r="H28" s="72"/>
      <c r="I28" s="72"/>
      <c r="J28" s="72"/>
      <c r="K28" s="72"/>
      <c r="L28" s="72"/>
      <c r="M28" s="72"/>
      <c r="N28" s="58"/>
      <c r="O28" s="58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44"/>
      <c r="BA28" s="43"/>
      <c r="BB28" s="42"/>
      <c r="BC28" s="41"/>
      <c r="BD28" s="44"/>
      <c r="BE28" s="43"/>
      <c r="BF28" s="42"/>
      <c r="BG28" s="41"/>
      <c r="BH28" s="44"/>
      <c r="BI28" s="43"/>
      <c r="BJ28" s="42"/>
      <c r="BK28" s="41"/>
    </row>
    <row r="29" spans="2:63">
      <c r="B29" s="6" t="s">
        <v>23</v>
      </c>
      <c r="C29" s="6"/>
      <c r="D29" s="6"/>
      <c r="E29" s="105"/>
      <c r="F29" s="105"/>
      <c r="G29" s="105"/>
      <c r="H29" s="105"/>
      <c r="I29" s="105"/>
      <c r="J29" s="105"/>
      <c r="K29" s="104"/>
      <c r="L29" s="104"/>
      <c r="M29" s="104"/>
      <c r="N29" s="6"/>
      <c r="O29" s="6"/>
      <c r="P29" s="103"/>
      <c r="Q29" s="102"/>
      <c r="R29" s="101"/>
      <c r="S29" s="100"/>
      <c r="T29" s="103"/>
      <c r="U29" s="102"/>
      <c r="V29" s="101"/>
      <c r="W29" s="100"/>
      <c r="X29" s="103"/>
      <c r="Y29" s="102"/>
      <c r="Z29" s="101"/>
      <c r="AA29" s="100"/>
      <c r="AB29" s="103"/>
      <c r="AC29" s="102"/>
      <c r="AD29" s="101"/>
      <c r="AE29" s="100"/>
      <c r="AF29" s="103"/>
      <c r="AG29" s="102"/>
      <c r="AH29" s="101"/>
      <c r="AI29" s="100"/>
      <c r="AJ29" s="99"/>
      <c r="AK29" s="98"/>
      <c r="AL29" s="97"/>
      <c r="AM29" s="97"/>
      <c r="AN29" s="99"/>
      <c r="AO29" s="98"/>
      <c r="AP29" s="97"/>
      <c r="AQ29" s="96"/>
      <c r="AR29" s="99"/>
      <c r="AS29" s="98"/>
      <c r="AT29" s="97"/>
      <c r="AU29" s="96"/>
      <c r="AV29" s="96"/>
      <c r="AW29" s="96"/>
      <c r="AX29" s="96"/>
      <c r="AY29" s="96"/>
      <c r="AZ29" s="44"/>
      <c r="BA29" s="43"/>
      <c r="BB29" s="42"/>
      <c r="BC29" s="41"/>
      <c r="BD29" s="44"/>
      <c r="BE29" s="43"/>
      <c r="BF29" s="42"/>
      <c r="BG29" s="41"/>
      <c r="BH29" s="44"/>
      <c r="BI29" s="43"/>
      <c r="BJ29" s="42"/>
      <c r="BK29" s="41"/>
    </row>
    <row r="30" spans="2:63" s="8" customFormat="1">
      <c r="B30" s="1" t="s">
        <v>18</v>
      </c>
      <c r="E30" s="81"/>
      <c r="F30" s="82"/>
      <c r="G30" s="82"/>
      <c r="H30" s="82"/>
      <c r="I30" s="82"/>
      <c r="J30" s="82"/>
      <c r="K30" s="82"/>
      <c r="L30" s="82"/>
      <c r="M30" s="82"/>
      <c r="N30" s="58"/>
      <c r="O30" s="58"/>
      <c r="P30" s="82"/>
      <c r="Q30" s="82"/>
      <c r="R30" s="82"/>
      <c r="S30" s="82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44"/>
      <c r="BA30" s="43"/>
      <c r="BB30" s="42"/>
      <c r="BC30" s="41"/>
      <c r="BD30" s="44"/>
      <c r="BE30" s="43"/>
      <c r="BF30" s="42"/>
      <c r="BG30" s="41"/>
      <c r="BH30" s="44"/>
      <c r="BI30" s="43"/>
      <c r="BJ30" s="42"/>
      <c r="BK30" s="41"/>
    </row>
    <row r="31" spans="2:63">
      <c r="B31" s="3" t="s">
        <v>375</v>
      </c>
      <c r="C31" s="160">
        <v>-0.1</v>
      </c>
      <c r="E31" s="10"/>
      <c r="F31" s="4"/>
      <c r="G31" s="4"/>
      <c r="H31" s="4"/>
      <c r="I31" s="4"/>
      <c r="J31" s="4"/>
      <c r="K31" s="4"/>
      <c r="L31" s="4"/>
      <c r="M31" s="4"/>
      <c r="N31" s="58"/>
      <c r="O31" s="58"/>
      <c r="P31" s="4"/>
      <c r="Q31" s="4"/>
      <c r="R31" s="4"/>
      <c r="S31" s="4"/>
      <c r="T31" s="71">
        <f t="shared" ref="T31:AL31" si="47">T19</f>
        <v>0.27725856697819307</v>
      </c>
      <c r="U31" s="71">
        <f t="shared" si="47"/>
        <v>0.32954545454545459</v>
      </c>
      <c r="V31" s="71">
        <f t="shared" si="47"/>
        <v>0.18974358974358974</v>
      </c>
      <c r="W31" s="71">
        <f t="shared" si="47"/>
        <v>0.11083743842364524</v>
      </c>
      <c r="X31" s="71">
        <f t="shared" si="47"/>
        <v>8.7804878048780566E-2</v>
      </c>
      <c r="Y31" s="71">
        <f t="shared" si="47"/>
        <v>4.2735042735042805E-2</v>
      </c>
      <c r="Z31" s="71">
        <f t="shared" si="47"/>
        <v>0.11206896551724133</v>
      </c>
      <c r="AA31" s="71">
        <f t="shared" si="47"/>
        <v>0.15964523281596454</v>
      </c>
      <c r="AB31" s="71">
        <f t="shared" si="47"/>
        <v>0.17488789237668168</v>
      </c>
      <c r="AC31" s="71">
        <f t="shared" si="47"/>
        <v>0.20901639344262302</v>
      </c>
      <c r="AD31" s="71">
        <f t="shared" si="47"/>
        <v>0.20736434108527124</v>
      </c>
      <c r="AE31" s="71">
        <f t="shared" si="47"/>
        <v>6.118546845124273E-2</v>
      </c>
      <c r="AF31" s="71">
        <f t="shared" si="47"/>
        <v>0.12022900763358768</v>
      </c>
      <c r="AG31" s="71">
        <f t="shared" si="47"/>
        <v>6.7796610169490457E-3</v>
      </c>
      <c r="AH31" s="71">
        <f t="shared" si="47"/>
        <v>-0.158908507223114</v>
      </c>
      <c r="AI31" s="71">
        <f t="shared" si="47"/>
        <v>-0.18558558558558558</v>
      </c>
      <c r="AJ31" s="71">
        <f t="shared" si="47"/>
        <v>-0.23168654173764902</v>
      </c>
      <c r="AK31" s="71">
        <f t="shared" si="47"/>
        <v>-0.2087542087542088</v>
      </c>
      <c r="AL31" s="71">
        <f t="shared" si="47"/>
        <v>-7.2519083969465603E-2</v>
      </c>
      <c r="AM31" s="71">
        <f t="shared" ref="AM31" si="48">AM19</f>
        <v>1.7699115044247815E-2</v>
      </c>
      <c r="AN31" s="66">
        <f t="shared" ref="AN31:AU31" si="49">(1+AN7)*(1+$C31)-1</f>
        <v>-7.2999999999999954E-2</v>
      </c>
      <c r="AO31" s="66">
        <f t="shared" si="49"/>
        <v>-4.599999999999993E-2</v>
      </c>
      <c r="AP31" s="66">
        <f t="shared" si="49"/>
        <v>-4.599999999999993E-2</v>
      </c>
      <c r="AQ31" s="66">
        <f t="shared" si="49"/>
        <v>-4.599999999999993E-2</v>
      </c>
      <c r="AR31" s="66">
        <f t="shared" si="49"/>
        <v>-7.2999999999999954E-2</v>
      </c>
      <c r="AS31" s="66">
        <f t="shared" si="49"/>
        <v>-6.8500000000000005E-2</v>
      </c>
      <c r="AT31" s="66">
        <f t="shared" si="49"/>
        <v>-6.8500000000000005E-2</v>
      </c>
      <c r="AU31" s="66">
        <f t="shared" si="49"/>
        <v>-6.8500000000000005E-2</v>
      </c>
      <c r="AV31" s="66">
        <f t="shared" ref="AV31:AY31" si="50">(1+AV7)*(1+$C31)-1</f>
        <v>-6.8500000000000005E-2</v>
      </c>
      <c r="AW31" s="66">
        <f t="shared" si="50"/>
        <v>-6.8500000000000005E-2</v>
      </c>
      <c r="AX31" s="66">
        <f t="shared" si="50"/>
        <v>-6.8500000000000005E-2</v>
      </c>
      <c r="AY31" s="66">
        <f t="shared" si="50"/>
        <v>-6.8500000000000005E-2</v>
      </c>
      <c r="AZ31" s="44"/>
      <c r="BA31" s="43"/>
      <c r="BB31" s="42"/>
      <c r="BC31" s="41"/>
      <c r="BD31" s="44"/>
      <c r="BE31" s="43"/>
      <c r="BF31" s="42"/>
      <c r="BG31" s="41"/>
      <c r="BH31" s="44"/>
      <c r="BI31" s="43"/>
      <c r="BJ31" s="42"/>
      <c r="BK31" s="41"/>
    </row>
    <row r="32" spans="2:63">
      <c r="B32" s="3" t="s">
        <v>374</v>
      </c>
      <c r="C32" s="160">
        <v>-0.1</v>
      </c>
      <c r="E32" s="10"/>
      <c r="F32" s="4"/>
      <c r="G32" s="4"/>
      <c r="H32" s="4"/>
      <c r="I32" s="4"/>
      <c r="J32" s="4"/>
      <c r="K32" s="4"/>
      <c r="L32" s="4"/>
      <c r="M32" s="4"/>
      <c r="N32" s="58"/>
      <c r="O32" s="58"/>
      <c r="P32" s="4"/>
      <c r="Q32" s="4"/>
      <c r="R32" s="4"/>
      <c r="S32" s="4"/>
      <c r="T32" s="71">
        <f t="shared" ref="T32:AL32" si="51">T20</f>
        <v>0</v>
      </c>
      <c r="U32" s="71">
        <f t="shared" si="51"/>
        <v>0</v>
      </c>
      <c r="V32" s="71">
        <f t="shared" si="51"/>
        <v>0</v>
      </c>
      <c r="W32" s="71">
        <f t="shared" si="51"/>
        <v>0</v>
      </c>
      <c r="X32" s="71">
        <f t="shared" si="51"/>
        <v>0</v>
      </c>
      <c r="Y32" s="71">
        <f t="shared" si="51"/>
        <v>0</v>
      </c>
      <c r="Z32" s="71">
        <f t="shared" si="51"/>
        <v>0</v>
      </c>
      <c r="AA32" s="71">
        <f t="shared" si="51"/>
        <v>0</v>
      </c>
      <c r="AB32" s="71">
        <f t="shared" si="51"/>
        <v>0</v>
      </c>
      <c r="AC32" s="71">
        <f t="shared" si="51"/>
        <v>0</v>
      </c>
      <c r="AD32" s="71">
        <f t="shared" si="51"/>
        <v>0</v>
      </c>
      <c r="AE32" s="71">
        <f t="shared" si="51"/>
        <v>0</v>
      </c>
      <c r="AF32" s="71">
        <f t="shared" si="51"/>
        <v>0</v>
      </c>
      <c r="AG32" s="71">
        <f t="shared" si="51"/>
        <v>0</v>
      </c>
      <c r="AH32" s="71">
        <f t="shared" si="51"/>
        <v>0</v>
      </c>
      <c r="AI32" s="71">
        <f t="shared" si="51"/>
        <v>0</v>
      </c>
      <c r="AJ32" s="71">
        <f t="shared" si="51"/>
        <v>0</v>
      </c>
      <c r="AK32" s="71">
        <f t="shared" si="51"/>
        <v>0</v>
      </c>
      <c r="AL32" s="71">
        <f t="shared" si="51"/>
        <v>0</v>
      </c>
      <c r="AM32" s="71">
        <f t="shared" ref="AM32" si="52">AM20</f>
        <v>0</v>
      </c>
      <c r="AN32" s="66">
        <f t="shared" ref="AN32:AU32" si="53">AN8+$C32</f>
        <v>-0.1</v>
      </c>
      <c r="AO32" s="66">
        <f t="shared" si="53"/>
        <v>-0.1</v>
      </c>
      <c r="AP32" s="66">
        <f t="shared" si="53"/>
        <v>-0.1</v>
      </c>
      <c r="AQ32" s="66">
        <f t="shared" si="53"/>
        <v>-0.1</v>
      </c>
      <c r="AR32" s="66">
        <f t="shared" si="53"/>
        <v>-7.5000000000000011E-2</v>
      </c>
      <c r="AS32" s="66">
        <f t="shared" si="53"/>
        <v>-7.5000000000000011E-2</v>
      </c>
      <c r="AT32" s="66">
        <f t="shared" si="53"/>
        <v>-7.5000000000000011E-2</v>
      </c>
      <c r="AU32" s="66">
        <f t="shared" si="53"/>
        <v>-7.5000000000000011E-2</v>
      </c>
      <c r="AV32" s="66">
        <f t="shared" ref="AV32:AY32" si="54">AV8+$C32</f>
        <v>-6.5000000000000002E-2</v>
      </c>
      <c r="AW32" s="66">
        <f t="shared" si="54"/>
        <v>-6.5000000000000002E-2</v>
      </c>
      <c r="AX32" s="66">
        <f t="shared" si="54"/>
        <v>-6.5000000000000002E-2</v>
      </c>
      <c r="AY32" s="66">
        <f t="shared" si="54"/>
        <v>-6.5000000000000002E-2</v>
      </c>
      <c r="AZ32" s="44"/>
      <c r="BA32" s="43"/>
      <c r="BB32" s="42"/>
      <c r="BC32" s="41"/>
      <c r="BD32" s="44"/>
      <c r="BE32" s="43"/>
      <c r="BF32" s="42"/>
      <c r="BG32" s="41"/>
      <c r="BH32" s="44"/>
      <c r="BI32" s="43"/>
      <c r="BJ32" s="42"/>
      <c r="BK32" s="41"/>
    </row>
    <row r="33" spans="2:63">
      <c r="B33" s="3" t="s">
        <v>373</v>
      </c>
      <c r="C33" s="160">
        <v>-0.1</v>
      </c>
      <c r="E33" s="10"/>
      <c r="F33" s="4"/>
      <c r="G33" s="4"/>
      <c r="H33" s="4"/>
      <c r="I33" s="4"/>
      <c r="J33" s="4"/>
      <c r="K33" s="4"/>
      <c r="L33" s="4"/>
      <c r="M33" s="4"/>
      <c r="N33" s="58"/>
      <c r="O33" s="58"/>
      <c r="P33" s="4"/>
      <c r="Q33" s="4"/>
      <c r="R33" s="4"/>
      <c r="S33" s="4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>
        <f t="shared" ref="AF33:AL34" ca="1" si="55">AF21</f>
        <v>0.32364095298081197</v>
      </c>
      <c r="AG33" s="71">
        <f t="shared" ca="1" si="55"/>
        <v>0.20632048724697039</v>
      </c>
      <c r="AH33" s="71">
        <f t="shared" ca="1" si="55"/>
        <v>-0.13301966599553439</v>
      </c>
      <c r="AI33" s="71">
        <f t="shared" ca="1" si="55"/>
        <v>-0.24442502707100189</v>
      </c>
      <c r="AJ33" s="71">
        <f t="shared" ca="1" si="55"/>
        <v>-0.29738949232970602</v>
      </c>
      <c r="AK33" s="71">
        <f t="shared" ca="1" si="55"/>
        <v>-9.1949351171514149E-2</v>
      </c>
      <c r="AL33" s="71">
        <f t="shared" ca="1" si="55"/>
        <v>-5.0495191679795104E-2</v>
      </c>
      <c r="AM33" s="71">
        <f t="shared" ref="AM33" ca="1" si="56">AM21</f>
        <v>1.1301143647092893E-2</v>
      </c>
      <c r="AN33" s="66">
        <f t="shared" ref="AN33:AU33" si="57">(1+AN9)*(1+$C33)-1</f>
        <v>-4.599999999999993E-2</v>
      </c>
      <c r="AO33" s="66">
        <f t="shared" si="57"/>
        <v>-0.11799999999999999</v>
      </c>
      <c r="AP33" s="66">
        <f t="shared" si="57"/>
        <v>-0.127</v>
      </c>
      <c r="AQ33" s="66">
        <f t="shared" si="57"/>
        <v>-0.127</v>
      </c>
      <c r="AR33" s="66">
        <f t="shared" si="57"/>
        <v>-0.11799999999999999</v>
      </c>
      <c r="AS33" s="66">
        <f t="shared" si="57"/>
        <v>-0.11799999999999999</v>
      </c>
      <c r="AT33" s="66">
        <f t="shared" si="57"/>
        <v>-0.11799999999999999</v>
      </c>
      <c r="AU33" s="66">
        <f t="shared" si="57"/>
        <v>-0.11799999999999999</v>
      </c>
      <c r="AV33" s="66">
        <f t="shared" ref="AV33:AY33" si="58">(1+AV9)*(1+$C33)-1</f>
        <v>-0.11799999999999999</v>
      </c>
      <c r="AW33" s="66">
        <f t="shared" si="58"/>
        <v>-0.11799999999999999</v>
      </c>
      <c r="AX33" s="66">
        <f t="shared" si="58"/>
        <v>-0.11799999999999999</v>
      </c>
      <c r="AY33" s="66">
        <f t="shared" si="58"/>
        <v>-0.11799999999999999</v>
      </c>
      <c r="AZ33" s="44"/>
      <c r="BA33" s="43"/>
      <c r="BB33" s="42"/>
      <c r="BC33" s="41"/>
      <c r="BD33" s="44"/>
      <c r="BE33" s="43"/>
      <c r="BF33" s="42"/>
      <c r="BG33" s="41"/>
      <c r="BH33" s="44"/>
      <c r="BI33" s="43"/>
      <c r="BJ33" s="42"/>
      <c r="BK33" s="41"/>
    </row>
    <row r="34" spans="2:63">
      <c r="B34" s="3" t="s">
        <v>75</v>
      </c>
      <c r="C34" s="160">
        <v>-0.05</v>
      </c>
      <c r="E34" s="10"/>
      <c r="F34" s="10"/>
      <c r="J34" s="10"/>
      <c r="K34" s="10"/>
      <c r="L34" s="10"/>
      <c r="M34" s="10"/>
      <c r="N34" s="58"/>
      <c r="O34" s="58"/>
      <c r="T34" s="71">
        <f t="shared" ref="T34:AE34" ca="1" si="59">T22</f>
        <v>0.46083418979785512</v>
      </c>
      <c r="U34" s="71">
        <f t="shared" ca="1" si="59"/>
        <v>0.48969540687322488</v>
      </c>
      <c r="V34" s="71">
        <f t="shared" ca="1" si="59"/>
        <v>0.5120900768240082</v>
      </c>
      <c r="W34" s="71">
        <f t="shared" ca="1" si="59"/>
        <v>0.45092357398149663</v>
      </c>
      <c r="X34" s="71">
        <f t="shared" ca="1" si="59"/>
        <v>0.42118614299878426</v>
      </c>
      <c r="Y34" s="71">
        <f t="shared" ca="1" si="59"/>
        <v>0.49261367252361793</v>
      </c>
      <c r="Z34" s="71">
        <f t="shared" ca="1" si="59"/>
        <v>0.50059339175783713</v>
      </c>
      <c r="AA34" s="71">
        <f t="shared" ca="1" si="59"/>
        <v>0.45357134098712348</v>
      </c>
      <c r="AB34" s="71">
        <f t="shared" si="59"/>
        <v>0.442735728095971</v>
      </c>
      <c r="AC34" s="71">
        <f t="shared" si="59"/>
        <v>0.52073864836892003</v>
      </c>
      <c r="AD34" s="71">
        <f t="shared" si="59"/>
        <v>0.51841268353412284</v>
      </c>
      <c r="AE34" s="71">
        <f t="shared" si="59"/>
        <v>0.50128837748671529</v>
      </c>
      <c r="AF34" s="71">
        <f t="shared" si="55"/>
        <v>0.50995036574772323</v>
      </c>
      <c r="AG34" s="71">
        <f t="shared" si="55"/>
        <v>0.48589728273343868</v>
      </c>
      <c r="AH34" s="71">
        <f t="shared" ca="1" si="55"/>
        <v>0.47447269741955694</v>
      </c>
      <c r="AI34" s="71">
        <f t="shared" ca="1" si="55"/>
        <v>0.49221037102582132</v>
      </c>
      <c r="AJ34" s="71">
        <f t="shared" si="55"/>
        <v>0.4378400464713908</v>
      </c>
      <c r="AK34" s="71">
        <f t="shared" ca="1" si="55"/>
        <v>0.51366712827089245</v>
      </c>
      <c r="AL34" s="71">
        <f t="shared" si="55"/>
        <v>0.5</v>
      </c>
      <c r="AM34" s="71">
        <f t="shared" ref="AM34" si="60">AM22</f>
        <v>0.47</v>
      </c>
      <c r="AN34" s="66">
        <f t="shared" ref="AN34:AU34" si="61">AN10+$C34</f>
        <v>0.375</v>
      </c>
      <c r="AO34" s="66">
        <f t="shared" si="61"/>
        <v>0.41500000000000004</v>
      </c>
      <c r="AP34" s="66">
        <f t="shared" si="61"/>
        <v>0.42</v>
      </c>
      <c r="AQ34" s="66">
        <f t="shared" si="61"/>
        <v>0.41000000000000003</v>
      </c>
      <c r="AR34" s="66">
        <f t="shared" si="61"/>
        <v>0.40475</v>
      </c>
      <c r="AS34" s="66">
        <f t="shared" si="61"/>
        <v>0.43825000000000008</v>
      </c>
      <c r="AT34" s="66">
        <f t="shared" si="61"/>
        <v>0.44350000000000001</v>
      </c>
      <c r="AU34" s="66">
        <f t="shared" si="61"/>
        <v>0.43300000000000005</v>
      </c>
      <c r="AV34" s="66">
        <f t="shared" ref="AV34:AY34" si="62">AV10+$C34</f>
        <v>0.41384500000000002</v>
      </c>
      <c r="AW34" s="66">
        <f t="shared" si="62"/>
        <v>0.44801500000000011</v>
      </c>
      <c r="AX34" s="66">
        <f t="shared" si="62"/>
        <v>0.45337</v>
      </c>
      <c r="AY34" s="66">
        <f t="shared" si="62"/>
        <v>0.44266000000000005</v>
      </c>
      <c r="AZ34" s="44"/>
      <c r="BA34" s="43"/>
      <c r="BB34" s="42"/>
      <c r="BC34" s="41"/>
      <c r="BD34" s="44"/>
      <c r="BE34" s="43"/>
      <c r="BF34" s="42"/>
      <c r="BG34" s="41"/>
      <c r="BH34" s="44"/>
      <c r="BI34" s="43"/>
      <c r="BJ34" s="42"/>
      <c r="BK34" s="41"/>
    </row>
    <row r="35" spans="2:63">
      <c r="B35" s="11" t="s">
        <v>3</v>
      </c>
      <c r="F35" s="10"/>
      <c r="N35" s="58"/>
      <c r="O35" s="58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44"/>
      <c r="BA35" s="43"/>
      <c r="BB35" s="42"/>
      <c r="BC35" s="41"/>
      <c r="BD35" s="44"/>
      <c r="BE35" s="43"/>
      <c r="BF35" s="42"/>
      <c r="BG35" s="41"/>
      <c r="BH35" s="44"/>
      <c r="BI35" s="43"/>
      <c r="BJ35" s="42"/>
      <c r="BK35" s="41"/>
    </row>
    <row r="36" spans="2:63">
      <c r="B36" s="3" t="s">
        <v>372</v>
      </c>
      <c r="C36" s="160">
        <v>-0.1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>
        <f t="shared" ref="AF36:AL38" si="63">AF24</f>
        <v>1.2287616304128575</v>
      </c>
      <c r="AG36" s="71">
        <f t="shared" si="63"/>
        <v>1.5332083897471693</v>
      </c>
      <c r="AH36" s="71">
        <f t="shared" si="63"/>
        <v>0.59729083778671854</v>
      </c>
      <c r="AI36" s="71">
        <f t="shared" si="63"/>
        <v>-0.33362264412152454</v>
      </c>
      <c r="AJ36" s="71">
        <f t="shared" si="63"/>
        <v>-0.12051883908821404</v>
      </c>
      <c r="AK36" s="71">
        <f t="shared" si="63"/>
        <v>-0.14570111486481785</v>
      </c>
      <c r="AL36" s="71">
        <f t="shared" si="63"/>
        <v>0.36705991291345597</v>
      </c>
      <c r="AM36" s="71">
        <f t="shared" ref="AM36" si="64">AM24</f>
        <v>0.60741728198935263</v>
      </c>
      <c r="AN36" s="66">
        <f t="shared" ref="AN36:AU36" si="65">(1+AN12)*(1+$C36)-1</f>
        <v>0.17000000000000015</v>
      </c>
      <c r="AO36" s="66">
        <f t="shared" si="65"/>
        <v>-3.2499999999999973E-2</v>
      </c>
      <c r="AP36" s="66">
        <f t="shared" si="65"/>
        <v>-7.7500000000000013E-2</v>
      </c>
      <c r="AQ36" s="66">
        <f t="shared" si="65"/>
        <v>-7.2999999999999954E-2</v>
      </c>
      <c r="AR36" s="66">
        <f t="shared" si="65"/>
        <v>3.499999999999992E-2</v>
      </c>
      <c r="AS36" s="66">
        <f t="shared" si="65"/>
        <v>-5.4999999999999938E-2</v>
      </c>
      <c r="AT36" s="66">
        <f t="shared" si="65"/>
        <v>-7.7500000000000013E-2</v>
      </c>
      <c r="AU36" s="66">
        <f t="shared" si="65"/>
        <v>-5.4999999999999938E-2</v>
      </c>
      <c r="AV36" s="66">
        <f t="shared" ref="AV36:AY36" si="66">(1+AV12)*(1+$C36)-1</f>
        <v>-9.9999999999998979E-3</v>
      </c>
      <c r="AW36" s="66">
        <f t="shared" si="66"/>
        <v>-6.3999999999999946E-2</v>
      </c>
      <c r="AX36" s="66">
        <f t="shared" si="66"/>
        <v>-8.6500000000000021E-2</v>
      </c>
      <c r="AY36" s="66">
        <f t="shared" si="66"/>
        <v>-6.3999999999999946E-2</v>
      </c>
      <c r="AZ36" s="44"/>
      <c r="BA36" s="43"/>
      <c r="BB36" s="42"/>
      <c r="BC36" s="41"/>
      <c r="BD36" s="44"/>
      <c r="BE36" s="43"/>
      <c r="BF36" s="42"/>
      <c r="BG36" s="41"/>
      <c r="BH36" s="44"/>
      <c r="BI36" s="43"/>
      <c r="BJ36" s="42"/>
      <c r="BK36" s="41"/>
    </row>
    <row r="37" spans="2:63">
      <c r="B37" s="3" t="s">
        <v>371</v>
      </c>
      <c r="C37" s="160">
        <v>-0.1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>
        <f t="shared" si="63"/>
        <v>-3.0261344400996149E-2</v>
      </c>
      <c r="AG37" s="71">
        <f t="shared" si="63"/>
        <v>3.6448807463097976E-2</v>
      </c>
      <c r="AH37" s="71">
        <f t="shared" si="63"/>
        <v>9.0049109733230992E-2</v>
      </c>
      <c r="AI37" s="71">
        <f t="shared" si="63"/>
        <v>0.23915200060770303</v>
      </c>
      <c r="AJ37" s="71">
        <f t="shared" si="63"/>
        <v>0.27901911794833256</v>
      </c>
      <c r="AK37" s="71">
        <f t="shared" si="63"/>
        <v>0.12328595342983406</v>
      </c>
      <c r="AL37" s="71">
        <f t="shared" si="63"/>
        <v>0.10725566283882437</v>
      </c>
      <c r="AM37" s="71">
        <f t="shared" ref="AM37" si="67">AM25</f>
        <v>2.0024293492279188E-2</v>
      </c>
      <c r="AN37" s="66">
        <f t="shared" ref="AN37:AU37" si="68">(1+AN13)*(1+$C37)-1</f>
        <v>-5.4999999999999938E-2</v>
      </c>
      <c r="AO37" s="66">
        <f t="shared" si="68"/>
        <v>-5.4999999999999938E-2</v>
      </c>
      <c r="AP37" s="66">
        <f t="shared" si="68"/>
        <v>-2.7999999999999914E-2</v>
      </c>
      <c r="AQ37" s="66">
        <f t="shared" si="68"/>
        <v>-3.6999999999999922E-2</v>
      </c>
      <c r="AR37" s="66">
        <f t="shared" si="68"/>
        <v>-5.6350000000000011E-2</v>
      </c>
      <c r="AS37" s="66">
        <f t="shared" si="68"/>
        <v>-5.6350000000000011E-2</v>
      </c>
      <c r="AT37" s="66">
        <f t="shared" si="68"/>
        <v>-3.0160000000000076E-2</v>
      </c>
      <c r="AU37" s="66">
        <f t="shared" si="68"/>
        <v>-3.8889999999999869E-2</v>
      </c>
      <c r="AV37" s="66">
        <f t="shared" ref="AV37:AY37" si="69">(1+AV13)*(1+$C37)-1</f>
        <v>-5.7659499999999975E-2</v>
      </c>
      <c r="AW37" s="66">
        <f t="shared" si="69"/>
        <v>-5.7659499999999975E-2</v>
      </c>
      <c r="AX37" s="66">
        <f t="shared" si="69"/>
        <v>-3.2255199999999928E-2</v>
      </c>
      <c r="AY37" s="66">
        <f t="shared" si="69"/>
        <v>-4.0723300000000018E-2</v>
      </c>
      <c r="AZ37" s="44"/>
      <c r="BA37" s="43"/>
      <c r="BB37" s="42"/>
      <c r="BC37" s="41"/>
      <c r="BD37" s="44"/>
      <c r="BE37" s="43"/>
      <c r="BF37" s="42"/>
      <c r="BG37" s="41"/>
      <c r="BH37" s="44"/>
      <c r="BI37" s="43"/>
      <c r="BJ37" s="42"/>
      <c r="BK37" s="41"/>
    </row>
    <row r="38" spans="2:63">
      <c r="B38" s="3" t="s">
        <v>370</v>
      </c>
      <c r="C38" s="160">
        <v>-0.1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>
        <f>AE26</f>
        <v>0.52857142857142847</v>
      </c>
      <c r="AF38" s="71">
        <f t="shared" si="63"/>
        <v>0.40186915887850483</v>
      </c>
      <c r="AG38" s="71">
        <f t="shared" si="63"/>
        <v>0.33333333333333326</v>
      </c>
      <c r="AH38" s="71">
        <f t="shared" si="63"/>
        <v>0.25</v>
      </c>
      <c r="AI38" s="71">
        <f t="shared" si="63"/>
        <v>0.19999999999999996</v>
      </c>
      <c r="AJ38" s="71">
        <f t="shared" si="63"/>
        <v>0.16666666666666674</v>
      </c>
      <c r="AK38" s="71">
        <f t="shared" si="63"/>
        <v>0.14285714285714279</v>
      </c>
      <c r="AL38" s="71">
        <f t="shared" si="63"/>
        <v>0.125</v>
      </c>
      <c r="AM38" s="71">
        <f t="shared" ref="AM38" si="70">AM26</f>
        <v>0.11111111111111116</v>
      </c>
      <c r="AN38" s="66">
        <f t="shared" ref="AN38:AU38" si="71">(1+AN14)*(1+$C38/4)-1</f>
        <v>0.1895</v>
      </c>
      <c r="AO38" s="66">
        <f t="shared" si="71"/>
        <v>7.2500000000000009E-2</v>
      </c>
      <c r="AP38" s="66">
        <f t="shared" si="71"/>
        <v>4.3250000000000011E-2</v>
      </c>
      <c r="AQ38" s="66">
        <f t="shared" si="71"/>
        <v>2.3749999999999938E-2</v>
      </c>
      <c r="AR38" s="66">
        <f t="shared" si="71"/>
        <v>8.2250000000000156E-2</v>
      </c>
      <c r="AS38" s="66">
        <f t="shared" si="71"/>
        <v>6.7625000000000046E-2</v>
      </c>
      <c r="AT38" s="66">
        <f t="shared" si="71"/>
        <v>3.983749999999997E-2</v>
      </c>
      <c r="AU38" s="66">
        <f t="shared" si="71"/>
        <v>2.1312500000000068E-2</v>
      </c>
      <c r="AV38" s="66">
        <f t="shared" ref="AV38:AY38" si="72">(1+AV14)*(1+$C38/4)-1</f>
        <v>7.6887499999999998E-2</v>
      </c>
      <c r="AW38" s="66">
        <f t="shared" si="72"/>
        <v>6.2993749999999959E-2</v>
      </c>
      <c r="AX38" s="66">
        <f t="shared" si="72"/>
        <v>3.6595624999999909E-2</v>
      </c>
      <c r="AY38" s="66">
        <f t="shared" si="72"/>
        <v>1.8996875000000024E-2</v>
      </c>
      <c r="AZ38" s="44"/>
      <c r="BA38" s="43"/>
      <c r="BB38" s="42"/>
      <c r="BC38" s="41"/>
      <c r="BD38" s="44"/>
      <c r="BE38" s="43"/>
      <c r="BF38" s="42"/>
      <c r="BG38" s="41"/>
      <c r="BH38" s="44"/>
      <c r="BI38" s="43"/>
      <c r="BJ38" s="42"/>
      <c r="BK38" s="41"/>
    </row>
    <row r="39" spans="2:63">
      <c r="B39" s="3" t="s">
        <v>369</v>
      </c>
      <c r="C39" s="160">
        <v>-0.1</v>
      </c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>
        <f t="shared" ref="AG39:AL39" si="73">AG27</f>
        <v>0.10421994128972401</v>
      </c>
      <c r="AH39" s="71">
        <f t="shared" si="73"/>
        <v>0.30900032783293452</v>
      </c>
      <c r="AI39" s="71">
        <f t="shared" si="73"/>
        <v>0.42406909665316417</v>
      </c>
      <c r="AJ39" s="71">
        <f t="shared" si="73"/>
        <v>0.45500754366937435</v>
      </c>
      <c r="AK39" s="71">
        <f t="shared" si="73"/>
        <v>-0.15897854629790831</v>
      </c>
      <c r="AL39" s="71">
        <f t="shared" si="73"/>
        <v>-0.19327043617867312</v>
      </c>
      <c r="AM39" s="71">
        <f t="shared" ref="AM39" si="74">AM27</f>
        <v>-8.3183683940482367E-2</v>
      </c>
      <c r="AN39" s="66">
        <f t="shared" ref="AN39:AU39" si="75">(1+AN15)*(1+$C39)-1</f>
        <v>-0.14500000000000002</v>
      </c>
      <c r="AO39" s="66">
        <f t="shared" si="75"/>
        <v>-0.11799999999999999</v>
      </c>
      <c r="AP39" s="66">
        <f t="shared" si="75"/>
        <v>-5.4999999999999938E-2</v>
      </c>
      <c r="AQ39" s="66">
        <f t="shared" si="75"/>
        <v>-5.4999999999999938E-2</v>
      </c>
      <c r="AR39" s="66">
        <f t="shared" si="75"/>
        <v>-5.4999999999999938E-2</v>
      </c>
      <c r="AS39" s="66">
        <f t="shared" si="75"/>
        <v>-5.4999999999999938E-2</v>
      </c>
      <c r="AT39" s="66">
        <f t="shared" si="75"/>
        <v>-6.3999999999999946E-2</v>
      </c>
      <c r="AU39" s="66">
        <f t="shared" si="75"/>
        <v>-6.3999999999999946E-2</v>
      </c>
      <c r="AV39" s="66">
        <f t="shared" ref="AV39:AY39" si="76">(1+AV15)*(1+$C39)-1</f>
        <v>-6.3999999999999946E-2</v>
      </c>
      <c r="AW39" s="66">
        <f t="shared" si="76"/>
        <v>-6.3999999999999946E-2</v>
      </c>
      <c r="AX39" s="66">
        <f t="shared" si="76"/>
        <v>-7.2999999999999954E-2</v>
      </c>
      <c r="AY39" s="66">
        <f t="shared" si="76"/>
        <v>-7.2999999999999954E-2</v>
      </c>
      <c r="AZ39" s="44"/>
      <c r="BA39" s="43"/>
      <c r="BB39" s="42"/>
      <c r="BC39" s="41"/>
      <c r="BD39" s="44"/>
      <c r="BE39" s="43"/>
      <c r="BF39" s="42"/>
      <c r="BG39" s="41"/>
      <c r="BH39" s="44"/>
      <c r="BI39" s="43"/>
      <c r="BJ39" s="42"/>
      <c r="BK39" s="41"/>
    </row>
    <row r="40" spans="2:63">
      <c r="B40" s="74"/>
      <c r="C40" s="36"/>
      <c r="D40" s="36"/>
      <c r="E40" s="36"/>
      <c r="F40" s="72"/>
      <c r="G40" s="72"/>
      <c r="H40" s="72"/>
      <c r="I40" s="72"/>
      <c r="J40" s="72"/>
      <c r="K40" s="72"/>
      <c r="L40" s="72"/>
      <c r="M40" s="72"/>
      <c r="N40" s="58"/>
      <c r="O40" s="58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</row>
    <row r="41" spans="2:63">
      <c r="B41" s="11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2.75"/>
  <cols>
    <col min="1" max="1" width="34.5" style="208" bestFit="1" customWidth="1"/>
    <col min="2" max="2" width="23.1640625" style="314" customWidth="1"/>
    <col min="3" max="3" width="14" style="208" bestFit="1" customWidth="1"/>
    <col min="4" max="256" width="9.33203125" style="208"/>
    <col min="257" max="257" width="34.5" style="208" bestFit="1" customWidth="1"/>
    <col min="258" max="258" width="23.1640625" style="208" customWidth="1"/>
    <col min="259" max="259" width="14" style="208" bestFit="1" customWidth="1"/>
    <col min="260" max="512" width="9.33203125" style="208"/>
    <col min="513" max="513" width="34.5" style="208" bestFit="1" customWidth="1"/>
    <col min="514" max="514" width="23.1640625" style="208" customWidth="1"/>
    <col min="515" max="515" width="14" style="208" bestFit="1" customWidth="1"/>
    <col min="516" max="768" width="9.33203125" style="208"/>
    <col min="769" max="769" width="34.5" style="208" bestFit="1" customWidth="1"/>
    <col min="770" max="770" width="23.1640625" style="208" customWidth="1"/>
    <col min="771" max="771" width="14" style="208" bestFit="1" customWidth="1"/>
    <col min="772" max="1024" width="9.33203125" style="208"/>
    <col min="1025" max="1025" width="34.5" style="208" bestFit="1" customWidth="1"/>
    <col min="1026" max="1026" width="23.1640625" style="208" customWidth="1"/>
    <col min="1027" max="1027" width="14" style="208" bestFit="1" customWidth="1"/>
    <col min="1028" max="1280" width="9.33203125" style="208"/>
    <col min="1281" max="1281" width="34.5" style="208" bestFit="1" customWidth="1"/>
    <col min="1282" max="1282" width="23.1640625" style="208" customWidth="1"/>
    <col min="1283" max="1283" width="14" style="208" bestFit="1" customWidth="1"/>
    <col min="1284" max="1536" width="9.33203125" style="208"/>
    <col min="1537" max="1537" width="34.5" style="208" bestFit="1" customWidth="1"/>
    <col min="1538" max="1538" width="23.1640625" style="208" customWidth="1"/>
    <col min="1539" max="1539" width="14" style="208" bestFit="1" customWidth="1"/>
    <col min="1540" max="1792" width="9.33203125" style="208"/>
    <col min="1793" max="1793" width="34.5" style="208" bestFit="1" customWidth="1"/>
    <col min="1794" max="1794" width="23.1640625" style="208" customWidth="1"/>
    <col min="1795" max="1795" width="14" style="208" bestFit="1" customWidth="1"/>
    <col min="1796" max="2048" width="9.33203125" style="208"/>
    <col min="2049" max="2049" width="34.5" style="208" bestFit="1" customWidth="1"/>
    <col min="2050" max="2050" width="23.1640625" style="208" customWidth="1"/>
    <col min="2051" max="2051" width="14" style="208" bestFit="1" customWidth="1"/>
    <col min="2052" max="2304" width="9.33203125" style="208"/>
    <col min="2305" max="2305" width="34.5" style="208" bestFit="1" customWidth="1"/>
    <col min="2306" max="2306" width="23.1640625" style="208" customWidth="1"/>
    <col min="2307" max="2307" width="14" style="208" bestFit="1" customWidth="1"/>
    <col min="2308" max="2560" width="9.33203125" style="208"/>
    <col min="2561" max="2561" width="34.5" style="208" bestFit="1" customWidth="1"/>
    <col min="2562" max="2562" width="23.1640625" style="208" customWidth="1"/>
    <col min="2563" max="2563" width="14" style="208" bestFit="1" customWidth="1"/>
    <col min="2564" max="2816" width="9.33203125" style="208"/>
    <col min="2817" max="2817" width="34.5" style="208" bestFit="1" customWidth="1"/>
    <col min="2818" max="2818" width="23.1640625" style="208" customWidth="1"/>
    <col min="2819" max="2819" width="14" style="208" bestFit="1" customWidth="1"/>
    <col min="2820" max="3072" width="9.33203125" style="208"/>
    <col min="3073" max="3073" width="34.5" style="208" bestFit="1" customWidth="1"/>
    <col min="3074" max="3074" width="23.1640625" style="208" customWidth="1"/>
    <col min="3075" max="3075" width="14" style="208" bestFit="1" customWidth="1"/>
    <col min="3076" max="3328" width="9.33203125" style="208"/>
    <col min="3329" max="3329" width="34.5" style="208" bestFit="1" customWidth="1"/>
    <col min="3330" max="3330" width="23.1640625" style="208" customWidth="1"/>
    <col min="3331" max="3331" width="14" style="208" bestFit="1" customWidth="1"/>
    <col min="3332" max="3584" width="9.33203125" style="208"/>
    <col min="3585" max="3585" width="34.5" style="208" bestFit="1" customWidth="1"/>
    <col min="3586" max="3586" width="23.1640625" style="208" customWidth="1"/>
    <col min="3587" max="3587" width="14" style="208" bestFit="1" customWidth="1"/>
    <col min="3588" max="3840" width="9.33203125" style="208"/>
    <col min="3841" max="3841" width="34.5" style="208" bestFit="1" customWidth="1"/>
    <col min="3842" max="3842" width="23.1640625" style="208" customWidth="1"/>
    <col min="3843" max="3843" width="14" style="208" bestFit="1" customWidth="1"/>
    <col min="3844" max="4096" width="9.33203125" style="208"/>
    <col min="4097" max="4097" width="34.5" style="208" bestFit="1" customWidth="1"/>
    <col min="4098" max="4098" width="23.1640625" style="208" customWidth="1"/>
    <col min="4099" max="4099" width="14" style="208" bestFit="1" customWidth="1"/>
    <col min="4100" max="4352" width="9.33203125" style="208"/>
    <col min="4353" max="4353" width="34.5" style="208" bestFit="1" customWidth="1"/>
    <col min="4354" max="4354" width="23.1640625" style="208" customWidth="1"/>
    <col min="4355" max="4355" width="14" style="208" bestFit="1" customWidth="1"/>
    <col min="4356" max="4608" width="9.33203125" style="208"/>
    <col min="4609" max="4609" width="34.5" style="208" bestFit="1" customWidth="1"/>
    <col min="4610" max="4610" width="23.1640625" style="208" customWidth="1"/>
    <col min="4611" max="4611" width="14" style="208" bestFit="1" customWidth="1"/>
    <col min="4612" max="4864" width="9.33203125" style="208"/>
    <col min="4865" max="4865" width="34.5" style="208" bestFit="1" customWidth="1"/>
    <col min="4866" max="4866" width="23.1640625" style="208" customWidth="1"/>
    <col min="4867" max="4867" width="14" style="208" bestFit="1" customWidth="1"/>
    <col min="4868" max="5120" width="9.33203125" style="208"/>
    <col min="5121" max="5121" width="34.5" style="208" bestFit="1" customWidth="1"/>
    <col min="5122" max="5122" width="23.1640625" style="208" customWidth="1"/>
    <col min="5123" max="5123" width="14" style="208" bestFit="1" customWidth="1"/>
    <col min="5124" max="5376" width="9.33203125" style="208"/>
    <col min="5377" max="5377" width="34.5" style="208" bestFit="1" customWidth="1"/>
    <col min="5378" max="5378" width="23.1640625" style="208" customWidth="1"/>
    <col min="5379" max="5379" width="14" style="208" bestFit="1" customWidth="1"/>
    <col min="5380" max="5632" width="9.33203125" style="208"/>
    <col min="5633" max="5633" width="34.5" style="208" bestFit="1" customWidth="1"/>
    <col min="5634" max="5634" width="23.1640625" style="208" customWidth="1"/>
    <col min="5635" max="5635" width="14" style="208" bestFit="1" customWidth="1"/>
    <col min="5636" max="5888" width="9.33203125" style="208"/>
    <col min="5889" max="5889" width="34.5" style="208" bestFit="1" customWidth="1"/>
    <col min="5890" max="5890" width="23.1640625" style="208" customWidth="1"/>
    <col min="5891" max="5891" width="14" style="208" bestFit="1" customWidth="1"/>
    <col min="5892" max="6144" width="9.33203125" style="208"/>
    <col min="6145" max="6145" width="34.5" style="208" bestFit="1" customWidth="1"/>
    <col min="6146" max="6146" width="23.1640625" style="208" customWidth="1"/>
    <col min="6147" max="6147" width="14" style="208" bestFit="1" customWidth="1"/>
    <col min="6148" max="6400" width="9.33203125" style="208"/>
    <col min="6401" max="6401" width="34.5" style="208" bestFit="1" customWidth="1"/>
    <col min="6402" max="6402" width="23.1640625" style="208" customWidth="1"/>
    <col min="6403" max="6403" width="14" style="208" bestFit="1" customWidth="1"/>
    <col min="6404" max="6656" width="9.33203125" style="208"/>
    <col min="6657" max="6657" width="34.5" style="208" bestFit="1" customWidth="1"/>
    <col min="6658" max="6658" width="23.1640625" style="208" customWidth="1"/>
    <col min="6659" max="6659" width="14" style="208" bestFit="1" customWidth="1"/>
    <col min="6660" max="6912" width="9.33203125" style="208"/>
    <col min="6913" max="6913" width="34.5" style="208" bestFit="1" customWidth="1"/>
    <col min="6914" max="6914" width="23.1640625" style="208" customWidth="1"/>
    <col min="6915" max="6915" width="14" style="208" bestFit="1" customWidth="1"/>
    <col min="6916" max="7168" width="9.33203125" style="208"/>
    <col min="7169" max="7169" width="34.5" style="208" bestFit="1" customWidth="1"/>
    <col min="7170" max="7170" width="23.1640625" style="208" customWidth="1"/>
    <col min="7171" max="7171" width="14" style="208" bestFit="1" customWidth="1"/>
    <col min="7172" max="7424" width="9.33203125" style="208"/>
    <col min="7425" max="7425" width="34.5" style="208" bestFit="1" customWidth="1"/>
    <col min="7426" max="7426" width="23.1640625" style="208" customWidth="1"/>
    <col min="7427" max="7427" width="14" style="208" bestFit="1" customWidth="1"/>
    <col min="7428" max="7680" width="9.33203125" style="208"/>
    <col min="7681" max="7681" width="34.5" style="208" bestFit="1" customWidth="1"/>
    <col min="7682" max="7682" width="23.1640625" style="208" customWidth="1"/>
    <col min="7683" max="7683" width="14" style="208" bestFit="1" customWidth="1"/>
    <col min="7684" max="7936" width="9.33203125" style="208"/>
    <col min="7937" max="7937" width="34.5" style="208" bestFit="1" customWidth="1"/>
    <col min="7938" max="7938" width="23.1640625" style="208" customWidth="1"/>
    <col min="7939" max="7939" width="14" style="208" bestFit="1" customWidth="1"/>
    <col min="7940" max="8192" width="9.33203125" style="208"/>
    <col min="8193" max="8193" width="34.5" style="208" bestFit="1" customWidth="1"/>
    <col min="8194" max="8194" width="23.1640625" style="208" customWidth="1"/>
    <col min="8195" max="8195" width="14" style="208" bestFit="1" customWidth="1"/>
    <col min="8196" max="8448" width="9.33203125" style="208"/>
    <col min="8449" max="8449" width="34.5" style="208" bestFit="1" customWidth="1"/>
    <col min="8450" max="8450" width="23.1640625" style="208" customWidth="1"/>
    <col min="8451" max="8451" width="14" style="208" bestFit="1" customWidth="1"/>
    <col min="8452" max="8704" width="9.33203125" style="208"/>
    <col min="8705" max="8705" width="34.5" style="208" bestFit="1" customWidth="1"/>
    <col min="8706" max="8706" width="23.1640625" style="208" customWidth="1"/>
    <col min="8707" max="8707" width="14" style="208" bestFit="1" customWidth="1"/>
    <col min="8708" max="8960" width="9.33203125" style="208"/>
    <col min="8961" max="8961" width="34.5" style="208" bestFit="1" customWidth="1"/>
    <col min="8962" max="8962" width="23.1640625" style="208" customWidth="1"/>
    <col min="8963" max="8963" width="14" style="208" bestFit="1" customWidth="1"/>
    <col min="8964" max="9216" width="9.33203125" style="208"/>
    <col min="9217" max="9217" width="34.5" style="208" bestFit="1" customWidth="1"/>
    <col min="9218" max="9218" width="23.1640625" style="208" customWidth="1"/>
    <col min="9219" max="9219" width="14" style="208" bestFit="1" customWidth="1"/>
    <col min="9220" max="9472" width="9.33203125" style="208"/>
    <col min="9473" max="9473" width="34.5" style="208" bestFit="1" customWidth="1"/>
    <col min="9474" max="9474" width="23.1640625" style="208" customWidth="1"/>
    <col min="9475" max="9475" width="14" style="208" bestFit="1" customWidth="1"/>
    <col min="9476" max="9728" width="9.33203125" style="208"/>
    <col min="9729" max="9729" width="34.5" style="208" bestFit="1" customWidth="1"/>
    <col min="9730" max="9730" width="23.1640625" style="208" customWidth="1"/>
    <col min="9731" max="9731" width="14" style="208" bestFit="1" customWidth="1"/>
    <col min="9732" max="9984" width="9.33203125" style="208"/>
    <col min="9985" max="9985" width="34.5" style="208" bestFit="1" customWidth="1"/>
    <col min="9986" max="9986" width="23.1640625" style="208" customWidth="1"/>
    <col min="9987" max="9987" width="14" style="208" bestFit="1" customWidth="1"/>
    <col min="9988" max="10240" width="9.33203125" style="208"/>
    <col min="10241" max="10241" width="34.5" style="208" bestFit="1" customWidth="1"/>
    <col min="10242" max="10242" width="23.1640625" style="208" customWidth="1"/>
    <col min="10243" max="10243" width="14" style="208" bestFit="1" customWidth="1"/>
    <col min="10244" max="10496" width="9.33203125" style="208"/>
    <col min="10497" max="10497" width="34.5" style="208" bestFit="1" customWidth="1"/>
    <col min="10498" max="10498" width="23.1640625" style="208" customWidth="1"/>
    <col min="10499" max="10499" width="14" style="208" bestFit="1" customWidth="1"/>
    <col min="10500" max="10752" width="9.33203125" style="208"/>
    <col min="10753" max="10753" width="34.5" style="208" bestFit="1" customWidth="1"/>
    <col min="10754" max="10754" width="23.1640625" style="208" customWidth="1"/>
    <col min="10755" max="10755" width="14" style="208" bestFit="1" customWidth="1"/>
    <col min="10756" max="11008" width="9.33203125" style="208"/>
    <col min="11009" max="11009" width="34.5" style="208" bestFit="1" customWidth="1"/>
    <col min="11010" max="11010" width="23.1640625" style="208" customWidth="1"/>
    <col min="11011" max="11011" width="14" style="208" bestFit="1" customWidth="1"/>
    <col min="11012" max="11264" width="9.33203125" style="208"/>
    <col min="11265" max="11265" width="34.5" style="208" bestFit="1" customWidth="1"/>
    <col min="11266" max="11266" width="23.1640625" style="208" customWidth="1"/>
    <col min="11267" max="11267" width="14" style="208" bestFit="1" customWidth="1"/>
    <col min="11268" max="11520" width="9.33203125" style="208"/>
    <col min="11521" max="11521" width="34.5" style="208" bestFit="1" customWidth="1"/>
    <col min="11522" max="11522" width="23.1640625" style="208" customWidth="1"/>
    <col min="11523" max="11523" width="14" style="208" bestFit="1" customWidth="1"/>
    <col min="11524" max="11776" width="9.33203125" style="208"/>
    <col min="11777" max="11777" width="34.5" style="208" bestFit="1" customWidth="1"/>
    <col min="11778" max="11778" width="23.1640625" style="208" customWidth="1"/>
    <col min="11779" max="11779" width="14" style="208" bestFit="1" customWidth="1"/>
    <col min="11780" max="12032" width="9.33203125" style="208"/>
    <col min="12033" max="12033" width="34.5" style="208" bestFit="1" customWidth="1"/>
    <col min="12034" max="12034" width="23.1640625" style="208" customWidth="1"/>
    <col min="12035" max="12035" width="14" style="208" bestFit="1" customWidth="1"/>
    <col min="12036" max="12288" width="9.33203125" style="208"/>
    <col min="12289" max="12289" width="34.5" style="208" bestFit="1" customWidth="1"/>
    <col min="12290" max="12290" width="23.1640625" style="208" customWidth="1"/>
    <col min="12291" max="12291" width="14" style="208" bestFit="1" customWidth="1"/>
    <col min="12292" max="12544" width="9.33203125" style="208"/>
    <col min="12545" max="12545" width="34.5" style="208" bestFit="1" customWidth="1"/>
    <col min="12546" max="12546" width="23.1640625" style="208" customWidth="1"/>
    <col min="12547" max="12547" width="14" style="208" bestFit="1" customWidth="1"/>
    <col min="12548" max="12800" width="9.33203125" style="208"/>
    <col min="12801" max="12801" width="34.5" style="208" bestFit="1" customWidth="1"/>
    <col min="12802" max="12802" width="23.1640625" style="208" customWidth="1"/>
    <col min="12803" max="12803" width="14" style="208" bestFit="1" customWidth="1"/>
    <col min="12804" max="13056" width="9.33203125" style="208"/>
    <col min="13057" max="13057" width="34.5" style="208" bestFit="1" customWidth="1"/>
    <col min="13058" max="13058" width="23.1640625" style="208" customWidth="1"/>
    <col min="13059" max="13059" width="14" style="208" bestFit="1" customWidth="1"/>
    <col min="13060" max="13312" width="9.33203125" style="208"/>
    <col min="13313" max="13313" width="34.5" style="208" bestFit="1" customWidth="1"/>
    <col min="13314" max="13314" width="23.1640625" style="208" customWidth="1"/>
    <col min="13315" max="13315" width="14" style="208" bestFit="1" customWidth="1"/>
    <col min="13316" max="13568" width="9.33203125" style="208"/>
    <col min="13569" max="13569" width="34.5" style="208" bestFit="1" customWidth="1"/>
    <col min="13570" max="13570" width="23.1640625" style="208" customWidth="1"/>
    <col min="13571" max="13571" width="14" style="208" bestFit="1" customWidth="1"/>
    <col min="13572" max="13824" width="9.33203125" style="208"/>
    <col min="13825" max="13825" width="34.5" style="208" bestFit="1" customWidth="1"/>
    <col min="13826" max="13826" width="23.1640625" style="208" customWidth="1"/>
    <col min="13827" max="13827" width="14" style="208" bestFit="1" customWidth="1"/>
    <col min="13828" max="14080" width="9.33203125" style="208"/>
    <col min="14081" max="14081" width="34.5" style="208" bestFit="1" customWidth="1"/>
    <col min="14082" max="14082" width="23.1640625" style="208" customWidth="1"/>
    <col min="14083" max="14083" width="14" style="208" bestFit="1" customWidth="1"/>
    <col min="14084" max="14336" width="9.33203125" style="208"/>
    <col min="14337" max="14337" width="34.5" style="208" bestFit="1" customWidth="1"/>
    <col min="14338" max="14338" width="23.1640625" style="208" customWidth="1"/>
    <col min="14339" max="14339" width="14" style="208" bestFit="1" customWidth="1"/>
    <col min="14340" max="14592" width="9.33203125" style="208"/>
    <col min="14593" max="14593" width="34.5" style="208" bestFit="1" customWidth="1"/>
    <col min="14594" max="14594" width="23.1640625" style="208" customWidth="1"/>
    <col min="14595" max="14595" width="14" style="208" bestFit="1" customWidth="1"/>
    <col min="14596" max="14848" width="9.33203125" style="208"/>
    <col min="14849" max="14849" width="34.5" style="208" bestFit="1" customWidth="1"/>
    <col min="14850" max="14850" width="23.1640625" style="208" customWidth="1"/>
    <col min="14851" max="14851" width="14" style="208" bestFit="1" customWidth="1"/>
    <col min="14852" max="15104" width="9.33203125" style="208"/>
    <col min="15105" max="15105" width="34.5" style="208" bestFit="1" customWidth="1"/>
    <col min="15106" max="15106" width="23.1640625" style="208" customWidth="1"/>
    <col min="15107" max="15107" width="14" style="208" bestFit="1" customWidth="1"/>
    <col min="15108" max="15360" width="9.33203125" style="208"/>
    <col min="15361" max="15361" width="34.5" style="208" bestFit="1" customWidth="1"/>
    <col min="15362" max="15362" width="23.1640625" style="208" customWidth="1"/>
    <col min="15363" max="15363" width="14" style="208" bestFit="1" customWidth="1"/>
    <col min="15364" max="15616" width="9.33203125" style="208"/>
    <col min="15617" max="15617" width="34.5" style="208" bestFit="1" customWidth="1"/>
    <col min="15618" max="15618" width="23.1640625" style="208" customWidth="1"/>
    <col min="15619" max="15619" width="14" style="208" bestFit="1" customWidth="1"/>
    <col min="15620" max="15872" width="9.33203125" style="208"/>
    <col min="15873" max="15873" width="34.5" style="208" bestFit="1" customWidth="1"/>
    <col min="15874" max="15874" width="23.1640625" style="208" customWidth="1"/>
    <col min="15875" max="15875" width="14" style="208" bestFit="1" customWidth="1"/>
    <col min="15876" max="16128" width="9.33203125" style="208"/>
    <col min="16129" max="16129" width="34.5" style="208" bestFit="1" customWidth="1"/>
    <col min="16130" max="16130" width="23.1640625" style="208" customWidth="1"/>
    <col min="16131" max="16131" width="14" style="208" bestFit="1" customWidth="1"/>
    <col min="16132" max="16384" width="9.33203125" style="208"/>
  </cols>
  <sheetData>
    <row r="1" spans="1:2">
      <c r="A1" s="208" t="s">
        <v>1045</v>
      </c>
      <c r="B1" s="313">
        <v>6.1</v>
      </c>
    </row>
    <row r="2" spans="1:2">
      <c r="A2" s="208" t="s">
        <v>1046</v>
      </c>
      <c r="B2" s="317">
        <v>43214.474942129629</v>
      </c>
    </row>
    <row r="3" spans="1:2">
      <c r="A3" s="208" t="s">
        <v>1047</v>
      </c>
      <c r="B3" s="314" t="s">
        <v>730</v>
      </c>
    </row>
    <row r="4" spans="1:2">
      <c r="A4" s="208" t="s">
        <v>1048</v>
      </c>
      <c r="B4" s="314" t="s">
        <v>1049</v>
      </c>
    </row>
    <row r="5" spans="1:2">
      <c r="A5" s="208" t="s">
        <v>1050</v>
      </c>
      <c r="B5" s="314" t="s">
        <v>1051</v>
      </c>
    </row>
    <row r="6" spans="1:2">
      <c r="A6" s="208" t="s">
        <v>1052</v>
      </c>
    </row>
    <row r="7" spans="1:2">
      <c r="A7" s="208" t="s">
        <v>1053</v>
      </c>
      <c r="B7" s="314" t="s">
        <v>695</v>
      </c>
    </row>
    <row r="8" spans="1:2">
      <c r="A8" s="208" t="s">
        <v>1054</v>
      </c>
      <c r="B8" s="314" t="s">
        <v>1055</v>
      </c>
    </row>
    <row r="9" spans="1:2">
      <c r="A9" s="208" t="s">
        <v>1056</v>
      </c>
      <c r="B9" s="314" t="s">
        <v>1094</v>
      </c>
    </row>
    <row r="10" spans="1:2">
      <c r="A10" s="208" t="s">
        <v>1057</v>
      </c>
    </row>
    <row r="11" spans="1:2">
      <c r="A11" s="208" t="s">
        <v>1058</v>
      </c>
    </row>
    <row r="12" spans="1:2">
      <c r="A12" s="208" t="s">
        <v>1059</v>
      </c>
    </row>
    <row r="13" spans="1:2">
      <c r="A13" s="208" t="s">
        <v>1060</v>
      </c>
    </row>
    <row r="14" spans="1:2">
      <c r="A14" s="208" t="s">
        <v>1061</v>
      </c>
    </row>
    <row r="15" spans="1:2">
      <c r="A15" s="208" t="s">
        <v>1062</v>
      </c>
    </row>
    <row r="16" spans="1:2">
      <c r="A16" s="208" t="s">
        <v>1063</v>
      </c>
    </row>
    <row r="17" spans="1:4">
      <c r="A17" s="208" t="s">
        <v>1064</v>
      </c>
      <c r="B17" s="314" t="s">
        <v>1095</v>
      </c>
    </row>
    <row r="18" spans="1:4">
      <c r="A18" s="208" t="s">
        <v>1065</v>
      </c>
      <c r="B18" s="314" t="s">
        <v>1098</v>
      </c>
    </row>
    <row r="19" spans="1:4">
      <c r="A19" s="208" t="s">
        <v>1066</v>
      </c>
      <c r="B19" s="314" t="s">
        <v>694</v>
      </c>
    </row>
    <row r="20" spans="1:4">
      <c r="A20" s="208" t="s">
        <v>1067</v>
      </c>
      <c r="B20" s="315">
        <v>56752108</v>
      </c>
    </row>
    <row r="21" spans="1:4">
      <c r="A21" s="208" t="s">
        <v>1068</v>
      </c>
      <c r="B21" s="314" t="s">
        <v>694</v>
      </c>
    </row>
    <row r="22" spans="1:4">
      <c r="A22" s="208" t="s">
        <v>1069</v>
      </c>
      <c r="B22" s="315" t="s">
        <v>673</v>
      </c>
    </row>
    <row r="23" spans="1:4">
      <c r="A23" s="208" t="s">
        <v>667</v>
      </c>
      <c r="B23" s="313">
        <v>231.42</v>
      </c>
    </row>
    <row r="24" spans="1:4">
      <c r="A24" s="208" t="s">
        <v>666</v>
      </c>
      <c r="B24" s="314" t="s">
        <v>657</v>
      </c>
      <c r="D24" s="208" t="s">
        <v>1070</v>
      </c>
    </row>
    <row r="25" spans="1:4">
      <c r="A25" s="208" t="s">
        <v>1071</v>
      </c>
      <c r="B25" s="314" t="s">
        <v>1099</v>
      </c>
    </row>
    <row r="26" spans="1:4">
      <c r="A26" s="208" t="s">
        <v>1072</v>
      </c>
      <c r="B26" s="314">
        <v>0</v>
      </c>
    </row>
    <row r="27" spans="1:4">
      <c r="A27" s="208" t="s">
        <v>1073</v>
      </c>
      <c r="B27" s="314" t="s">
        <v>1074</v>
      </c>
    </row>
    <row r="28" spans="1:4">
      <c r="A28" s="208" t="s">
        <v>1075</v>
      </c>
      <c r="B28" s="314" t="s">
        <v>1076</v>
      </c>
    </row>
    <row r="29" spans="1:4">
      <c r="A29" s="208" t="s">
        <v>1077</v>
      </c>
    </row>
    <row r="30" spans="1:4">
      <c r="A30" s="208" t="s">
        <v>1078</v>
      </c>
    </row>
    <row r="31" spans="1:4">
      <c r="A31" s="208" t="s">
        <v>1079</v>
      </c>
    </row>
    <row r="32" spans="1:4">
      <c r="A32" s="208" t="s">
        <v>1080</v>
      </c>
      <c r="B32" s="313"/>
    </row>
    <row r="33" spans="1:2">
      <c r="A33" s="208" t="s">
        <v>1081</v>
      </c>
      <c r="B33" s="313"/>
    </row>
    <row r="34" spans="1:2">
      <c r="A34" s="208" t="s">
        <v>1082</v>
      </c>
      <c r="B34" s="313"/>
    </row>
    <row r="35" spans="1:2">
      <c r="A35" s="208" t="s">
        <v>1083</v>
      </c>
      <c r="B35" s="314">
        <v>1000000</v>
      </c>
    </row>
    <row r="36" spans="1:2">
      <c r="A36" s="208" t="s">
        <v>1084</v>
      </c>
      <c r="B36" s="314" t="s">
        <v>1096</v>
      </c>
    </row>
    <row r="37" spans="1:2">
      <c r="A37" s="208" t="s">
        <v>1085</v>
      </c>
      <c r="B37" s="314" t="s">
        <v>1086</v>
      </c>
    </row>
    <row r="38" spans="1:2">
      <c r="A38" s="208" t="s">
        <v>1087</v>
      </c>
      <c r="B38" s="314" t="s">
        <v>1088</v>
      </c>
    </row>
    <row r="39" spans="1:2">
      <c r="A39" s="208" t="s">
        <v>1089</v>
      </c>
      <c r="B39" s="314" t="s">
        <v>1097</v>
      </c>
    </row>
    <row r="40" spans="1:2">
      <c r="A40" s="208" t="s">
        <v>1090</v>
      </c>
      <c r="B40" s="314">
        <v>1900000858</v>
      </c>
    </row>
    <row r="41" spans="1:2">
      <c r="A41" s="208" t="s">
        <v>1091</v>
      </c>
      <c r="B41" s="314">
        <v>5</v>
      </c>
    </row>
    <row r="42" spans="1:2">
      <c r="A42" s="316" t="s">
        <v>1092</v>
      </c>
    </row>
    <row r="43" spans="1:2">
      <c r="A43" s="208" t="s">
        <v>1093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33.33203125" style="208" bestFit="1" customWidth="1"/>
    <col min="2" max="256" width="9.33203125" style="208"/>
    <col min="257" max="257" width="33.33203125" style="208" bestFit="1" customWidth="1"/>
    <col min="258" max="512" width="9.33203125" style="208"/>
    <col min="513" max="513" width="33.33203125" style="208" bestFit="1" customWidth="1"/>
    <col min="514" max="768" width="9.33203125" style="208"/>
    <col min="769" max="769" width="33.33203125" style="208" bestFit="1" customWidth="1"/>
    <col min="770" max="1024" width="9.33203125" style="208"/>
    <col min="1025" max="1025" width="33.33203125" style="208" bestFit="1" customWidth="1"/>
    <col min="1026" max="1280" width="9.33203125" style="208"/>
    <col min="1281" max="1281" width="33.33203125" style="208" bestFit="1" customWidth="1"/>
    <col min="1282" max="1536" width="9.33203125" style="208"/>
    <col min="1537" max="1537" width="33.33203125" style="208" bestFit="1" customWidth="1"/>
    <col min="1538" max="1792" width="9.33203125" style="208"/>
    <col min="1793" max="1793" width="33.33203125" style="208" bestFit="1" customWidth="1"/>
    <col min="1794" max="2048" width="9.33203125" style="208"/>
    <col min="2049" max="2049" width="33.33203125" style="208" bestFit="1" customWidth="1"/>
    <col min="2050" max="2304" width="9.33203125" style="208"/>
    <col min="2305" max="2305" width="33.33203125" style="208" bestFit="1" customWidth="1"/>
    <col min="2306" max="2560" width="9.33203125" style="208"/>
    <col min="2561" max="2561" width="33.33203125" style="208" bestFit="1" customWidth="1"/>
    <col min="2562" max="2816" width="9.33203125" style="208"/>
    <col min="2817" max="2817" width="33.33203125" style="208" bestFit="1" customWidth="1"/>
    <col min="2818" max="3072" width="9.33203125" style="208"/>
    <col min="3073" max="3073" width="33.33203125" style="208" bestFit="1" customWidth="1"/>
    <col min="3074" max="3328" width="9.33203125" style="208"/>
    <col min="3329" max="3329" width="33.33203125" style="208" bestFit="1" customWidth="1"/>
    <col min="3330" max="3584" width="9.33203125" style="208"/>
    <col min="3585" max="3585" width="33.33203125" style="208" bestFit="1" customWidth="1"/>
    <col min="3586" max="3840" width="9.33203125" style="208"/>
    <col min="3841" max="3841" width="33.33203125" style="208" bestFit="1" customWidth="1"/>
    <col min="3842" max="4096" width="9.33203125" style="208"/>
    <col min="4097" max="4097" width="33.33203125" style="208" bestFit="1" customWidth="1"/>
    <col min="4098" max="4352" width="9.33203125" style="208"/>
    <col min="4353" max="4353" width="33.33203125" style="208" bestFit="1" customWidth="1"/>
    <col min="4354" max="4608" width="9.33203125" style="208"/>
    <col min="4609" max="4609" width="33.33203125" style="208" bestFit="1" customWidth="1"/>
    <col min="4610" max="4864" width="9.33203125" style="208"/>
    <col min="4865" max="4865" width="33.33203125" style="208" bestFit="1" customWidth="1"/>
    <col min="4866" max="5120" width="9.33203125" style="208"/>
    <col min="5121" max="5121" width="33.33203125" style="208" bestFit="1" customWidth="1"/>
    <col min="5122" max="5376" width="9.33203125" style="208"/>
    <col min="5377" max="5377" width="33.33203125" style="208" bestFit="1" customWidth="1"/>
    <col min="5378" max="5632" width="9.33203125" style="208"/>
    <col min="5633" max="5633" width="33.33203125" style="208" bestFit="1" customWidth="1"/>
    <col min="5634" max="5888" width="9.33203125" style="208"/>
    <col min="5889" max="5889" width="33.33203125" style="208" bestFit="1" customWidth="1"/>
    <col min="5890" max="6144" width="9.33203125" style="208"/>
    <col min="6145" max="6145" width="33.33203125" style="208" bestFit="1" customWidth="1"/>
    <col min="6146" max="6400" width="9.33203125" style="208"/>
    <col min="6401" max="6401" width="33.33203125" style="208" bestFit="1" customWidth="1"/>
    <col min="6402" max="6656" width="9.33203125" style="208"/>
    <col min="6657" max="6657" width="33.33203125" style="208" bestFit="1" customWidth="1"/>
    <col min="6658" max="6912" width="9.33203125" style="208"/>
    <col min="6913" max="6913" width="33.33203125" style="208" bestFit="1" customWidth="1"/>
    <col min="6914" max="7168" width="9.33203125" style="208"/>
    <col min="7169" max="7169" width="33.33203125" style="208" bestFit="1" customWidth="1"/>
    <col min="7170" max="7424" width="9.33203125" style="208"/>
    <col min="7425" max="7425" width="33.33203125" style="208" bestFit="1" customWidth="1"/>
    <col min="7426" max="7680" width="9.33203125" style="208"/>
    <col min="7681" max="7681" width="33.33203125" style="208" bestFit="1" customWidth="1"/>
    <col min="7682" max="7936" width="9.33203125" style="208"/>
    <col min="7937" max="7937" width="33.33203125" style="208" bestFit="1" customWidth="1"/>
    <col min="7938" max="8192" width="9.33203125" style="208"/>
    <col min="8193" max="8193" width="33.33203125" style="208" bestFit="1" customWidth="1"/>
    <col min="8194" max="8448" width="9.33203125" style="208"/>
    <col min="8449" max="8449" width="33.33203125" style="208" bestFit="1" customWidth="1"/>
    <col min="8450" max="8704" width="9.33203125" style="208"/>
    <col min="8705" max="8705" width="33.33203125" style="208" bestFit="1" customWidth="1"/>
    <col min="8706" max="8960" width="9.33203125" style="208"/>
    <col min="8961" max="8961" width="33.33203125" style="208" bestFit="1" customWidth="1"/>
    <col min="8962" max="9216" width="9.33203125" style="208"/>
    <col min="9217" max="9217" width="33.33203125" style="208" bestFit="1" customWidth="1"/>
    <col min="9218" max="9472" width="9.33203125" style="208"/>
    <col min="9473" max="9473" width="33.33203125" style="208" bestFit="1" customWidth="1"/>
    <col min="9474" max="9728" width="9.33203125" style="208"/>
    <col min="9729" max="9729" width="33.33203125" style="208" bestFit="1" customWidth="1"/>
    <col min="9730" max="9984" width="9.33203125" style="208"/>
    <col min="9985" max="9985" width="33.33203125" style="208" bestFit="1" customWidth="1"/>
    <col min="9986" max="10240" width="9.33203125" style="208"/>
    <col min="10241" max="10241" width="33.33203125" style="208" bestFit="1" customWidth="1"/>
    <col min="10242" max="10496" width="9.33203125" style="208"/>
    <col min="10497" max="10497" width="33.33203125" style="208" bestFit="1" customWidth="1"/>
    <col min="10498" max="10752" width="9.33203125" style="208"/>
    <col min="10753" max="10753" width="33.33203125" style="208" bestFit="1" customWidth="1"/>
    <col min="10754" max="11008" width="9.33203125" style="208"/>
    <col min="11009" max="11009" width="33.33203125" style="208" bestFit="1" customWidth="1"/>
    <col min="11010" max="11264" width="9.33203125" style="208"/>
    <col min="11265" max="11265" width="33.33203125" style="208" bestFit="1" customWidth="1"/>
    <col min="11266" max="11520" width="9.33203125" style="208"/>
    <col min="11521" max="11521" width="33.33203125" style="208" bestFit="1" customWidth="1"/>
    <col min="11522" max="11776" width="9.33203125" style="208"/>
    <col min="11777" max="11777" width="33.33203125" style="208" bestFit="1" customWidth="1"/>
    <col min="11778" max="12032" width="9.33203125" style="208"/>
    <col min="12033" max="12033" width="33.33203125" style="208" bestFit="1" customWidth="1"/>
    <col min="12034" max="12288" width="9.33203125" style="208"/>
    <col min="12289" max="12289" width="33.33203125" style="208" bestFit="1" customWidth="1"/>
    <col min="12290" max="12544" width="9.33203125" style="208"/>
    <col min="12545" max="12545" width="33.33203125" style="208" bestFit="1" customWidth="1"/>
    <col min="12546" max="12800" width="9.33203125" style="208"/>
    <col min="12801" max="12801" width="33.33203125" style="208" bestFit="1" customWidth="1"/>
    <col min="12802" max="13056" width="9.33203125" style="208"/>
    <col min="13057" max="13057" width="33.33203125" style="208" bestFit="1" customWidth="1"/>
    <col min="13058" max="13312" width="9.33203125" style="208"/>
    <col min="13313" max="13313" width="33.33203125" style="208" bestFit="1" customWidth="1"/>
    <col min="13314" max="13568" width="9.33203125" style="208"/>
    <col min="13569" max="13569" width="33.33203125" style="208" bestFit="1" customWidth="1"/>
    <col min="13570" max="13824" width="9.33203125" style="208"/>
    <col min="13825" max="13825" width="33.33203125" style="208" bestFit="1" customWidth="1"/>
    <col min="13826" max="14080" width="9.33203125" style="208"/>
    <col min="14081" max="14081" width="33.33203125" style="208" bestFit="1" customWidth="1"/>
    <col min="14082" max="14336" width="9.33203125" style="208"/>
    <col min="14337" max="14337" width="33.33203125" style="208" bestFit="1" customWidth="1"/>
    <col min="14338" max="14592" width="9.33203125" style="208"/>
    <col min="14593" max="14593" width="33.33203125" style="208" bestFit="1" customWidth="1"/>
    <col min="14594" max="14848" width="9.33203125" style="208"/>
    <col min="14849" max="14849" width="33.33203125" style="208" bestFit="1" customWidth="1"/>
    <col min="14850" max="15104" width="9.33203125" style="208"/>
    <col min="15105" max="15105" width="33.33203125" style="208" bestFit="1" customWidth="1"/>
    <col min="15106" max="15360" width="9.33203125" style="208"/>
    <col min="15361" max="15361" width="33.33203125" style="208" bestFit="1" customWidth="1"/>
    <col min="15362" max="15616" width="9.33203125" style="208"/>
    <col min="15617" max="15617" width="33.33203125" style="208" bestFit="1" customWidth="1"/>
    <col min="15618" max="15872" width="9.33203125" style="208"/>
    <col min="15873" max="15873" width="33.33203125" style="208" bestFit="1" customWidth="1"/>
    <col min="15874" max="16128" width="9.33203125" style="208"/>
    <col min="16129" max="16129" width="33.33203125" style="208" bestFit="1" customWidth="1"/>
    <col min="16130" max="16384" width="9.33203125" style="208"/>
  </cols>
  <sheetData>
    <row r="1" spans="1:1">
      <c r="A1" s="318" t="s">
        <v>1100</v>
      </c>
    </row>
    <row r="2" spans="1:1">
      <c r="A2" s="318" t="s">
        <v>1105</v>
      </c>
    </row>
    <row r="3" spans="1:1">
      <c r="A3" s="318" t="s">
        <v>1106</v>
      </c>
    </row>
    <row r="4" spans="1:1">
      <c r="A4" s="318" t="s">
        <v>1107</v>
      </c>
    </row>
    <row r="5" spans="1:1">
      <c r="A5" s="318" t="s">
        <v>1108</v>
      </c>
    </row>
    <row r="6" spans="1:1">
      <c r="A6" s="318" t="s">
        <v>1101</v>
      </c>
    </row>
    <row r="7" spans="1:1">
      <c r="A7" s="318" t="s">
        <v>1109</v>
      </c>
    </row>
    <row r="8" spans="1:1">
      <c r="A8" s="318" t="s">
        <v>1110</v>
      </c>
    </row>
    <row r="9" spans="1:1">
      <c r="A9" s="318" t="s">
        <v>1111</v>
      </c>
    </row>
    <row r="10" spans="1:1">
      <c r="A10" s="318" t="s">
        <v>1102</v>
      </c>
    </row>
    <row r="11" spans="1:1">
      <c r="A11" s="318" t="s">
        <v>1112</v>
      </c>
    </row>
    <row r="12" spans="1:1">
      <c r="A12" s="318" t="s">
        <v>1103</v>
      </c>
    </row>
    <row r="13" spans="1:1">
      <c r="A13" s="318" t="s">
        <v>1104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83</vt:i4>
      </vt:variant>
    </vt:vector>
  </HeadingPairs>
  <TitlesOfParts>
    <vt:vector size="95" baseType="lpstr">
      <vt:lpstr>ImportantDisclosures</vt:lpstr>
      <vt:lpstr>CircularReferenceAlert</vt:lpstr>
      <vt:lpstr>Control</vt:lpstr>
      <vt:lpstr>Valuation</vt:lpstr>
      <vt:lpstr>BIDU_IS</vt:lpstr>
      <vt:lpstr>BIDU_BS + CFS</vt:lpstr>
      <vt:lpstr>IQ_IS</vt:lpstr>
      <vt:lpstr>IQ_BS + CFS</vt:lpstr>
      <vt:lpstr>Operating_Model</vt:lpstr>
      <vt:lpstr>Scenario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Case</vt:lpstr>
      <vt:lpstr>circ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FX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'BIDU_BS + CFS'!Linking_1</vt:lpstr>
      <vt:lpstr>BIDU_IS!Linking_1</vt:lpstr>
      <vt:lpstr>'IQ_BS + CFS'!Linking_1</vt:lpstr>
      <vt:lpstr>IQ_IS!Linking_1</vt:lpstr>
      <vt:lpstr>Operating_Model!Linking_1</vt:lpstr>
      <vt:lpstr>Scenario!Linking_1</vt:lpstr>
      <vt:lpstr>Linking_2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SP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2017-12-18T04:55:18Z</dcterms:created>
  <dc:creator>alan</dc:creator>
  <cp:lastModifiedBy>Johnson, Mark (Research)</cp:lastModifiedBy>
  <cp:lastPrinted>2018-04-23T11:22:25Z</cp:lastPrinted>
  <dcterms:modified xsi:type="dcterms:W3CDTF">2018-04-24T03:31:34Z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763481</vt:lpwstr>
  </property>
  <property fmtid="{D5CDD505-2E9C-101B-9397-08002B2CF9AE}" name="ERModPubCompanyName" pid="5">
    <vt:lpwstr>Baidu Inc</vt:lpwstr>
  </property>
  <property fmtid="{D5CDD505-2E9C-101B-9397-08002B2CF9AE}" name="ERModPubMaxIterations" pid="6">
    <vt:i4>100</vt:i4>
  </property>
  <property fmtid="{D5CDD505-2E9C-101B-9397-08002B2CF9AE}" name="ERModPubMaxChange" pid="7">
    <vt:r8>0.001</vt:r8>
  </property>
  <property fmtid="{D5CDD505-2E9C-101B-9397-08002B2CF9AE}" name="MSDH34TAG" pid="8">
    <vt:lpwstr>.TEZUF76X5TAHATHESADREYAK-00-INB160+*94600-06=ef8c23ac/-476e/-11e8/-adef/-6a0a1ce82510,MD=20180423233259/-0400,ZZ=000Z-faa3.</vt:lpwstr>
  </property>
</Properties>
</file>